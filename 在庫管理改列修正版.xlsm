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yso13036\Downloads\"/>
    </mc:Choice>
  </mc:AlternateContent>
  <xr:revisionPtr revIDLastSave="0" documentId="13_ncr:1_{E8F586F3-4053-4FD3-8831-7E80CCB31432}" xr6:coauthVersionLast="47" xr6:coauthVersionMax="47" xr10:uidLastSave="{00000000-0000-0000-0000-000000000000}"/>
  <bookViews>
    <workbookView xWindow="28680" yWindow="-120" windowWidth="29040" windowHeight="15720" activeTab="2" xr2:uid="{CEF6D27E-DD51-4F26-A7DA-F055B0A39FA4}"/>
  </bookViews>
  <sheets>
    <sheet name="操作手順" sheetId="8" r:id="rId1"/>
    <sheet name="残った仕入番号" sheetId="3" r:id="rId2"/>
    <sheet name="在庫管理表の本体" sheetId="13" r:id="rId3"/>
    <sheet name="売約済" sheetId="4" r:id="rId4"/>
    <sheet name="不明" sheetId="10" r:id="rId5"/>
    <sheet name="在庫有" sheetId="11" r:id="rId6"/>
    <sheet name="在庫有確定" sheetId="12"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2" i="13" l="1"/>
  <c r="AA22" i="13" s="1"/>
  <c r="N22" i="13"/>
  <c r="Y20" i="13"/>
  <c r="N20" i="13"/>
  <c r="Y18" i="13"/>
  <c r="N18" i="13"/>
  <c r="Y16" i="13"/>
  <c r="N16" i="13"/>
  <c r="Y14" i="13"/>
  <c r="N14" i="13"/>
  <c r="Y12" i="13"/>
  <c r="M12" i="13"/>
  <c r="Y10" i="13"/>
  <c r="N10" i="13"/>
  <c r="AA14" i="13" l="1"/>
  <c r="N12" i="13"/>
  <c r="AA20" i="13"/>
  <c r="AA10"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Yuki So</author>
  </authors>
  <commentList>
    <comment ref="A10" authorId="0" shapeId="0" xr:uid="{684502F7-1663-4C9A-BF86-CA9CF4ED504D}">
      <text>
        <r>
          <rPr>
            <sz val="9"/>
            <color indexed="81"/>
            <rFont val="MS P ゴシック"/>
            <family val="3"/>
            <charset val="128"/>
          </rPr>
          <t>19-3782 20-273 R21-008 R22-006 R23-005 R24-004 R25-001 R26-001 R27-001</t>
        </r>
      </text>
    </comment>
    <comment ref="A12" authorId="0" shapeId="0" xr:uid="{F8A9E0D6-0E26-43CA-B919-F1A5298EF956}">
      <text>
        <r>
          <rPr>
            <sz val="9"/>
            <color indexed="81"/>
            <rFont val="MS P ゴシック"/>
            <family val="3"/>
            <charset val="128"/>
          </rPr>
          <t>20-2552 R21-010 R22-007 R23-006 R24-005 R25-002 R26-002 R27-002</t>
        </r>
      </text>
    </comment>
    <comment ref="A14" authorId="0" shapeId="0" xr:uid="{61DD4801-08EA-4B38-9C21-4B3786662C7E}">
      <text>
        <r>
          <rPr>
            <sz val="9"/>
            <color indexed="81"/>
            <rFont val="MS P ゴシック"/>
            <family val="3"/>
            <charset val="128"/>
          </rPr>
          <t>S23-277 S24-076a R24-009 R25-003 R26-003 R27-003</t>
        </r>
      </text>
    </comment>
    <comment ref="A16" authorId="0" shapeId="0" xr:uid="{D275167D-A1AA-435B-84C2-6C4EB125F32A}">
      <text>
        <r>
          <rPr>
            <sz val="9"/>
            <color indexed="81"/>
            <rFont val="MS P ゴシック"/>
            <family val="3"/>
            <charset val="128"/>
          </rPr>
          <t>18-7870 19-376 20-117 21-090 22-081 23-075 24-066 25-062 R25-015 R26-008 R27-004</t>
        </r>
      </text>
    </comment>
    <comment ref="A18" authorId="0" shapeId="0" xr:uid="{451DF44D-C8D5-4FC1-871E-1E5DAD3C50AC}">
      <text>
        <r>
          <rPr>
            <sz val="9"/>
            <color indexed="81"/>
            <rFont val="MS P ゴシック"/>
            <family val="3"/>
            <charset val="128"/>
          </rPr>
          <t xml:space="preserve"> 23-1911 24-333 25-265 26-242 R26-009 R27-005</t>
        </r>
      </text>
    </comment>
    <comment ref="A20" authorId="0" shapeId="0" xr:uid="{AB66AD8E-62DB-4653-B9E5-EEC6886C6106}">
      <text>
        <r>
          <rPr>
            <sz val="9"/>
            <color indexed="81"/>
            <rFont val="MS P ゴシック"/>
            <family val="3"/>
            <charset val="128"/>
          </rPr>
          <t xml:space="preserve"> 22-1635 23-257 24-182 25-159 26-151 R27-006</t>
        </r>
      </text>
    </comment>
    <comment ref="A22" authorId="0" shapeId="0" xr:uid="{D028F31F-685C-4585-B70D-01B6D301C845}">
      <text>
        <r>
          <rPr>
            <sz val="9"/>
            <color indexed="81"/>
            <rFont val="MS P ゴシック"/>
            <family val="3"/>
            <charset val="128"/>
          </rPr>
          <t>21-2013 22-227 23-173 24-130 25-118 26-113 R27-007</t>
        </r>
      </text>
    </comment>
  </commentList>
</comments>
</file>

<file path=xl/sharedStrings.xml><?xml version="1.0" encoding="utf-8"?>
<sst xmlns="http://schemas.openxmlformats.org/spreadsheetml/2006/main" count="336" uniqueCount="205">
  <si>
    <t>前期のNo.</t>
  </si>
  <si>
    <t>仕入番号</t>
  </si>
  <si>
    <t>仕入れ日/仕入れ先</t>
  </si>
  <si>
    <t>回次/出品番号</t>
  </si>
  <si>
    <t>年式/色</t>
  </si>
  <si>
    <t>車名/車台番号</t>
  </si>
  <si>
    <t>車検/距離</t>
  </si>
  <si>
    <t>評価点</t>
  </si>
  <si>
    <t>車輌代</t>
  </si>
  <si>
    <t>消費税</t>
  </si>
  <si>
    <t>自税</t>
  </si>
  <si>
    <t>リサイクル</t>
  </si>
  <si>
    <t>落札料</t>
  </si>
  <si>
    <t>合計</t>
  </si>
  <si>
    <t>車輌番号/所有者</t>
  </si>
  <si>
    <t>付属品</t>
  </si>
  <si>
    <t>補足</t>
  </si>
  <si>
    <t>名義変更</t>
  </si>
  <si>
    <t>売上日/売上先</t>
  </si>
  <si>
    <t>入金日</t>
  </si>
  <si>
    <t>評価損</t>
    <rPh sb="0" eb="3">
      <t>ヒョウカソン</t>
    </rPh>
    <phoneticPr fontId="13"/>
  </si>
  <si>
    <t>評価損</t>
    <rPh sb="0" eb="3">
      <t>ヒョウカソン</t>
    </rPh>
    <phoneticPr fontId="1"/>
  </si>
  <si>
    <t>車輌代</t>
    <phoneticPr fontId="13"/>
  </si>
  <si>
    <t>消費税</t>
    <phoneticPr fontId="13"/>
  </si>
  <si>
    <t>在庫管理表 操作手順</t>
  </si>
  <si>
    <t>① 在庫管理表の本体シートで初期分類</t>
  </si>
  <si>
    <r>
      <t xml:space="preserve">本体シートでは、各在庫を </t>
    </r>
    <r>
      <rPr>
        <b/>
        <sz val="11"/>
        <color theme="1"/>
        <rFont val="游ゴシック"/>
        <family val="3"/>
        <charset val="128"/>
        <scheme val="minor"/>
      </rPr>
      <t>ベージュ（在庫候補）</t>
    </r>
    <r>
      <rPr>
        <sz val="11"/>
        <color theme="1"/>
        <rFont val="游ゴシック"/>
        <family val="2"/>
        <charset val="128"/>
        <scheme val="minor"/>
      </rPr>
      <t xml:space="preserve"> または </t>
    </r>
    <r>
      <rPr>
        <b/>
        <sz val="11"/>
        <color theme="1"/>
        <rFont val="游ゴシック"/>
        <family val="3"/>
        <charset val="128"/>
        <scheme val="minor"/>
      </rPr>
      <t>黄色（売約候補）</t>
    </r>
    <r>
      <rPr>
        <sz val="11"/>
        <color theme="1"/>
        <rFont val="游ゴシック"/>
        <family val="2"/>
        <charset val="128"/>
        <scheme val="minor"/>
      </rPr>
      <t xml:space="preserve"> に色分けします。</t>
    </r>
  </si>
  <si>
    <t>その後「振り分け」マクロを実行すると、売上有無（AX列）と色に応じて各シートへ自動分類されます。</t>
  </si>
  <si>
    <t>振り分けルール</t>
  </si>
  <si>
    <t>ベージュ + 売上なし（AX列=0）</t>
  </si>
  <si>
    <r>
      <t xml:space="preserve">　→ </t>
    </r>
    <r>
      <rPr>
        <b/>
        <sz val="11"/>
        <color theme="1"/>
        <rFont val="游ゴシック"/>
        <family val="3"/>
        <charset val="128"/>
        <scheme val="minor"/>
      </rPr>
      <t>在庫有</t>
    </r>
    <r>
      <rPr>
        <sz val="11"/>
        <color theme="1"/>
        <rFont val="游ゴシック"/>
        <family val="2"/>
        <charset val="128"/>
        <scheme val="minor"/>
      </rPr>
      <t xml:space="preserve"> シート</t>
    </r>
  </si>
  <si>
    <t>ベージュ + 売上あり（AX列≠0）</t>
  </si>
  <si>
    <r>
      <t xml:space="preserve">　→ </t>
    </r>
    <r>
      <rPr>
        <b/>
        <sz val="11"/>
        <color theme="1"/>
        <rFont val="游ゴシック"/>
        <family val="3"/>
        <charset val="128"/>
        <scheme val="minor"/>
      </rPr>
      <t>不明</t>
    </r>
    <r>
      <rPr>
        <sz val="11"/>
        <color theme="1"/>
        <rFont val="游ゴシック"/>
        <family val="2"/>
        <charset val="128"/>
        <scheme val="minor"/>
      </rPr>
      <t xml:space="preserve"> シート</t>
    </r>
  </si>
  <si>
    <t>黄色 + 売上あり（AX列≠0）</t>
  </si>
  <si>
    <r>
      <t xml:space="preserve">　→ </t>
    </r>
    <r>
      <rPr>
        <b/>
        <sz val="11"/>
        <color theme="1"/>
        <rFont val="游ゴシック"/>
        <family val="3"/>
        <charset val="128"/>
        <scheme val="minor"/>
      </rPr>
      <t>売約済</t>
    </r>
    <r>
      <rPr>
        <sz val="11"/>
        <color theme="1"/>
        <rFont val="游ゴシック"/>
        <family val="2"/>
        <charset val="128"/>
        <scheme val="minor"/>
      </rPr>
      <t xml:space="preserve"> シート</t>
    </r>
  </si>
  <si>
    <t>黄色 + 売上なし（AX列=0）</t>
  </si>
  <si>
    <t>② 各シートで確認・再判定</t>
  </si>
  <si>
    <t>振り分け後、各シートで仕入番号照合や目視確認を行い、色を変更して最終判定します。</t>
  </si>
  <si>
    <t>不明シート</t>
  </si>
  <si>
    <t>初期状態：青色（要確認）</t>
  </si>
  <si>
    <t>ベージュ</t>
  </si>
  <si>
    <t>　→ 在庫あり確定</t>
  </si>
  <si>
    <t>黄色</t>
  </si>
  <si>
    <t>　→ 売約済</t>
  </si>
  <si>
    <t>青</t>
  </si>
  <si>
    <t>　→ 不明のまま保留</t>
  </si>
  <si>
    <t>在庫有シート</t>
  </si>
  <si>
    <t>初期状態：赤色（要確認）</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</si>
  <si>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</si>
  <si>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</si>
  <si>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</si>
  <si>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</si>
  <si>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</si>
  <si>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</si>
  <si>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</si>
  <si>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</si>
  <si>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</si>
  <si>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</si>
  <si>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</si>
  <si>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</si>
  <si>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</si>
  <si>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</si>
  <si>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</si>
  <si>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r>
      <t>ベージュ</t>
    </r>
    <r>
      <rPr>
        <sz val="11"/>
        <color theme="1"/>
        <rFont val="游ゴシック"/>
        <family val="2"/>
        <charset val="128"/>
        <scheme val="minor"/>
      </rPr>
      <t xml:space="preserve"> ：在庫あり確定候補</t>
    </r>
  </si>
  <si>
    <r>
      <t>黄色</t>
    </r>
    <r>
      <rPr>
        <sz val="11"/>
        <color theme="1"/>
        <rFont val="游ゴシック"/>
        <family val="2"/>
        <charset val="128"/>
        <scheme val="minor"/>
      </rPr>
      <t xml:space="preserve"> ：売約済候補</t>
    </r>
  </si>
  <si>
    <r>
      <t>青</t>
    </r>
    <r>
      <rPr>
        <sz val="11"/>
        <color theme="1"/>
        <rFont val="游ゴシック"/>
        <family val="2"/>
        <charset val="128"/>
        <scheme val="minor"/>
      </rPr>
      <t xml:space="preserve"> ：不明・確認待ち</t>
    </r>
  </si>
  <si>
    <r>
      <t>赤</t>
    </r>
    <r>
      <rPr>
        <sz val="11"/>
        <color theme="1"/>
        <rFont val="游ゴシック"/>
        <family val="2"/>
        <charset val="128"/>
        <scheme val="minor"/>
      </rPr>
      <t xml:space="preserve"> ：在庫有・確認待ち</t>
    </r>
  </si>
  <si>
    <t>基本操作ルール</t>
  </si>
  <si>
    <r>
      <t xml:space="preserve">操作対象は </t>
    </r>
    <r>
      <rPr>
        <b/>
        <sz val="11"/>
        <color theme="1"/>
        <rFont val="游ゴシック"/>
        <family val="3"/>
        <charset val="128"/>
        <scheme val="minor"/>
      </rPr>
      <t>10行目以降</t>
    </r>
  </si>
  <si>
    <t>1～9行目は見出しのため操作禁止</t>
  </si>
  <si>
    <t>色変更は対象在庫を選択して実行</t>
  </si>
  <si>
    <t>奇数行・偶数行どちらを選択しても、その在庫セット（2行1組）のA列に反映</t>
  </si>
  <si>
    <t>推奨フロー</t>
  </si>
  <si>
    <t>本体シートで色付け</t>
  </si>
  <si>
    <r>
      <t xml:space="preserve">→ </t>
    </r>
    <r>
      <rPr>
        <b/>
        <sz val="11"/>
        <color theme="1"/>
        <rFont val="游ゴシック"/>
        <family val="3"/>
        <charset val="128"/>
        <scheme val="minor"/>
      </rPr>
      <t>振り分け</t>
    </r>
  </si>
  <si>
    <r>
      <t xml:space="preserve">→ </t>
    </r>
    <r>
      <rPr>
        <b/>
        <sz val="11"/>
        <color theme="1"/>
        <rFont val="游ゴシック"/>
        <family val="3"/>
        <charset val="128"/>
        <scheme val="minor"/>
      </rPr>
      <t>不明 / 在庫有 / 売約済 で確認・色修正</t>
    </r>
  </si>
  <si>
    <r>
      <t xml:space="preserve">→ </t>
    </r>
    <r>
      <rPr>
        <b/>
        <sz val="11"/>
        <color theme="1"/>
        <rFont val="游ゴシック"/>
        <family val="3"/>
        <charset val="128"/>
        <scheme val="minor"/>
      </rPr>
      <t>確定書き出し</t>
    </r>
  </si>
  <si>
    <r>
      <t xml:space="preserve">→ </t>
    </r>
    <r>
      <rPr>
        <b/>
        <sz val="11"/>
        <color theme="1"/>
        <rFont val="游ゴシック"/>
        <family val="3"/>
        <charset val="128"/>
        <scheme val="minor"/>
      </rPr>
      <t>在庫有確定シート完成</t>
    </r>
  </si>
  <si>
    <t>前期のNo.</t>
    <phoneticPr fontId="13"/>
  </si>
  <si>
    <t>※ 表記が崩れないように1~9行目を保護しています。マクロを動かす前後に自動で解除/再保護されます</t>
    <rPh sb="2" eb="4">
      <t>ヒョウキ</t>
    </rPh>
    <rPh sb="5" eb="6">
      <t>クズ</t>
    </rPh>
    <rPh sb="15" eb="17">
      <t>ギョウメ</t>
    </rPh>
    <rPh sb="18" eb="20">
      <t>ホゴ</t>
    </rPh>
    <rPh sb="30" eb="31">
      <t>ウゴ</t>
    </rPh>
    <rPh sb="33" eb="35">
      <t>ゼンゴ</t>
    </rPh>
    <rPh sb="36" eb="38">
      <t>ジドウ</t>
    </rPh>
    <rPh sb="39" eb="41">
      <t>カイジョ</t>
    </rPh>
    <rPh sb="42" eb="45">
      <t>サイホゴ</t>
    </rPh>
    <phoneticPr fontId="1"/>
  </si>
  <si>
    <t>R27-001</t>
    <phoneticPr fontId="13"/>
  </si>
  <si>
    <t>1697回</t>
  </si>
  <si>
    <t>28/3</t>
  </si>
  <si>
    <t>①</t>
    <phoneticPr fontId="13"/>
  </si>
  <si>
    <t>ﾜｺﾞﾝR FXﾘﾐﾃｯﾄﾞ</t>
  </si>
  <si>
    <t>7/12/4</t>
    <phoneticPr fontId="13"/>
  </si>
  <si>
    <t>福岡 583 か 5598</t>
  </si>
  <si>
    <t>予定</t>
  </si>
  <si>
    <t>取説 保証書</t>
  </si>
  <si>
    <t>T'sﾚﾝﾀｶｰに使用</t>
  </si>
  <si>
    <t>580 わ 3989</t>
    <phoneticPr fontId="13"/>
  </si>
  <si>
    <t>ｵｰｸﾈｯﾄ</t>
  </si>
  <si>
    <t>ﾍﾞｰｼﾞｭ</t>
  </si>
  <si>
    <t>MH44S-168107</t>
  </si>
  <si>
    <t>いきてる株式会社</t>
    <phoneticPr fontId="13"/>
  </si>
  <si>
    <t>着</t>
  </si>
  <si>
    <t>4/5</t>
  </si>
  <si>
    <t>取説 保証書 ○</t>
  </si>
  <si>
    <t>R27-002</t>
  </si>
  <si>
    <t>26/3</t>
  </si>
  <si>
    <t>②</t>
    <phoneticPr fontId="13"/>
  </si>
  <si>
    <t>ﾉｰﾄ X ｴﾏｰｼﾞｪﾝｼｰﾌﾞﾚｰｷﾊﾟｯｹｰｼﾞ</t>
  </si>
  <si>
    <t>8/6/11</t>
    <phoneticPr fontId="13"/>
  </si>
  <si>
    <t>春日部 507 ひ 333</t>
  </si>
  <si>
    <t>取説 保証書 ﾜﾝｵｰﾅｰ</t>
  </si>
  <si>
    <t>T'sﾚﾝﾀｶｰ使用</t>
  </si>
  <si>
    <t>500 わ 7954</t>
    <phoneticPr fontId="13"/>
  </si>
  <si>
    <t>Sellca</t>
  </si>
  <si>
    <t>A02985</t>
  </si>
  <si>
    <t>ｸﾞﾚｰ</t>
  </si>
  <si>
    <t>E12-225207</t>
    <phoneticPr fontId="13"/>
  </si>
  <si>
    <t>三星医療電機株式会社</t>
  </si>
  <si>
    <t>2/14</t>
  </si>
  <si>
    <t>取説 保証書 ﾅﾋﾞ取 ﾜﾝｵｰﾅｰ（車内にあった）</t>
  </si>
  <si>
    <t>R27-003</t>
  </si>
  <si>
    <t>27/6</t>
    <phoneticPr fontId="13"/>
  </si>
  <si>
    <t>③</t>
    <phoneticPr fontId="13"/>
  </si>
  <si>
    <t>ｱｳﾃﾞｨRS Q3</t>
    <phoneticPr fontId="13"/>
  </si>
  <si>
    <t>7/11/7</t>
    <phoneticPr fontId="13"/>
  </si>
  <si>
    <t>神戸 304 た  141</t>
    <rPh sb="0" eb="2">
      <t>コウベ</t>
    </rPh>
    <phoneticPr fontId="13"/>
  </si>
  <si>
    <t>HAA9/24 1122回82157成約ｷｬﾝｾﾙ 10/23書類戻り済</t>
    <phoneticPr fontId="13"/>
  </si>
  <si>
    <t>2022/10/23ﾚﾝﾀｶｰに移行</t>
    <rPh sb="16" eb="18">
      <t>イコウ</t>
    </rPh>
    <phoneticPr fontId="13"/>
  </si>
  <si>
    <t>300 わ 4626</t>
    <phoneticPr fontId="13"/>
  </si>
  <si>
    <t>橋本</t>
    <rPh sb="0" eb="2">
      <t>ハシモト</t>
    </rPh>
    <phoneticPr fontId="13"/>
  </si>
  <si>
    <t>ﾊﾟｰﾙ</t>
    <phoneticPr fontId="13"/>
  </si>
  <si>
    <t>WUAZZZ8U0FR900350</t>
    <phoneticPr fontId="13"/>
  </si>
  <si>
    <t>橋本 政人</t>
    <rPh sb="0" eb="2">
      <t>ハシモト</t>
    </rPh>
    <rPh sb="3" eb="5">
      <t>マサト</t>
    </rPh>
    <phoneticPr fontId="13"/>
  </si>
  <si>
    <t>保証書 取説 ｷｰﾚｽ</t>
    <rPh sb="0" eb="3">
      <t>ホショウショ</t>
    </rPh>
    <rPh sb="4" eb="6">
      <t>トリセツ</t>
    </rPh>
    <phoneticPr fontId="13"/>
  </si>
  <si>
    <t>S24-076aからR24-009へ変更</t>
    <rPh sb="18" eb="20">
      <t>ヘンコウ</t>
    </rPh>
    <phoneticPr fontId="13"/>
  </si>
  <si>
    <t>R27-001</t>
  </si>
  <si>
    <t>R27-004</t>
  </si>
  <si>
    <t>661回</t>
    <phoneticPr fontId="13"/>
  </si>
  <si>
    <t>22/12</t>
  </si>
  <si>
    <t>④</t>
    <phoneticPr fontId="13"/>
  </si>
  <si>
    <t>ｱｳﾃﾞｨS3　ｽﾎﾟｰﾂB　TFSI</t>
  </si>
  <si>
    <t>7/7/31</t>
    <phoneticPr fontId="13"/>
  </si>
  <si>
    <t>湘南　301　む　538</t>
  </si>
  <si>
    <t>2024/7/31ﾚﾝﾀｶｰに移行</t>
    <rPh sb="15" eb="17">
      <t>イコウ</t>
    </rPh>
    <phoneticPr fontId="13"/>
  </si>
  <si>
    <t>300 わ 6062</t>
    <phoneticPr fontId="13"/>
  </si>
  <si>
    <t>USS横浜</t>
  </si>
  <si>
    <t>白</t>
  </si>
  <si>
    <t>WAUZZZ8P8BA029243</t>
  </si>
  <si>
    <t>有限会社ｵｰﾄｴｰｽ</t>
    <rPh sb="0" eb="4">
      <t>ユウゲンガイシャ</t>
    </rPh>
    <phoneticPr fontId="13"/>
  </si>
  <si>
    <t>保証書　取説　ｷｰﾚｽ</t>
  </si>
  <si>
    <t>25-062からR25-015へ変更</t>
    <rPh sb="16" eb="18">
      <t>ヘンコウ</t>
    </rPh>
    <phoneticPr fontId="13"/>
  </si>
  <si>
    <t>抹消</t>
    <rPh sb="0" eb="2">
      <t>マッショウ</t>
    </rPh>
    <phoneticPr fontId="13"/>
  </si>
  <si>
    <t>USS神戸</t>
    <rPh sb="3" eb="5">
      <t>コウベ</t>
    </rPh>
    <phoneticPr fontId="13"/>
  </si>
  <si>
    <t>R27-005</t>
  </si>
  <si>
    <t>26/12</t>
    <phoneticPr fontId="13"/>
  </si>
  <si>
    <t>⑤</t>
    <phoneticPr fontId="13"/>
  </si>
  <si>
    <t>BMWﾐﾆ ｸｰﾊﾟｰDｸﾛｽｵｰﾊﾞｰ</t>
    <phoneticPr fontId="13"/>
  </si>
  <si>
    <t>8/5/12</t>
    <phoneticPr fontId="13"/>
  </si>
  <si>
    <t>広島 331 も 3298</t>
    <rPh sb="0" eb="2">
      <t>ヒロシマ</t>
    </rPh>
    <phoneticPr fontId="13"/>
  </si>
  <si>
    <t>2025/5/13 ﾚﾝﾀｶｰに移行</t>
    <rPh sb="16" eb="18">
      <t>イコウ</t>
    </rPh>
    <phoneticPr fontId="13"/>
  </si>
  <si>
    <t>300 わ 6615</t>
    <phoneticPr fontId="13"/>
  </si>
  <si>
    <t>TAA広島</t>
    <rPh sb="3" eb="5">
      <t>ヒロシマ</t>
    </rPh>
    <phoneticPr fontId="13"/>
  </si>
  <si>
    <t>赤Ⅱ</t>
    <rPh sb="0" eb="1">
      <t>アカ</t>
    </rPh>
    <phoneticPr fontId="13"/>
  </si>
  <si>
    <t>WMWXD32030WN36369</t>
    <phoneticPr fontId="13"/>
  </si>
  <si>
    <t>株式会社ｻｺﾀﾞ車輌</t>
    <rPh sb="0" eb="4">
      <t>カブシキガイシャ</t>
    </rPh>
    <rPh sb="8" eb="10">
      <t>シャリョウ</t>
    </rPh>
    <phoneticPr fontId="13"/>
  </si>
  <si>
    <t>2/13</t>
    <phoneticPr fontId="13"/>
  </si>
  <si>
    <t>26-242からR26-009へ変更</t>
    <rPh sb="16" eb="18">
      <t>ヘンコウ</t>
    </rPh>
    <phoneticPr fontId="13"/>
  </si>
  <si>
    <t>R27-006</t>
  </si>
  <si>
    <t>20回</t>
  </si>
  <si>
    <t>27/11</t>
  </si>
  <si>
    <t>⑥</t>
    <phoneticPr fontId="13"/>
  </si>
  <si>
    <t>ﾌｨｱｯﾄ500X ﾎﾟｯﾌﾟｽﾀｰﾌﾟﾗｽ</t>
  </si>
  <si>
    <t>名古屋 343 ふ 1091</t>
  </si>
  <si>
    <t>2025/    ﾚﾝﾀｶｰに移行</t>
    <rPh sb="15" eb="17">
      <t>イコウ</t>
    </rPh>
    <phoneticPr fontId="13"/>
  </si>
  <si>
    <t>300 わ 6860</t>
    <phoneticPr fontId="13"/>
  </si>
  <si>
    <t>MIRIVE愛知(ｱｲｵｰｸ）</t>
  </si>
  <si>
    <t>ZFA3340000P387624</t>
  </si>
  <si>
    <t>井上 三樹男</t>
  </si>
  <si>
    <t>11/20</t>
  </si>
  <si>
    <t>取説 保証書 ｷｰﾚｽ ﾓﾆﾀｰ ﾜﾝｵｰﾅｰ</t>
  </si>
  <si>
    <t>27-144からR27-006へ変更</t>
    <rPh sb="16" eb="18">
      <t>ヘンコウ</t>
    </rPh>
    <phoneticPr fontId="13"/>
  </si>
  <si>
    <t>R27-007</t>
  </si>
  <si>
    <t>1824回</t>
  </si>
  <si>
    <t>28/2</t>
  </si>
  <si>
    <t>⑦</t>
    <phoneticPr fontId="13"/>
  </si>
  <si>
    <t>BMW218dｱｸﾃｨﾌﾞﾂｱﾗｰ Mｽﾎﾟｰﾂ</t>
  </si>
  <si>
    <t>33/2</t>
  </si>
  <si>
    <t>京都 390 つ 8888</t>
  </si>
  <si>
    <t>2026/2 ﾚﾝﾀｶｰに移行</t>
    <rPh sb="13" eb="15">
      <t>イコウ</t>
    </rPh>
    <phoneticPr fontId="13"/>
  </si>
  <si>
    <t>300 わ 7016</t>
    <phoneticPr fontId="13"/>
  </si>
  <si>
    <t>USS名古屋</t>
  </si>
  <si>
    <t>WBA2C120S0V612990</t>
  </si>
  <si>
    <t>株式会社 ﾅｯｸ</t>
  </si>
  <si>
    <t>1/16</t>
  </si>
  <si>
    <t>取説 保証書 ｷｰﾚｽ ﾜﾝｵｰﾅｰ 記録OK</t>
    <phoneticPr fontId="13"/>
  </si>
  <si>
    <t>27-110からR27-007へ変更</t>
    <rPh sb="16" eb="18">
      <t>ヘンコウ</t>
    </rPh>
    <phoneticPr fontId="13"/>
  </si>
  <si>
    <t>抹消済</t>
    <phoneticPr fontId="13"/>
  </si>
  <si>
    <t>ベージュ</t>
    <phoneticPr fontId="1"/>
  </si>
  <si>
    <t>仕入番号照合を行い、一致するものがあればベージュに変換される。ないものは引き続き赤色</t>
    <rPh sb="0" eb="4">
      <t>シイレバンゴウ</t>
    </rPh>
    <rPh sb="4" eb="6">
      <t>ショウゴウ</t>
    </rPh>
    <rPh sb="7" eb="8">
      <t>オコナ</t>
    </rPh>
    <rPh sb="10" eb="12">
      <t>イッチ</t>
    </rPh>
    <rPh sb="25" eb="27">
      <t>ヘンカン</t>
    </rPh>
    <rPh sb="36" eb="37">
      <t>ヒ</t>
    </rPh>
    <rPh sb="38" eb="39">
      <t>ツヅ</t>
    </rPh>
    <rPh sb="40" eb="42">
      <t>アカイロ</t>
    </rPh>
    <phoneticPr fontId="1"/>
  </si>
  <si>
    <t>仕入番号照合を行い、一致するものがあればベージュに変換される。ないものは引き続き青色</t>
    <rPh sb="0" eb="4">
      <t>シイレバンゴウ</t>
    </rPh>
    <rPh sb="4" eb="6">
      <t>ショウゴウ</t>
    </rPh>
    <rPh sb="7" eb="8">
      <t>オコナ</t>
    </rPh>
    <rPh sb="10" eb="12">
      <t>イッチ</t>
    </rPh>
    <rPh sb="25" eb="27">
      <t>ヘンカン</t>
    </rPh>
    <rPh sb="36" eb="37">
      <t>ヒ</t>
    </rPh>
    <rPh sb="38" eb="39">
      <t>ツヅ</t>
    </rPh>
    <rPh sb="40" eb="42">
      <t>アオイロ</t>
    </rPh>
    <phoneticPr fontId="1"/>
  </si>
  <si>
    <t>残った仕入れ番号シートにファイルの仕入番号リストを貼り付けてから照合してください</t>
    <rPh sb="0" eb="1">
      <t>ノコ</t>
    </rPh>
    <rPh sb="3" eb="5">
      <t>シイ</t>
    </rPh>
    <rPh sb="6" eb="8">
      <t>バンゴウ</t>
    </rPh>
    <rPh sb="32" eb="34">
      <t>ショウゴウ</t>
    </rPh>
    <phoneticPr fontId="1"/>
  </si>
  <si>
    <t>年式/色</t>
    <phoneticPr fontId="13"/>
  </si>
  <si>
    <t>19-3782 20-273 R21-008 R22-006 R23-005 R24-004 R25-001 R26-001 R27-001</t>
    <phoneticPr fontId="13"/>
  </si>
  <si>
    <t>20-2552 R21-010 R22-007 R23-006 R24-005 R25-002 R26-002 R27-002</t>
    <phoneticPr fontId="13"/>
  </si>
  <si>
    <t>S23-277 S24-076a R24-009 R25-003 R26-003 R27-003</t>
    <phoneticPr fontId="13"/>
  </si>
  <si>
    <t>18-7870 19-376 20-117 21-090 22-081 23-075 24-066 25-062 R25-015 R26-008 R27-004</t>
    <phoneticPr fontId="13"/>
  </si>
  <si>
    <t xml:space="preserve"> 23-1911 24-333 25-265 26-242 R26-009 R27-005</t>
    <phoneticPr fontId="13"/>
  </si>
  <si>
    <t xml:space="preserve"> 22-1635 23-257 24-182 25-159 26-151 R27-006</t>
    <phoneticPr fontId="13"/>
  </si>
  <si>
    <t>21-2013 22-227 23-173 24-130 25-118 26-113 R27-007</t>
    <phoneticPr fontId="13"/>
  </si>
  <si>
    <t>保証書</t>
    <rPh sb="0" eb="3">
      <t>ホショウショ</t>
    </rPh>
    <phoneticPr fontId="13"/>
  </si>
  <si>
    <t>取説 保証書 ｽﾍﾟｱｷｰ H31記録簿</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</si>
</sst>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Red]\(#,##0\)"/>
    <numFmt numFmtId="178" formatCode="&quot;姫路 &quot;@\ "/>
    <numFmt numFmtId="179" formatCode="###&quot;回&quot;"/>
    <numFmt numFmtId="180" formatCode="[Blue]General"/>
    <numFmt numFmtId="181" formatCode="####&quot;回&quot;"/>
    <numFmt numFmtId="182" formatCode="m&quot;月&quot;d&quot;日&quot;;@"/>
  </numFmts>
  <fonts count="37">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i/>
      <sz val="11"/>
      <color rgb="FF0000FF"/>
      <name val="游ゴシック"/>
      <family val="3"/>
      <charset val="128"/>
    </font>
    <font>
      <b/>
      <i/>
      <sz val="11"/>
      <color rgb="FFFF0000"/>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i/>
      <sz val="11"/>
      <color rgb="FFFF6600"/>
      <name val="游ゴシック"/>
      <family val="3"/>
      <charset val="128"/>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sz val="11"/>
      <color rgb="FFFF0000"/>
      <name val="游ゴシック"/>
      <family val="3"/>
      <charset val="128"/>
      <scheme val="minor"/>
    </font>
    <font>
      <b/>
      <sz val="11"/>
      <color rgb="FFFF0000"/>
      <name val="游ゴシック"/>
      <family val="3"/>
      <charset val="128"/>
      <scheme val="minor"/>
    </font>
    <font>
      <sz val="11"/>
      <color theme="1"/>
      <name val="游ゴシック"/>
      <family val="2"/>
      <charset val="128"/>
      <scheme val="minor"/>
    </font>
    <font>
      <b/>
      <sz val="11"/>
      <color rgb="FF0070C0"/>
      <name val="游ゴシック"/>
      <family val="3"/>
      <charset val="128"/>
      <scheme val="minor"/>
    </font>
    <font>
      <sz val="12"/>
      <color theme="1"/>
      <name val="游ゴシック"/>
      <family val="3"/>
      <charset val="128"/>
      <scheme val="minor"/>
    </font>
    <font>
      <b/>
      <sz val="10"/>
      <color theme="1"/>
      <name val="游ゴシック"/>
      <family val="3"/>
      <charset val="128"/>
      <scheme val="minor"/>
    </font>
    <font>
      <sz val="11"/>
      <name val="游ゴシック"/>
      <family val="3"/>
      <charset val="128"/>
      <scheme val="minor"/>
    </font>
    <font>
      <b/>
      <sz val="12"/>
      <color rgb="FFFF0000"/>
      <name val="游ゴシック"/>
      <family val="3"/>
      <charset val="128"/>
      <scheme val="minor"/>
    </font>
    <font>
      <sz val="11"/>
      <color theme="4" tint="-0.499984740745262"/>
      <name val="游ゴシック"/>
      <family val="3"/>
      <charset val="128"/>
      <scheme val="minor"/>
    </font>
    <font>
      <sz val="9"/>
      <color indexed="81"/>
      <name val="MS P ゴシック"/>
      <family val="3"/>
      <charset val="128"/>
    </font>
    <font>
      <b/>
      <sz val="11"/>
      <color theme="4" tint="-0.499984740745262"/>
      <name val="游ゴシック"/>
      <family val="3"/>
      <charset val="128"/>
      <scheme val="minor"/>
    </font>
    <font>
      <b/>
      <sz val="11"/>
      <color rgb="FF0000FF"/>
      <name val="游ゴシック"/>
      <family val="3"/>
      <charset val="128"/>
    </font>
    <font>
      <b/>
      <i/>
      <sz val="11"/>
      <color rgb="FFFF0000"/>
      <name val="游ゴシック"/>
      <family val="3"/>
      <charset val="128"/>
      <scheme val="minor"/>
    </font>
    <font>
      <b/>
      <i/>
      <sz val="11"/>
      <color rgb="FF0000FF"/>
      <name val="游ゴシック"/>
      <family val="3"/>
      <charset val="128"/>
      <scheme val="minor"/>
    </font>
    <font>
      <b/>
      <i/>
      <sz val="11"/>
      <color rgb="FF008000"/>
      <name val="游ゴシック"/>
      <family val="3"/>
      <charset val="128"/>
      <scheme val="minor"/>
    </font>
    <font>
      <b/>
      <i/>
      <sz val="11"/>
      <color rgb="FF993366"/>
      <name val="游ゴシック"/>
      <family val="3"/>
      <charset val="128"/>
      <scheme val="minor"/>
    </font>
    <font>
      <b/>
      <i/>
      <sz val="11"/>
      <color rgb="FFFFFF00"/>
      <name val="游ゴシック"/>
      <family val="3"/>
      <charset val="128"/>
      <scheme val="minor"/>
    </font>
    <font>
      <b/>
      <i/>
      <sz val="11"/>
      <color rgb="FFFFCC99"/>
      <name val="游ゴシック"/>
      <family val="3"/>
      <charset val="128"/>
      <scheme val="minor"/>
    </font>
  </fonts>
  <fills count="12">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
      <patternFill patternType="solid">
        <fgColor rgb="FFFFF2CC"/>
        <bgColor indexed="64"/>
      </patternFill>
    </fill>
    <fill>
      <patternFill patternType="solid">
        <fgColor theme="6" tint="0.79995117038483843"/>
        <bgColor indexed="64"/>
      </patternFill>
    </fill>
    <fill>
      <patternFill patternType="solid">
        <fgColor theme="5" tint="0.79995117038483843"/>
        <bgColor indexed="64"/>
      </patternFill>
    </fill>
    <fill>
      <patternFill patternType="solid">
        <fgColor theme="6" tint="0.79998168889431442"/>
        <bgColor indexed="64"/>
      </patternFill>
    </fill>
    <fill>
      <patternFill patternType="solid">
        <fgColor rgb="FFFFFF00"/>
        <bgColor indexed="64"/>
      </patternFill>
    </fill>
  </fills>
  <borders count="35">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style="thin">
        <color auto="1"/>
      </left>
      <right style="thin">
        <color auto="1"/>
      </right>
      <top style="thick">
        <color auto="1"/>
      </top>
      <bottom/>
      <diagonal/>
    </border>
    <border>
      <left style="thin">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diagonal/>
    </border>
    <border>
      <left style="thin">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thin">
        <color auto="1"/>
      </left>
      <right/>
      <top/>
      <bottom/>
      <diagonal/>
    </border>
    <border>
      <left style="thin">
        <color auto="1"/>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medium">
        <color auto="1"/>
      </bottom>
      <diagonal/>
    </border>
    <border>
      <left style="thin">
        <color auto="1"/>
      </left>
      <right style="double">
        <color auto="1"/>
      </right>
      <top style="thin">
        <color auto="1"/>
      </top>
      <bottom style="medium">
        <color auto="1"/>
      </bottom>
      <diagonal/>
    </border>
    <border>
      <left style="double">
        <color auto="1"/>
      </left>
      <right style="thin">
        <color auto="1"/>
      </right>
      <top style="thin">
        <color auto="1"/>
      </top>
      <bottom style="medium">
        <color auto="1"/>
      </bottom>
      <diagonal/>
    </border>
    <border>
      <left style="thin">
        <color auto="1"/>
      </left>
      <right/>
      <top/>
      <bottom style="thin">
        <color auto="1"/>
      </bottom>
      <diagonal/>
    </border>
    <border>
      <left style="double">
        <color auto="1"/>
      </left>
      <right/>
      <top style="medium">
        <color auto="1"/>
      </top>
      <bottom style="thin">
        <color auto="1"/>
      </bottom>
      <diagonal/>
    </border>
    <border>
      <left style="double">
        <color auto="1"/>
      </left>
      <right/>
      <top style="thin">
        <color auto="1"/>
      </top>
      <bottom style="medium">
        <color auto="1"/>
      </bottom>
      <diagonal/>
    </border>
  </borders>
  <cellStyleXfs count="2">
    <xf numFmtId="0" fontId="0" fillId="0" borderId="0">
      <alignment vertical="center"/>
    </xf>
    <xf numFmtId="38" fontId="21" fillId="0" borderId="0" applyFont="0" applyFill="0" applyBorder="0" applyAlignment="0" applyProtection="0">
      <alignment vertical="center"/>
    </xf>
  </cellStyleXfs>
  <cellXfs count="91">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176" fontId="10" fillId="2" borderId="2" xfId="0" applyNumberFormat="1" applyFont="1" applyFill="1" applyBorder="1" applyAlignment="1">
      <alignment horizontal="center" vertical="center"/>
    </xf>
    <xf numFmtId="0" fontId="10" fillId="2" borderId="7" xfId="0" applyFont="1" applyFill="1" applyBorder="1" applyAlignment="1">
      <alignment horizontal="center" vertical="center"/>
    </xf>
    <xf numFmtId="0" fontId="11" fillId="6" borderId="0" xfId="0" applyFont="1" applyFill="1">
      <alignment vertical="center"/>
    </xf>
    <xf numFmtId="0" fontId="12" fillId="0" borderId="0" xfId="0" applyFont="1" applyProtection="1">
      <alignment vertical="center"/>
      <protection locked="0"/>
    </xf>
    <xf numFmtId="0" fontId="0" fillId="4" borderId="0" xfId="0" applyFill="1" applyProtection="1">
      <alignment vertical="center"/>
      <protection locked="0"/>
    </xf>
    <xf numFmtId="0" fontId="12"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15" fillId="0" borderId="0" xfId="0" applyFont="1" applyProtection="1">
      <alignment vertical="center"/>
      <protection locked="0"/>
    </xf>
    <xf numFmtId="0" fontId="16" fillId="0" borderId="0" xfId="0" applyFont="1" applyProtection="1">
      <alignment vertical="center"/>
      <protection locked="0"/>
    </xf>
    <xf numFmtId="0" fontId="0" fillId="0" borderId="0" xfId="0" applyAlignment="1" applyProtection="1">
      <alignment horizontal="left" vertical="center" indent="1"/>
      <protection locked="0"/>
    </xf>
    <xf numFmtId="0" fontId="17" fillId="0" borderId="0" xfId="0" applyFont="1" applyAlignment="1" applyProtection="1">
      <alignment horizontal="left" vertical="center" indent="1"/>
      <protection locked="0"/>
    </xf>
    <xf numFmtId="0" fontId="18" fillId="0" borderId="0" xfId="0" applyFont="1" applyProtection="1">
      <alignment vertical="center"/>
      <protection locked="0"/>
    </xf>
    <xf numFmtId="0" fontId="17" fillId="0" borderId="0" xfId="0" applyFont="1" applyProtection="1">
      <alignment vertical="center"/>
      <protection locked="0"/>
    </xf>
    <xf numFmtId="0" fontId="15" fillId="0" borderId="0" xfId="0" applyFont="1">
      <alignment vertical="center"/>
    </xf>
    <xf numFmtId="0" fontId="14" fillId="0" borderId="0" xfId="0" applyFont="1">
      <alignment vertical="center"/>
    </xf>
    <xf numFmtId="0" fontId="16" fillId="0" borderId="0" xfId="0" applyFont="1">
      <alignment vertical="center"/>
    </xf>
    <xf numFmtId="14" fontId="2" fillId="0" borderId="9" xfId="0" applyNumberFormat="1" applyFont="1" applyBorder="1" applyAlignment="1">
      <alignment horizontal="center" vertical="center"/>
    </xf>
    <xf numFmtId="0" fontId="2" fillId="0" borderId="9" xfId="0" applyFont="1" applyBorder="1" applyAlignment="1">
      <alignment horizontal="center" vertical="center"/>
    </xf>
    <xf numFmtId="49" fontId="2" fillId="0" borderId="10" xfId="0" applyNumberFormat="1" applyFont="1" applyBorder="1" applyAlignment="1">
      <alignment horizontal="center" vertical="center"/>
    </xf>
    <xf numFmtId="49" fontId="2" fillId="0" borderId="15" xfId="0" applyNumberFormat="1" applyFont="1" applyBorder="1" applyAlignment="1">
      <alignment horizontal="center" vertical="center"/>
    </xf>
    <xf numFmtId="0" fontId="24" fillId="9" borderId="9" xfId="0" applyFont="1" applyFill="1" applyBorder="1" applyAlignment="1">
      <alignment horizontal="center" vertical="center"/>
    </xf>
    <xf numFmtId="178" fontId="25" fillId="0" borderId="19" xfId="0" applyNumberFormat="1" applyFont="1" applyBorder="1" applyAlignment="1">
      <alignment horizontal="center" vertical="center"/>
    </xf>
    <xf numFmtId="0" fontId="2" fillId="0" borderId="23" xfId="0" applyFont="1" applyBorder="1" applyAlignment="1">
      <alignment horizontal="center" vertical="center"/>
    </xf>
    <xf numFmtId="177" fontId="2" fillId="0" borderId="23" xfId="0" applyNumberFormat="1" applyFont="1" applyBorder="1" applyAlignment="1">
      <alignment horizontal="center" vertical="center"/>
    </xf>
    <xf numFmtId="177" fontId="2" fillId="0" borderId="25" xfId="0" applyNumberFormat="1" applyFont="1" applyBorder="1" applyAlignment="1">
      <alignment horizontal="center" vertical="center"/>
    </xf>
    <xf numFmtId="0" fontId="24" fillId="9" borderId="23" xfId="0" applyFont="1" applyFill="1" applyBorder="1" applyAlignment="1">
      <alignment horizontal="center" vertical="center"/>
    </xf>
    <xf numFmtId="49" fontId="20" fillId="6" borderId="24" xfId="0" applyNumberFormat="1" applyFont="1" applyFill="1" applyBorder="1" applyAlignment="1">
      <alignment horizontal="center" vertical="center"/>
    </xf>
    <xf numFmtId="180" fontId="19" fillId="0" borderId="30" xfId="0" applyNumberFormat="1" applyFont="1" applyBorder="1" applyAlignment="1">
      <alignment horizontal="center" vertical="center"/>
    </xf>
    <xf numFmtId="181" fontId="2" fillId="0" borderId="9" xfId="0" applyNumberFormat="1" applyFont="1" applyBorder="1" applyAlignment="1">
      <alignment horizontal="center" vertical="center"/>
    </xf>
    <xf numFmtId="49" fontId="2" fillId="0" borderId="32" xfId="0" applyNumberFormat="1" applyFont="1" applyBorder="1" applyAlignment="1">
      <alignment horizontal="center" vertical="center"/>
    </xf>
    <xf numFmtId="177" fontId="2" fillId="0" borderId="24" xfId="0" applyNumberFormat="1" applyFont="1" applyBorder="1" applyAlignment="1">
      <alignment horizontal="center" vertical="center"/>
    </xf>
    <xf numFmtId="49" fontId="29" fillId="6" borderId="24" xfId="0" applyNumberFormat="1" applyFont="1" applyFill="1" applyBorder="1" applyAlignment="1">
      <alignment horizontal="center" vertical="center"/>
    </xf>
    <xf numFmtId="0" fontId="0" fillId="8" borderId="12" xfId="0" applyFill="1" applyBorder="1" applyAlignment="1">
      <alignment horizontal="center" vertical="center"/>
    </xf>
    <xf numFmtId="0" fontId="10" fillId="2" borderId="4" xfId="0" applyFont="1" applyFill="1" applyBorder="1" applyAlignment="1">
      <alignment horizontal="center" vertical="center"/>
    </xf>
    <xf numFmtId="0" fontId="10" fillId="2" borderId="5" xfId="0" applyFont="1" applyFill="1" applyBorder="1" applyAlignment="1">
      <alignment horizontal="center" vertical="center"/>
    </xf>
    <xf numFmtId="0" fontId="2" fillId="8" borderId="24" xfId="0" applyFont="1" applyFill="1" applyBorder="1" applyAlignment="1">
      <alignment horizontal="center" vertical="center"/>
    </xf>
    <xf numFmtId="0" fontId="27" fillId="0" borderId="24" xfId="0" applyFont="1" applyBorder="1" applyAlignment="1">
      <alignment horizontal="center" vertical="center"/>
    </xf>
    <xf numFmtId="0" fontId="2" fillId="0" borderId="26" xfId="0" applyFont="1" applyBorder="1" applyAlignment="1">
      <alignment horizontal="center" vertical="center"/>
    </xf>
    <xf numFmtId="0" fontId="2" fillId="0" borderId="24" xfId="0" applyFont="1" applyBorder="1" applyAlignment="1">
      <alignment horizontal="center" vertical="center"/>
    </xf>
    <xf numFmtId="0" fontId="2" fillId="0" borderId="31" xfId="0" applyFont="1" applyBorder="1" applyAlignment="1">
      <alignment horizontal="center" vertical="center"/>
    </xf>
    <xf numFmtId="0" fontId="25" fillId="6" borderId="12" xfId="0" applyFont="1" applyFill="1" applyBorder="1" applyAlignment="1">
      <alignment horizontal="center" vertical="center"/>
    </xf>
    <xf numFmtId="0" fontId="25" fillId="6" borderId="13" xfId="0" applyFont="1" applyFill="1" applyBorder="1" applyAlignment="1">
      <alignment horizontal="center" vertical="center"/>
    </xf>
    <xf numFmtId="0" fontId="2" fillId="0" borderId="14" xfId="0" applyFont="1" applyBorder="1" applyAlignment="1">
      <alignment horizontal="center" vertical="center"/>
    </xf>
    <xf numFmtId="0" fontId="2" fillId="0" borderId="12" xfId="0" applyFont="1" applyBorder="1" applyAlignment="1">
      <alignment horizontal="center" vertical="center"/>
    </xf>
    <xf numFmtId="14" fontId="2" fillId="0" borderId="20" xfId="0" applyNumberFormat="1" applyFont="1" applyBorder="1" applyAlignment="1">
      <alignment horizontal="center" vertical="center"/>
    </xf>
    <xf numFmtId="179" fontId="2" fillId="0" borderId="12" xfId="0" applyNumberFormat="1" applyFont="1" applyBorder="1" applyAlignment="1">
      <alignment horizontal="center" vertical="center"/>
    </xf>
    <xf numFmtId="0" fontId="0" fillId="0" borderId="9" xfId="0" applyBorder="1" applyAlignment="1">
      <alignment horizontal="center" vertical="center"/>
    </xf>
    <xf numFmtId="0" fontId="2" fillId="8" borderId="12" xfId="0" applyFont="1" applyFill="1" applyBorder="1" applyAlignment="1">
      <alignment horizontal="center" vertical="center"/>
    </xf>
    <xf numFmtId="0" fontId="2" fillId="0" borderId="25" xfId="0" applyFont="1" applyBorder="1" applyAlignment="1">
      <alignment horizontal="center" vertical="center"/>
    </xf>
    <xf numFmtId="0" fontId="2" fillId="0" borderId="34" xfId="0" applyFont="1" applyBorder="1" applyAlignment="1">
      <alignment horizontal="center" vertical="center"/>
    </xf>
    <xf numFmtId="0" fontId="2" fillId="0" borderId="13" xfId="0" applyFont="1" applyBorder="1" applyAlignment="1">
      <alignment horizontal="center" vertical="center"/>
    </xf>
    <xf numFmtId="14" fontId="2" fillId="0" borderId="33" xfId="0" applyNumberFormat="1" applyFon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0" fillId="8" borderId="12" xfId="0" applyFill="1" applyBorder="1" applyAlignment="1" applyProtection="1">
      <alignment horizontal="center" vertical="center"/>
      <protection locked="0"/>
    </xf>
    <xf numFmtId="17" fontId="2" fillId="0" borderId="12" xfId="0" applyNumberFormat="1" applyFont="1" applyBorder="1" applyAlignment="1">
      <alignment horizontal="center" vertical="center"/>
    </xf>
    <xf numFmtId="0" fontId="0" fillId="3" borderId="0" xfId="0" applyFill="1" applyAlignment="1">
      <alignment horizontal="center" vertical="center"/>
    </xf>
    <xf numFmtId="0" fontId="22" fillId="11" borderId="8" xfId="0" applyFont="1" applyFill="1" applyBorder="1" applyAlignment="1">
      <alignment horizontal="center" vertical="center"/>
    </xf>
    <xf numFmtId="0" fontId="22" fillId="7" borderId="22" xfId="0" applyFont="1" applyFill="1" applyBorder="1" applyAlignment="1">
      <alignment horizontal="center" vertical="center"/>
    </xf>
    <xf numFmtId="49" fontId="2" fillId="8" borderId="11" xfId="0" applyNumberFormat="1" applyFont="1" applyFill="1" applyBorder="1" applyAlignment="1">
      <alignment horizontal="center" vertical="center"/>
    </xf>
    <xf numFmtId="49" fontId="2" fillId="8" borderId="22" xfId="0" applyNumberFormat="1" applyFont="1" applyFill="1" applyBorder="1" applyAlignment="1">
      <alignment horizontal="center" vertical="center"/>
    </xf>
    <xf numFmtId="0" fontId="0" fillId="0" borderId="16" xfId="0" applyBorder="1" applyAlignment="1">
      <alignment horizontal="center" vertical="center"/>
    </xf>
    <xf numFmtId="0" fontId="0" fillId="0" borderId="27" xfId="0" applyBorder="1" applyAlignment="1">
      <alignment horizontal="center" vertical="center"/>
    </xf>
    <xf numFmtId="177" fontId="23" fillId="0" borderId="17" xfId="0" applyNumberFormat="1" applyFont="1" applyBorder="1" applyAlignment="1">
      <alignment horizontal="center" vertical="center"/>
    </xf>
    <xf numFmtId="177" fontId="23" fillId="0" borderId="28" xfId="0" applyNumberFormat="1" applyFont="1" applyBorder="1" applyAlignment="1">
      <alignment horizontal="center" vertical="center"/>
    </xf>
    <xf numFmtId="0" fontId="10" fillId="2" borderId="1" xfId="0" applyFont="1" applyFill="1" applyBorder="1" applyAlignment="1">
      <alignment horizontal="center" vertical="center"/>
    </xf>
    <xf numFmtId="0" fontId="10" fillId="2" borderId="4" xfId="0" applyFont="1" applyFill="1" applyBorder="1" applyAlignment="1">
      <alignment horizontal="center" vertical="center"/>
    </xf>
    <xf numFmtId="0" fontId="26" fillId="0" borderId="11" xfId="0" applyFont="1" applyBorder="1" applyAlignment="1">
      <alignment horizontal="center" vertical="center"/>
    </xf>
    <xf numFmtId="0" fontId="26" fillId="0" borderId="22" xfId="0" applyFont="1" applyBorder="1" applyAlignment="1">
      <alignment horizontal="center" vertical="center"/>
    </xf>
    <xf numFmtId="177" fontId="23" fillId="0" borderId="21" xfId="0" applyNumberFormat="1" applyFont="1" applyBorder="1" applyAlignment="1">
      <alignment horizontal="center" vertical="center"/>
    </xf>
    <xf numFmtId="38" fontId="23" fillId="0" borderId="18" xfId="1" applyFont="1" applyBorder="1" applyAlignment="1">
      <alignment horizontal="center" vertical="center"/>
    </xf>
    <xf numFmtId="38" fontId="23" fillId="0" borderId="29" xfId="1" applyFont="1" applyBorder="1" applyAlignment="1">
      <alignment horizontal="center" vertical="center"/>
    </xf>
    <xf numFmtId="0" fontId="22" fillId="7" borderId="8" xfId="0" applyFont="1" applyFill="1" applyBorder="1" applyAlignment="1">
      <alignment horizontal="center" vertical="center"/>
    </xf>
    <xf numFmtId="0" fontId="2" fillId="10" borderId="11" xfId="0" applyFont="1" applyFill="1" applyBorder="1" applyAlignment="1">
      <alignment horizontal="center" vertical="center"/>
    </xf>
    <xf numFmtId="0" fontId="0" fillId="10" borderId="22" xfId="0" applyFill="1" applyBorder="1" applyAlignment="1">
      <alignment horizontal="center" vertical="center"/>
    </xf>
    <xf numFmtId="56" fontId="26" fillId="0" borderId="11" xfId="0" applyNumberFormat="1" applyFont="1" applyBorder="1" applyAlignment="1">
      <alignment horizontal="center" vertical="center"/>
    </xf>
    <xf numFmtId="182" fontId="26" fillId="0" borderId="11" xfId="0" applyNumberFormat="1" applyFont="1" applyBorder="1" applyAlignment="1">
      <alignment horizontal="center" vertical="center"/>
    </xf>
    <xf numFmtId="182" fontId="26" fillId="0" borderId="22" xfId="0" applyNumberFormat="1" applyFont="1" applyBorder="1" applyAlignment="1">
      <alignment horizontal="center" vertical="center"/>
    </xf>
    <xf numFmtId="0" fontId="0" fillId="3" borderId="0" xfId="0" applyFill="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0</xdr:colOff>
      <xdr:row>1</xdr:row>
      <xdr:rowOff>223837</xdr:rowOff>
    </xdr:from>
    <xdr:to>
      <xdr:col>19</xdr:col>
      <xdr:colOff>485775</xdr:colOff>
      <xdr:row>27</xdr:row>
      <xdr:rowOff>176212</xdr:rowOff>
    </xdr:to>
    <xdr:sp macro="" textlink="">
      <xdr:nvSpPr>
        <xdr:cNvPr id="3" name="テキスト ボックス 2">
          <a:extLst>
            <a:ext uri="{FF2B5EF4-FFF2-40B4-BE49-F238E27FC236}">
              <a16:creationId xmlns:a16="http://schemas.microsoft.com/office/drawing/2014/main" id="{3E3626B2-C909-4F7F-A121-FB052C75C0BB}"/>
            </a:ext>
          </a:extLst>
        </xdr:cNvPr>
        <xdr:cNvSpPr txBox="1"/>
      </xdr:nvSpPr>
      <xdr:spPr>
        <a:xfrm>
          <a:off x="6858000" y="500062"/>
          <a:ext cx="6657975" cy="6124575"/>
        </a:xfrm>
        <a:prstGeom prst="rect">
          <a:avLst/>
        </a:prstGeom>
        <a:solidFill>
          <a:schemeClr val="accent1">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ja-JP" altLang="en-US" sz="1400" b="1"/>
            <a:t>メモの管理方法</a:t>
          </a:r>
          <a:endParaRPr lang="en-US" altLang="ja-JP" sz="1400" b="1"/>
        </a:p>
        <a:p>
          <a:endParaRPr lang="en-US" altLang="ja-JP" sz="1000" b="1"/>
        </a:p>
        <a:p>
          <a:r>
            <a:rPr lang="ja-JP" altLang="ja-JP" sz="1000" b="1"/>
            <a:t>① 前期No.履歴の引き継ぎ（必要時）</a:t>
          </a:r>
        </a:p>
        <a:p>
          <a:r>
            <a:rPr lang="ja-JP" altLang="ja-JP" sz="1000"/>
            <a:t>前年データや過去在庫番号の履歴を引き継ぐ場合は、最初に以下を実行します。</a:t>
          </a:r>
        </a:p>
        <a:p>
          <a:r>
            <a:rPr lang="ja-JP" altLang="ja-JP" sz="1000" b="1"/>
            <a:t>コメントを書き出す</a:t>
          </a:r>
        </a:p>
        <a:p>
          <a:r>
            <a:rPr lang="ja-JP" altLang="ja-JP" sz="1000"/>
            <a:t>A列セルのコメント欄に保存されている </a:t>
          </a:r>
          <a:r>
            <a:rPr lang="ja-JP" altLang="ja-JP" sz="1000" b="1"/>
            <a:t>過去の在庫番号履歴（前期No.）</a:t>
          </a:r>
          <a:r>
            <a:rPr lang="ja-JP" altLang="ja-JP" sz="1000"/>
            <a:t> を、BA列「前期のNo.」へ書き出します。</a:t>
          </a:r>
        </a:p>
        <a:p>
          <a:r>
            <a:rPr lang="ja-JP" altLang="ja-JP" sz="1000" b="1"/>
            <a:t>目的</a:t>
          </a:r>
        </a:p>
        <a:p>
          <a:r>
            <a:rPr lang="ja-JP" altLang="ja-JP" sz="1000"/>
            <a:t>コメント内の過去No.を見える化 </a:t>
          </a:r>
        </a:p>
        <a:p>
          <a:r>
            <a:rPr lang="ja-JP" altLang="ja-JP" sz="1000"/>
            <a:t>前期No.を一覧管理 </a:t>
          </a:r>
        </a:p>
        <a:p>
          <a:r>
            <a:rPr lang="ja-JP" altLang="ja-JP" sz="1000"/>
            <a:t>今期No.追加前の準備 </a:t>
          </a:r>
        </a:p>
        <a:p>
          <a:br>
            <a:rPr lang="ja-JP" altLang="ja-JP" sz="1000"/>
          </a:br>
          <a:endParaRPr lang="ja-JP" altLang="ja-JP" sz="1000"/>
        </a:p>
        <a:p>
          <a:r>
            <a:rPr lang="ja-JP" altLang="ja-JP" sz="1000" b="1"/>
            <a:t>今期のNoを追加</a:t>
          </a:r>
        </a:p>
        <a:p>
          <a:r>
            <a:rPr lang="ja-JP" altLang="ja-JP" sz="1000"/>
            <a:t>現在の在庫番号（A列）を、BA列の前期No.履歴に追加し、</a:t>
          </a:r>
          <a:br>
            <a:rPr lang="ja-JP" altLang="ja-JP" sz="1000"/>
          </a:br>
          <a:r>
            <a:rPr lang="ja-JP" altLang="ja-JP" sz="1000" b="1"/>
            <a:t>前期No. + 今期No. の履歴</a:t>
          </a:r>
          <a:r>
            <a:rPr lang="ja-JP" altLang="ja-JP" sz="1000"/>
            <a:t> を新しいコメントとしてA列へ再登録します。</a:t>
          </a:r>
        </a:p>
        <a:p>
          <a:endParaRPr lang="en-US" altLang="ja-JP" sz="1000" b="1"/>
        </a:p>
        <a:p>
          <a:r>
            <a:rPr lang="ja-JP" altLang="ja-JP" sz="1000" b="1"/>
            <a:t>目的</a:t>
          </a:r>
        </a:p>
        <a:p>
          <a:r>
            <a:rPr lang="ja-JP" altLang="ja-JP" sz="1000"/>
            <a:t>過去No. + 現在No. の履歴統合 </a:t>
          </a:r>
        </a:p>
        <a:p>
          <a:r>
            <a:rPr lang="ja-JP" altLang="ja-JP" sz="1000"/>
            <a:t>次年度以降も追跡可能 </a:t>
          </a:r>
        </a:p>
        <a:p>
          <a:r>
            <a:rPr lang="ja-JP" altLang="ja-JP" sz="1000"/>
            <a:t>同一商品の番号変遷管理 </a:t>
          </a:r>
        </a:p>
        <a:p>
          <a:br>
            <a:rPr lang="ja-JP" altLang="ja-JP" sz="1000"/>
          </a:br>
          <a:endParaRPr lang="ja-JP" altLang="ja-JP" sz="1000"/>
        </a:p>
        <a:p>
          <a:r>
            <a:rPr lang="ja-JP" altLang="ja-JP" sz="1000" b="1"/>
            <a:t>実行順</a:t>
          </a:r>
        </a:p>
        <a:p>
          <a:r>
            <a:rPr lang="ja-JP" altLang="en-US" sz="1000" b="0"/>
            <a:t>①</a:t>
          </a:r>
          <a:r>
            <a:rPr lang="ja-JP" altLang="ja-JP" sz="1000" b="0"/>
            <a:t>コメントを書き出す </a:t>
          </a:r>
        </a:p>
        <a:p>
          <a:r>
            <a:rPr lang="ja-JP" altLang="en-US" sz="1000" b="0"/>
            <a:t>②</a:t>
          </a:r>
          <a:r>
            <a:rPr lang="ja-JP" altLang="ja-JP" sz="1000" b="0"/>
            <a:t>今期のNoを追加 </a:t>
          </a:r>
        </a:p>
        <a:p>
          <a:br>
            <a:rPr lang="ja-JP" altLang="ja-JP" sz="1000"/>
          </a:br>
          <a:endParaRPr lang="ja-JP" altLang="ja-JP" sz="1000"/>
        </a:p>
        <a:p>
          <a:r>
            <a:rPr lang="ja-JP" altLang="ja-JP" sz="1000" b="1"/>
            <a:t>結果</a:t>
          </a:r>
        </a:p>
        <a:p>
          <a:r>
            <a:rPr lang="ja-JP" altLang="ja-JP" sz="1000"/>
            <a:t>BA列：前期No. + 今期No. </a:t>
          </a:r>
        </a:p>
        <a:p>
          <a:r>
            <a:rPr lang="ja-JP" altLang="ja-JP" sz="1000"/>
            <a:t>A列コメント：履歴統合済みNo.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139700</xdr:colOff>
      <xdr:row>0</xdr:row>
      <xdr:rowOff>146050</xdr:rowOff>
    </xdr:from>
    <xdr:to>
      <xdr:col>5</xdr:col>
      <xdr:colOff>31750</xdr:colOff>
      <xdr:row>2</xdr:row>
      <xdr:rowOff>95249</xdr:rowOff>
    </xdr:to>
    <xdr:sp macro="" textlink="">
      <xdr:nvSpPr>
        <xdr:cNvPr id="6" name="テキスト ボックス 5">
          <a:extLst>
            <a:ext uri="{FF2B5EF4-FFF2-40B4-BE49-F238E27FC236}">
              <a16:creationId xmlns:a16="http://schemas.microsoft.com/office/drawing/2014/main" id="{00000000-0008-0000-0000-000006000000}"/>
            </a:ext>
          </a:extLst>
        </xdr:cNvPr>
        <xdr:cNvSpPr txBox="1"/>
      </xdr:nvSpPr>
      <xdr:spPr>
        <a:xfrm>
          <a:off x="2006600" y="146050"/>
          <a:ext cx="1863725" cy="425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残った仕入れ番号のリスト</a:t>
          </a:r>
          <a:endParaRPr kumimoji="1" lang="en-US" altLang="ja-JP" sz="1100"/>
        </a:p>
      </xdr:txBody>
    </xdr:sp>
    <xdr:clientData/>
  </xdr:twoCellAnchor>
  <xdr:twoCellAnchor>
    <xdr:from>
      <xdr:col>0</xdr:col>
      <xdr:colOff>76199</xdr:colOff>
      <xdr:row>7</xdr:row>
      <xdr:rowOff>158751</xdr:rowOff>
    </xdr:from>
    <xdr:to>
      <xdr:col>8</xdr:col>
      <xdr:colOff>61912</xdr:colOff>
      <xdr:row>9</xdr:row>
      <xdr:rowOff>9526</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76199" y="1725614"/>
          <a:ext cx="5795963" cy="2984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chemeClr val="accent1">
                  <a:lumMod val="75000"/>
                </a:schemeClr>
              </a:solidFill>
            </a:rPr>
            <a:t>↓</a:t>
          </a:r>
          <a:r>
            <a:rPr kumimoji="1" lang="ja-JP" altLang="en-US" sz="1400" b="1" i="0" u="none" strike="noStrike" kern="0" cap="none" spc="0" normalizeH="0" baseline="0" noProof="0">
              <a:ln>
                <a:noFill/>
              </a:ln>
              <a:solidFill>
                <a:srgbClr val="4472C4">
                  <a:lumMod val="75000"/>
                </a:srgbClr>
              </a:solidFill>
              <a:effectLst/>
              <a:uLnTx/>
              <a:uFillTx/>
              <a:latin typeface="+mn-lt"/>
              <a:ea typeface="+mn-ea"/>
              <a:cs typeface="+mn-cs"/>
            </a:rPr>
            <a:t>↓↓　ファイルの仕入番号リストを貼り付けてください</a:t>
          </a:r>
          <a:endParaRPr kumimoji="1" lang="ja-JP" altLang="en-US" sz="1400" b="1">
            <a:solidFill>
              <a:schemeClr val="accent1">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0</xdr:col>
      <xdr:colOff>0</xdr:colOff>
      <xdr:row>0</xdr:row>
      <xdr:rowOff>0</xdr:rowOff>
    </xdr:from>
    <xdr:to>
      <xdr:col>1</xdr:col>
      <xdr:colOff>590550</xdr:colOff>
      <xdr:row>2</xdr:row>
      <xdr:rowOff>76200</xdr:rowOff>
    </xdr:to>
    <xdr:sp macro="" textlink="">
      <xdr:nvSpPr>
        <xdr:cNvPr id="4" name="テキスト ボックス 3">
          <a:extLst>
            <a:ext uri="{FF2B5EF4-FFF2-40B4-BE49-F238E27FC236}">
              <a16:creationId xmlns:a16="http://schemas.microsoft.com/office/drawing/2014/main" id="{6EFE6D00-B5BC-42CD-B694-4878D7B8B5AA}"/>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731520</xdr:colOff>
      <xdr:row>0</xdr:row>
      <xdr:rowOff>111443</xdr:rowOff>
    </xdr:from>
    <xdr:to>
      <xdr:col>2</xdr:col>
      <xdr:colOff>549593</xdr:colOff>
      <xdr:row>2</xdr:row>
      <xdr:rowOff>130493</xdr:rowOff>
    </xdr:to>
    <xdr:pic>
      <xdr:nvPicPr>
        <xdr:cNvPr id="2" name="テキスト ボックス 16">
          <a:extLst>
            <a:ext uri="{FF2B5EF4-FFF2-40B4-BE49-F238E27FC236}">
              <a16:creationId xmlns:a16="http://schemas.microsoft.com/office/drawing/2014/main" id="{DAA062BC-EDA8-62D5-472A-34A55D18DF25}"/>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5895" y="111443"/>
          <a:ext cx="1361123"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704850</xdr:colOff>
      <xdr:row>2</xdr:row>
      <xdr:rowOff>76200</xdr:rowOff>
    </xdr:to>
    <xdr:pic>
      <xdr:nvPicPr>
        <xdr:cNvPr id="3" name="テキスト ボックス 4659">
          <a:extLst>
            <a:ext uri="{FF2B5EF4-FFF2-40B4-BE49-F238E27FC236}">
              <a16:creationId xmlns:a16="http://schemas.microsoft.com/office/drawing/2014/main" id="{BD3D7DC9-9CE0-44A2-4EEA-1CD59F045F15}"/>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097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2E75277F-FB04-82B1-C01E-E7FE108AFD2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A7F0E9DF-848D-BB11-E703-53ED5B289C3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160020</xdr:rowOff>
        </xdr:from>
        <xdr:to>
          <xdr:col>6</xdr:col>
          <xdr:colOff>464820</xdr:colOff>
          <xdr:row>2</xdr:row>
          <xdr:rowOff>129540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906FA901-95C3-2B7B-F036-C6CE0447305F}"/>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1584960</xdr:colOff>
          <xdr:row>3</xdr:row>
          <xdr:rowOff>114300</xdr:rowOff>
        </xdr:from>
        <xdr:to>
          <xdr:col>6</xdr:col>
          <xdr:colOff>472440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75E74326-A304-E660-CE1D-32C36D445143}"/>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633EB611-1919-F6BB-789D-FEB54392A3F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EF5BCCF0-CFD3-646E-6214-8C16168A68A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4CA61660-33F8-E117-BAD7-026DA647833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xdr:twoCellAnchor>
    <xdr:from>
      <xdr:col>1</xdr:col>
      <xdr:colOff>1082675</xdr:colOff>
      <xdr:row>0</xdr:row>
      <xdr:rowOff>136525</xdr:rowOff>
    </xdr:from>
    <xdr:to>
      <xdr:col>3</xdr:col>
      <xdr:colOff>219075</xdr:colOff>
      <xdr:row>2</xdr:row>
      <xdr:rowOff>39498</xdr:rowOff>
    </xdr:to>
    <xdr:sp macro="" textlink="">
      <xdr:nvSpPr>
        <xdr:cNvPr id="23" name="テキスト ボックス 22">
          <a:extLst>
            <a:ext uri="{FF2B5EF4-FFF2-40B4-BE49-F238E27FC236}">
              <a16:creationId xmlns:a16="http://schemas.microsoft.com/office/drawing/2014/main" id="{00000000-0008-0000-0200-000017000000}"/>
            </a:ext>
          </a:extLst>
        </xdr:cNvPr>
        <xdr:cNvSpPr txBox="1"/>
      </xdr:nvSpPr>
      <xdr:spPr>
        <a:xfrm>
          <a:off x="1892300" y="136525"/>
          <a:ext cx="1365250" cy="3792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売約済リスト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0B95F3F5-0714-4D4F-9408-F11A65816058}"/>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9145348D-F981-42F6-846C-DA3B04B02F9C}"/>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E61A00C4-6140-403A-A245-610F731DE198}"/>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B465EE8B-0AFA-48B2-AC60-0575883196A0}"/>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AD3C351F-0E00-4C77-B0E5-61216A71E22E}"/>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2" name="テキスト ボックス 1">
          <a:extLst>
            <a:ext uri="{FF2B5EF4-FFF2-40B4-BE49-F238E27FC236}">
              <a16:creationId xmlns:a16="http://schemas.microsoft.com/office/drawing/2014/main" id="{13149B2A-18D2-472D-A38A-1D1B4BC3A9B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1303BF3B-E573-4EE0-97B1-42D6BFD8071B}"/>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613514F5-2E06-4E6E-8483-82B0F4324F31}"/>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911D88B7-E987-49D4-A7D4-8473269F05B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CC4B49F0-ED2C-46F2-B105-E290767B4E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B4F519FF-24A7-49F1-9E68-FA2590D7202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614CD8FB-C048-4B1F-A3C7-8653F497758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1471BB34-899E-4687-8D2A-1468D69F4C4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05640B59-8F1C-486F-A242-B0AE2038FF26}"/>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6" name="テキスト ボックス 15">
          <a:extLst>
            <a:ext uri="{FF2B5EF4-FFF2-40B4-BE49-F238E27FC236}">
              <a16:creationId xmlns:a16="http://schemas.microsoft.com/office/drawing/2014/main" id="{84C2B6EB-D1DD-4FE4-9200-0BF364F03270}"/>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7" name="テキスト ボックス 16">
          <a:extLst>
            <a:ext uri="{FF2B5EF4-FFF2-40B4-BE49-F238E27FC236}">
              <a16:creationId xmlns:a16="http://schemas.microsoft.com/office/drawing/2014/main" id="{C88D5584-AC79-421A-8D9D-0D3629ED75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8" name="テキスト ボックス 17">
          <a:extLst>
            <a:ext uri="{FF2B5EF4-FFF2-40B4-BE49-F238E27FC236}">
              <a16:creationId xmlns:a16="http://schemas.microsoft.com/office/drawing/2014/main" id="{F53991C8-78D6-4D4F-B3E3-289815BAF78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a:p>
              <a:pPr algn="ctr" rtl="0">
                <a:defRPr sz="1000"/>
              </a:pPr>
              <a:endParaRPr lang="ja-JP" altLang="en-US" sz="1100" b="1" i="1" u="none" strike="noStrike" baseline="0">
                <a:solidFill>
                  <a:srgbClr val="00CCFF"/>
                </a:solidFill>
                <a:latin typeface="游ゴシック"/>
                <a:ea typeface="游ゴシック"/>
              </a:endParaRPr>
            </a:p>
          </xdr:txBody>
        </xdr:sp>
        <xdr:clientData fPrintsWithSheet="0"/>
      </xdr:twoCellAnchor>
    </mc:Choice>
    <mc:Fallback/>
  </mc:AlternateContent>
  <xdr:twoCellAnchor>
    <xdr:from>
      <xdr:col>1</xdr:col>
      <xdr:colOff>1209675</xdr:colOff>
      <xdr:row>0</xdr:row>
      <xdr:rowOff>146051</xdr:rowOff>
    </xdr:from>
    <xdr:to>
      <xdr:col>3</xdr:col>
      <xdr:colOff>47625</xdr:colOff>
      <xdr:row>2</xdr:row>
      <xdr:rowOff>85725</xdr:rowOff>
    </xdr:to>
    <xdr:sp macro="" textlink="">
      <xdr:nvSpPr>
        <xdr:cNvPr id="2" name="テキスト ボックス 1">
          <a:extLst>
            <a:ext uri="{FF2B5EF4-FFF2-40B4-BE49-F238E27FC236}">
              <a16:creationId xmlns:a16="http://schemas.microsoft.com/office/drawing/2014/main" id="{D0AABC94-19F2-43C8-A049-94AADF9AC767}"/>
            </a:ext>
          </a:extLst>
        </xdr:cNvPr>
        <xdr:cNvSpPr txBox="1"/>
      </xdr:nvSpPr>
      <xdr:spPr>
        <a:xfrm>
          <a:off x="2019300" y="146051"/>
          <a:ext cx="1066800" cy="387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入力ミス</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3D379064-6DED-4CBD-8D59-DB0A3C863396}"/>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FB8DC2FF-6A65-43F5-B995-DE023A54A2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A7DBA9A0-EC96-4F65-967F-304592B98B7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A246D972-06EA-4DC6-8C15-524D4EBB52E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DCF41C3D-4367-4BA5-AF6C-C7D3DE78342F}"/>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B448A682-A7CA-48CD-A6A6-03199823DAF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4396558C-5D42-4792-828B-1C9D060C8E3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43A75383-2712-47E8-93C7-8BC812B91AC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BBD2BCD0-2E54-4229-87E4-9304CE58591E}"/>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1835B161-441F-4A6C-9F79-C9B2C054C0E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27DDADC2-EE2E-4069-84B4-833DC567C0A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ECD7E5FE-F93C-4CAC-8BC1-E2C86D2FB4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404DAC9C-22F9-4C9B-8F13-72D3F94438E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1</xdr:col>
      <xdr:colOff>1168400</xdr:colOff>
      <xdr:row>0</xdr:row>
      <xdr:rowOff>174625</xdr:rowOff>
    </xdr:from>
    <xdr:to>
      <xdr:col>3</xdr:col>
      <xdr:colOff>352425</xdr:colOff>
      <xdr:row>2</xdr:row>
      <xdr:rowOff>104775</xdr:rowOff>
    </xdr:to>
    <xdr:sp macro="" textlink="">
      <xdr:nvSpPr>
        <xdr:cNvPr id="2" name="テキスト ボックス 1">
          <a:extLst>
            <a:ext uri="{FF2B5EF4-FFF2-40B4-BE49-F238E27FC236}">
              <a16:creationId xmlns:a16="http://schemas.microsoft.com/office/drawing/2014/main" id="{27E4FEEF-65E1-4984-8001-0024F567F53D}"/>
            </a:ext>
          </a:extLst>
        </xdr:cNvPr>
        <xdr:cNvSpPr txBox="1"/>
      </xdr:nvSpPr>
      <xdr:spPr>
        <a:xfrm>
          <a:off x="1854200" y="174625"/>
          <a:ext cx="1389063"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a:t>
          </a:r>
          <a:r>
            <a:rPr kumimoji="1" lang="en-US" altLang="ja-JP" sz="1100"/>
            <a:t>(</a:t>
          </a:r>
          <a:r>
            <a:rPr kumimoji="1" lang="ja-JP" altLang="en-US" sz="1100"/>
            <a:t>仮</a:t>
          </a:r>
          <a:r>
            <a:rPr kumimoji="1" lang="en-US" altLang="ja-JP" sz="1100"/>
            <a:t>)</a:t>
          </a:r>
          <a:r>
            <a:rPr kumimoji="1" lang="ja-JP" altLang="en-US" sz="1100"/>
            <a:t>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937260</xdr:colOff>
          <xdr:row>0</xdr:row>
          <xdr:rowOff>152400</xdr:rowOff>
        </xdr:from>
        <xdr:to>
          <xdr:col>5</xdr:col>
          <xdr:colOff>1836420</xdr:colOff>
          <xdr:row>2</xdr:row>
          <xdr:rowOff>152400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6600"/>
                  </a:solidFill>
                  <a:latin typeface="游ゴシック"/>
                  <a:ea typeface="游ゴシック"/>
                </a:rPr>
                <a:t>赤</a:t>
              </a:r>
            </a:p>
            <a:p>
              <a:pPr algn="ctr" rtl="0">
                <a:defRPr sz="1000"/>
              </a:pPr>
              <a:endParaRPr lang="ja-JP" altLang="en-US" sz="1100" b="1" i="1" u="none" strike="noStrike" baseline="0">
                <a:solidFill>
                  <a:srgbClr val="FF66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723900</xdr:colOff>
      <xdr:row>2</xdr:row>
      <xdr:rowOff>76200</xdr:rowOff>
    </xdr:to>
    <xdr:sp macro="" textlink="">
      <xdr:nvSpPr>
        <xdr:cNvPr id="3" name="テキスト ボックス 2">
          <a:extLst>
            <a:ext uri="{FF2B5EF4-FFF2-40B4-BE49-F238E27FC236}">
              <a16:creationId xmlns:a16="http://schemas.microsoft.com/office/drawing/2014/main" id="{F157EA60-1F11-4C4B-B749-073FEE932937}"/>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xdr:twoCellAnchor>
    <xdr:from>
      <xdr:col>1</xdr:col>
      <xdr:colOff>1104900</xdr:colOff>
      <xdr:row>0</xdr:row>
      <xdr:rowOff>184150</xdr:rowOff>
    </xdr:from>
    <xdr:to>
      <xdr:col>3</xdr:col>
      <xdr:colOff>581025</xdr:colOff>
      <xdr:row>2</xdr:row>
      <xdr:rowOff>87123</xdr:rowOff>
    </xdr:to>
    <xdr:sp macro="" textlink="">
      <xdr:nvSpPr>
        <xdr:cNvPr id="2" name="テキスト ボックス 1">
          <a:extLst>
            <a:ext uri="{FF2B5EF4-FFF2-40B4-BE49-F238E27FC236}">
              <a16:creationId xmlns:a16="http://schemas.microsoft.com/office/drawing/2014/main" id="{4D3784AC-D4BB-40F1-A6D0-44024B945F52}"/>
            </a:ext>
          </a:extLst>
        </xdr:cNvPr>
        <xdr:cNvSpPr txBox="1"/>
      </xdr:nvSpPr>
      <xdr:spPr>
        <a:xfrm>
          <a:off x="1714500" y="184150"/>
          <a:ext cx="1647826" cy="350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在庫有リスト完成版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4</xdr:col>
          <xdr:colOff>0</xdr:colOff>
          <xdr:row>0</xdr:row>
          <xdr:rowOff>171450</xdr:rowOff>
        </xdr:from>
        <xdr:to>
          <xdr:col>5</xdr:col>
          <xdr:colOff>647700</xdr:colOff>
          <xdr:row>2</xdr:row>
          <xdr:rowOff>180975</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666B9B10-D9D2-4E01-8833-E706C25469B6}"/>
            </a:ext>
          </a:extLst>
        </xdr:cNvPr>
        <xdr:cNvSpPr txBox="1"/>
      </xdr:nvSpPr>
      <xdr:spPr>
        <a:xfrm>
          <a:off x="0" y="0"/>
          <a:ext cx="1209675"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mc:AlternateContent xmlns:mc="http://schemas.openxmlformats.org/markup-compatibility/2006">
    <mc:Choice xmlns:a14="http://schemas.microsoft.com/office/drawing/2010/main" Requires="a14">
      <xdr:twoCellAnchor>
        <xdr:from>
          <xdr:col>5</xdr:col>
          <xdr:colOff>1104900</xdr:colOff>
          <xdr:row>3</xdr:row>
          <xdr:rowOff>219075</xdr:rowOff>
        </xdr:from>
        <xdr:to>
          <xdr:col>6</xdr:col>
          <xdr:colOff>257175</xdr:colOff>
          <xdr:row>6</xdr:row>
          <xdr:rowOff>28575</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omments" Target="../comments1.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B6D5-3ABA-4F9A-82E5-7C0C7A12DAD5}">
  <sheetPr codeName="操作手順">
    <tabColor theme="6" tint="-0.249977111117893"/>
  </sheetPr>
  <dimension ref="A1:A111"/>
  <sheetViews>
    <sheetView workbookViewId="0">
      <selection activeCell="E14" sqref="E14"/>
    </sheetView>
  </sheetViews>
  <sheetFormatPr defaultColWidth="9" defaultRowHeight="18"/>
  <cols>
    <col min="1" max="16384" width="9" style="1"/>
  </cols>
  <sheetData>
    <row r="1" spans="1:1" customFormat="1" ht="22.2">
      <c r="A1" s="23" t="s">
        <v>24</v>
      </c>
    </row>
    <row r="2" spans="1:1" customFormat="1">
      <c r="A2" s="24" t="s">
        <v>79</v>
      </c>
    </row>
    <row r="3" spans="1:1" customFormat="1"/>
    <row r="4" spans="1:1" customFormat="1" ht="39">
      <c r="A4" s="25" t="s">
        <v>25</v>
      </c>
    </row>
    <row r="5" spans="1:1" customFormat="1"/>
    <row r="6" spans="1:1" customFormat="1">
      <c r="A6" t="s">
        <v>26</v>
      </c>
    </row>
    <row r="7" spans="1:1" customFormat="1">
      <c r="A7" t="s">
        <v>27</v>
      </c>
    </row>
    <row r="8" spans="1:1" customFormat="1"/>
    <row r="9" spans="1:1" customFormat="1" ht="22.2">
      <c r="A9" s="23" t="s">
        <v>28</v>
      </c>
    </row>
    <row r="10" spans="1:1">
      <c r="A10" s="19"/>
    </row>
    <row r="11" spans="1:1">
      <c r="A11" s="20" t="s">
        <v>29</v>
      </c>
    </row>
    <row r="12" spans="1:1">
      <c r="A12" s="19" t="s">
        <v>30</v>
      </c>
    </row>
    <row r="13" spans="1:1">
      <c r="A13" s="19"/>
    </row>
    <row r="14" spans="1:1">
      <c r="A14" s="20" t="s">
        <v>31</v>
      </c>
    </row>
    <row r="15" spans="1:1">
      <c r="A15" s="19" t="s">
        <v>32</v>
      </c>
    </row>
    <row r="16" spans="1:1">
      <c r="A16" s="19"/>
    </row>
    <row r="17" spans="1:1">
      <c r="A17" s="20" t="s">
        <v>33</v>
      </c>
    </row>
    <row r="18" spans="1:1">
      <c r="A18" s="19" t="s">
        <v>34</v>
      </c>
    </row>
    <row r="19" spans="1:1">
      <c r="A19" s="19"/>
    </row>
    <row r="20" spans="1:1">
      <c r="A20" s="20" t="s">
        <v>35</v>
      </c>
    </row>
    <row r="21" spans="1:1">
      <c r="A21" s="19" t="s">
        <v>32</v>
      </c>
    </row>
    <row r="25" spans="1:1" ht="39">
      <c r="A25" s="18" t="s">
        <v>36</v>
      </c>
    </row>
    <row r="27" spans="1:1">
      <c r="A27" s="1" t="s">
        <v>37</v>
      </c>
    </row>
    <row r="28" spans="1:1">
      <c r="A28" s="1" t="s">
        <v>194</v>
      </c>
    </row>
    <row r="30" spans="1:1" ht="28.8">
      <c r="A30" s="21" t="s">
        <v>38</v>
      </c>
    </row>
    <row r="32" spans="1:1">
      <c r="A32" s="1" t="s">
        <v>39</v>
      </c>
    </row>
    <row r="33" spans="1:1">
      <c r="A33" s="1" t="s">
        <v>193</v>
      </c>
    </row>
    <row r="34" spans="1:1">
      <c r="A34" s="19"/>
    </row>
    <row r="35" spans="1:1">
      <c r="A35" s="20" t="s">
        <v>191</v>
      </c>
    </row>
    <row r="36" spans="1:1">
      <c r="A36" s="19" t="s">
        <v>41</v>
      </c>
    </row>
    <row r="37" spans="1:1">
      <c r="A37" s="19"/>
    </row>
    <row r="38" spans="1:1">
      <c r="A38" s="20" t="s">
        <v>42</v>
      </c>
    </row>
    <row r="39" spans="1:1">
      <c r="A39" s="19" t="s">
        <v>43</v>
      </c>
    </row>
    <row r="40" spans="1:1">
      <c r="A40" s="19"/>
    </row>
    <row r="41" spans="1:1">
      <c r="A41" s="20" t="s">
        <v>44</v>
      </c>
    </row>
    <row r="42" spans="1:1">
      <c r="A42" s="19" t="s">
        <v>45</v>
      </c>
    </row>
    <row r="45" spans="1:1" ht="28.8">
      <c r="A45" s="21" t="s">
        <v>46</v>
      </c>
    </row>
    <row r="47" spans="1:1">
      <c r="A47" s="1" t="s">
        <v>47</v>
      </c>
    </row>
    <row r="48" spans="1:1">
      <c r="A48" s="1" t="s">
        <v>192</v>
      </c>
    </row>
    <row r="49" spans="1:1">
      <c r="A49" s="19"/>
    </row>
    <row r="50" spans="1:1">
      <c r="A50" s="20" t="s">
        <v>40</v>
      </c>
    </row>
    <row r="51" spans="1:1">
      <c r="A51" s="19" t="s">
        <v>41</v>
      </c>
    </row>
    <row r="52" spans="1:1">
      <c r="A52" s="19"/>
    </row>
    <row r="53" spans="1:1">
      <c r="A53" s="20" t="s">
        <v>42</v>
      </c>
    </row>
    <row r="54" spans="1:1">
      <c r="A54" s="19" t="s">
        <v>43</v>
      </c>
    </row>
    <row r="55" spans="1:1">
      <c r="A55" s="19"/>
    </row>
    <row r="56" spans="1:1">
      <c r="A56" s="20" t="s">
        <v>48</v>
      </c>
    </row>
    <row r="57" spans="1:1">
      <c r="A57" s="19" t="s">
        <v>49</v>
      </c>
    </row>
    <row r="60" spans="1:1" ht="28.8">
      <c r="A60" s="21" t="s">
        <v>50</v>
      </c>
    </row>
    <row r="61" spans="1:1">
      <c r="A61" s="19"/>
    </row>
    <row r="62" spans="1:1">
      <c r="A62" s="20" t="s">
        <v>40</v>
      </c>
    </row>
    <row r="63" spans="1:1">
      <c r="A63" s="19" t="s">
        <v>51</v>
      </c>
    </row>
    <row r="64" spans="1:1">
      <c r="A64" s="19"/>
    </row>
    <row r="65" spans="1:1">
      <c r="A65" s="20" t="s">
        <v>42</v>
      </c>
    </row>
    <row r="66" spans="1:1">
      <c r="A66" s="19" t="s">
        <v>52</v>
      </c>
    </row>
    <row r="70" spans="1:1" ht="39">
      <c r="A70" s="18" t="s">
        <v>53</v>
      </c>
    </row>
    <row r="72" spans="1:1">
      <c r="A72" s="1" t="s">
        <v>54</v>
      </c>
    </row>
    <row r="74" spans="1:1" ht="22.2">
      <c r="A74" s="17" t="s">
        <v>55</v>
      </c>
    </row>
    <row r="75" spans="1:1">
      <c r="A75" s="19"/>
    </row>
    <row r="76" spans="1:1">
      <c r="A76" s="19" t="s">
        <v>56</v>
      </c>
    </row>
    <row r="77" spans="1:1">
      <c r="A77" s="19" t="s">
        <v>57</v>
      </c>
    </row>
    <row r="78" spans="1:1">
      <c r="A78" s="19" t="s">
        <v>58</v>
      </c>
    </row>
    <row r="80" spans="1:1" ht="22.2">
      <c r="A80" s="17" t="s">
        <v>59</v>
      </c>
    </row>
    <row r="81" spans="1:1">
      <c r="A81" s="19"/>
    </row>
    <row r="82" spans="1:1">
      <c r="A82" s="19" t="s">
        <v>60</v>
      </c>
    </row>
    <row r="83" spans="1:1">
      <c r="A83" s="19" t="s">
        <v>61</v>
      </c>
    </row>
    <row r="87" spans="1:1" ht="39">
      <c r="A87" s="18" t="s">
        <v>62</v>
      </c>
    </row>
    <row r="88" spans="1:1">
      <c r="A88" s="19"/>
    </row>
    <row r="89" spans="1:1">
      <c r="A89" s="20" t="s">
        <v>63</v>
      </c>
    </row>
    <row r="90" spans="1:1">
      <c r="A90" s="20" t="s">
        <v>64</v>
      </c>
    </row>
    <row r="91" spans="1:1">
      <c r="A91" s="20" t="s">
        <v>65</v>
      </c>
    </row>
    <row r="92" spans="1:1">
      <c r="A92" s="20" t="s">
        <v>66</v>
      </c>
    </row>
    <row r="96" spans="1:1" ht="39">
      <c r="A96" s="18" t="s">
        <v>67</v>
      </c>
    </row>
    <row r="97" spans="1:1">
      <c r="A97" s="19"/>
    </row>
    <row r="98" spans="1:1">
      <c r="A98" s="19" t="s">
        <v>68</v>
      </c>
    </row>
    <row r="99" spans="1:1">
      <c r="A99" s="20" t="s">
        <v>69</v>
      </c>
    </row>
    <row r="100" spans="1:1">
      <c r="A100" s="19" t="s">
        <v>70</v>
      </c>
    </row>
    <row r="101" spans="1:1">
      <c r="A101" s="19" t="s">
        <v>71</v>
      </c>
    </row>
    <row r="105" spans="1:1" ht="39">
      <c r="A105" s="18" t="s">
        <v>72</v>
      </c>
    </row>
    <row r="107" spans="1:1">
      <c r="A107" s="22" t="s">
        <v>73</v>
      </c>
    </row>
    <row r="108" spans="1:1">
      <c r="A108" s="1" t="s">
        <v>74</v>
      </c>
    </row>
    <row r="109" spans="1:1">
      <c r="A109" s="1" t="s">
        <v>75</v>
      </c>
    </row>
    <row r="110" spans="1:1">
      <c r="A110" s="1" t="s">
        <v>76</v>
      </c>
    </row>
    <row r="111" spans="1:1">
      <c r="A111" s="1" t="s">
        <v>77</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A58F-8D67-4120-A6AC-3ACAFBA492E3}">
  <sheetPr codeName="残った仕入番号"/>
  <dimension ref="A1:L16"/>
  <sheetViews>
    <sheetView workbookViewId="0">
      <pane ySplit="9" topLeftCell="A10" activePane="bottomLeft" state="frozen"/>
      <selection pane="bottomLeft" activeCell="E21" sqref="E21"/>
    </sheetView>
  </sheetViews>
  <sheetFormatPr defaultColWidth="8.59765625" defaultRowHeight="18"/>
  <cols>
    <col min="1" max="1" width="10.69921875" style="12" customWidth="1"/>
    <col min="2" max="2" width="13.69921875" style="11" customWidth="1"/>
    <col min="3" max="16384" width="8.59765625" style="11"/>
  </cols>
  <sheetData>
    <row r="1" spans="1:12">
      <c r="A1" s="2"/>
      <c r="B1" s="2"/>
      <c r="C1" s="2"/>
      <c r="D1" s="2"/>
      <c r="E1" s="2"/>
      <c r="F1" s="2"/>
      <c r="G1" s="2"/>
      <c r="H1" s="2"/>
      <c r="I1" s="2"/>
      <c r="J1" s="2"/>
      <c r="K1" s="2"/>
      <c r="L1" s="2"/>
    </row>
    <row r="2" spans="1:12">
      <c r="A2" s="2"/>
      <c r="B2" s="13"/>
      <c r="C2" s="14"/>
      <c r="D2" s="15"/>
      <c r="E2" s="2"/>
      <c r="F2" s="90"/>
      <c r="G2" s="90"/>
      <c r="H2" s="90"/>
      <c r="I2" s="15"/>
      <c r="J2" s="2"/>
      <c r="K2" s="2"/>
      <c r="L2" s="2"/>
    </row>
    <row r="3" spans="1:12">
      <c r="A3" s="2"/>
      <c r="B3" s="2"/>
      <c r="C3" s="2"/>
      <c r="D3" s="2"/>
      <c r="E3" s="2"/>
      <c r="F3" s="2"/>
      <c r="G3" s="2"/>
      <c r="H3" s="2"/>
      <c r="I3" s="2"/>
      <c r="J3" s="2"/>
      <c r="K3" s="2"/>
      <c r="L3" s="2"/>
    </row>
    <row r="4" spans="1:12">
      <c r="A4" s="2"/>
      <c r="B4" s="2"/>
      <c r="C4" s="2"/>
      <c r="D4" s="2"/>
      <c r="E4" s="2"/>
      <c r="F4" s="2"/>
      <c r="G4" s="2"/>
      <c r="H4" s="2"/>
      <c r="I4" s="2"/>
      <c r="J4" s="2"/>
      <c r="K4" s="2"/>
      <c r="L4" s="2"/>
    </row>
    <row r="5" spans="1:12">
      <c r="A5" s="2"/>
      <c r="B5" s="3"/>
      <c r="C5" s="2"/>
      <c r="D5" s="2"/>
      <c r="E5" s="2"/>
      <c r="F5" s="2"/>
      <c r="G5" s="2"/>
      <c r="H5" s="2"/>
      <c r="I5" s="2"/>
      <c r="J5" s="2"/>
      <c r="K5" s="2"/>
      <c r="L5" s="2"/>
    </row>
    <row r="6" spans="1:12">
      <c r="A6" s="2"/>
      <c r="B6" s="2"/>
      <c r="C6" s="2"/>
      <c r="D6" s="2"/>
      <c r="E6" s="2"/>
      <c r="F6" s="2"/>
      <c r="G6" s="2"/>
      <c r="H6" s="2"/>
      <c r="I6" s="2"/>
      <c r="J6" s="2"/>
      <c r="K6" s="2"/>
      <c r="L6" s="2"/>
    </row>
    <row r="7" spans="1:12">
      <c r="A7" s="2"/>
      <c r="B7" s="2"/>
      <c r="C7" s="2"/>
      <c r="D7" s="2"/>
      <c r="E7" s="2"/>
      <c r="F7" s="2"/>
      <c r="G7" s="2"/>
      <c r="H7" s="2"/>
      <c r="I7" s="2"/>
      <c r="J7" s="2"/>
      <c r="K7" s="2"/>
      <c r="L7" s="2"/>
    </row>
    <row r="8" spans="1:12">
      <c r="A8" s="2"/>
      <c r="B8" s="2"/>
      <c r="C8" s="2"/>
      <c r="D8" s="2"/>
      <c r="E8" s="2"/>
      <c r="F8" s="2"/>
      <c r="G8" s="2"/>
      <c r="H8" s="2"/>
      <c r="I8" s="2"/>
      <c r="J8" s="2"/>
      <c r="K8" s="2"/>
      <c r="L8" s="2"/>
    </row>
    <row r="9" spans="1:12">
      <c r="A9" s="2"/>
      <c r="B9" s="2"/>
      <c r="C9" s="2"/>
      <c r="D9" s="2"/>
      <c r="E9" s="2"/>
      <c r="F9" s="2"/>
      <c r="G9" s="2"/>
      <c r="H9" s="2"/>
      <c r="I9" s="2"/>
      <c r="J9" s="2"/>
      <c r="K9" s="2"/>
      <c r="L9" s="2"/>
    </row>
    <row r="10" spans="1:12">
      <c r="A10" s="12" t="s">
        <v>129</v>
      </c>
    </row>
    <row r="11" spans="1:12">
      <c r="A11" s="12" t="s">
        <v>98</v>
      </c>
    </row>
    <row r="12" spans="1:12">
      <c r="A12" s="12" t="s">
        <v>114</v>
      </c>
    </row>
    <row r="13" spans="1:12">
      <c r="A13" s="12" t="s">
        <v>130</v>
      </c>
    </row>
    <row r="14" spans="1:12">
      <c r="A14" s="12" t="s">
        <v>147</v>
      </c>
    </row>
    <row r="15" spans="1:12">
      <c r="A15" s="12" t="s">
        <v>161</v>
      </c>
    </row>
    <row r="16" spans="1:12">
      <c r="A16" s="12" t="s">
        <v>175</v>
      </c>
    </row>
  </sheetData>
  <sheetProtection selectLockedCells="1"/>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C7735-FC47-40E7-BA91-D13A27A7A39E}">
  <sheetPr codeName="在庫管理表の本体"/>
  <dimension ref="A1:AC23"/>
  <sheetViews>
    <sheetView tabSelected="1" workbookViewId="0">
      <pane xSplit="7" ySplit="9" topLeftCell="H10" activePane="bottomRight" state="frozen"/>
      <selection pane="topRight" activeCell="J1" sqref="J1"/>
      <selection pane="bottomLeft" activeCell="A10" sqref="A10"/>
      <selection pane="bottomRight" activeCell="I7" sqref="I7"/>
    </sheetView>
  </sheetViews>
  <sheetFormatPr defaultRowHeight="18"/>
  <cols>
    <col min="1" max="1" width="9.3984375" bestFit="1" customWidth="1"/>
    <col min="2" max="2" width="20.19921875" bestFit="1" customWidth="1"/>
    <col min="3" max="3" width="13.5" bestFit="1" customWidth="1"/>
    <col min="4" max="4" width="7.796875" bestFit="1" customWidth="1"/>
    <col min="5" max="5" width="3.3984375" bestFit="1" customWidth="1"/>
    <col min="6" max="6" width="29.59765625" bestFit="1" customWidth="1"/>
    <col min="7" max="7" width="9.59765625" bestFit="1" customWidth="1"/>
    <col min="8" max="8" width="6.796875" bestFit="1" customWidth="1"/>
    <col min="9" max="9" width="11.5" bestFit="1" customWidth="1"/>
    <col min="10" max="10" width="9.69921875" bestFit="1" customWidth="1"/>
    <col min="11" max="11" width="8.59765625" bestFit="1" customWidth="1"/>
    <col min="12" max="12" width="9.296875" bestFit="1" customWidth="1"/>
    <col min="13" max="13" width="8.59765625" bestFit="1" customWidth="1"/>
    <col min="14" max="14" width="11.5" bestFit="1" customWidth="1"/>
    <col min="15" max="15" width="10.59765625" bestFit="1" customWidth="1"/>
    <col min="16" max="16" width="21.3984375" bestFit="1" customWidth="1"/>
    <col min="17" max="17" width="4.796875" bestFit="1" customWidth="1"/>
    <col min="18" max="18" width="7.19921875" bestFit="1" customWidth="1"/>
    <col min="19" max="19" width="47.8984375" bestFit="1" customWidth="1"/>
    <col min="20" max="20" width="27.69921875" bestFit="1" customWidth="1"/>
    <col min="21" max="21" width="16.69921875" bestFit="1" customWidth="1"/>
    <col min="22" max="23" width="13.5" bestFit="1" customWidth="1"/>
    <col min="24" max="24" width="9.69921875" bestFit="1" customWidth="1"/>
    <col min="25" max="25" width="8.59765625" bestFit="1" customWidth="1"/>
    <col min="26" max="26" width="9.296875" bestFit="1" customWidth="1"/>
    <col min="27" max="27" width="7.5" bestFit="1" customWidth="1"/>
    <col min="28" max="28" width="10.19921875" bestFit="1" customWidth="1"/>
    <col min="29" max="29" width="8.5"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3"/>
      <c r="C2" s="3"/>
      <c r="D2" s="2"/>
      <c r="E2" s="2"/>
      <c r="F2" s="2"/>
      <c r="G2" s="2"/>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row r="9" spans="1:29" ht="18.600000000000001" thickBot="1">
      <c r="A9" s="4" t="s">
        <v>1</v>
      </c>
      <c r="B9" s="5" t="s">
        <v>2</v>
      </c>
      <c r="C9" s="6" t="s">
        <v>3</v>
      </c>
      <c r="D9" s="5" t="s">
        <v>195</v>
      </c>
      <c r="E9" s="4"/>
      <c r="F9" s="43" t="s">
        <v>5</v>
      </c>
      <c r="G9" s="4" t="s">
        <v>6</v>
      </c>
      <c r="H9" s="5" t="s">
        <v>7</v>
      </c>
      <c r="I9" s="4" t="s">
        <v>22</v>
      </c>
      <c r="J9" s="4" t="s">
        <v>23</v>
      </c>
      <c r="K9" s="4" t="s">
        <v>10</v>
      </c>
      <c r="L9" s="4" t="s">
        <v>11</v>
      </c>
      <c r="M9" s="4" t="s">
        <v>12</v>
      </c>
      <c r="N9" s="4" t="s">
        <v>13</v>
      </c>
      <c r="O9" s="7" t="s">
        <v>20</v>
      </c>
      <c r="P9" s="4" t="s">
        <v>14</v>
      </c>
      <c r="Q9" s="77" t="s">
        <v>15</v>
      </c>
      <c r="R9" s="78"/>
      <c r="S9" s="78"/>
      <c r="T9" s="4" t="s">
        <v>16</v>
      </c>
      <c r="U9" s="8" t="s">
        <v>17</v>
      </c>
      <c r="V9" s="44" t="s">
        <v>18</v>
      </c>
      <c r="W9" s="4" t="s">
        <v>3</v>
      </c>
      <c r="X9" s="4" t="s">
        <v>8</v>
      </c>
      <c r="Y9" s="4" t="s">
        <v>9</v>
      </c>
      <c r="Z9" s="4" t="s">
        <v>11</v>
      </c>
      <c r="AA9" s="4" t="s">
        <v>13</v>
      </c>
      <c r="AB9" s="5" t="s">
        <v>19</v>
      </c>
      <c r="AC9" s="5" t="s">
        <v>78</v>
      </c>
    </row>
    <row r="10" spans="1:29" ht="18.600000000000001" thickTop="1">
      <c r="A10" s="69" t="s">
        <v>80</v>
      </c>
      <c r="B10" s="26">
        <v>43192</v>
      </c>
      <c r="C10" s="27" t="s">
        <v>81</v>
      </c>
      <c r="D10" s="28" t="s">
        <v>82</v>
      </c>
      <c r="E10" s="71" t="s">
        <v>83</v>
      </c>
      <c r="F10" s="42" t="s">
        <v>84</v>
      </c>
      <c r="G10" s="29" t="s">
        <v>85</v>
      </c>
      <c r="H10" s="73">
        <v>4</v>
      </c>
      <c r="I10" s="75">
        <v>965000</v>
      </c>
      <c r="J10" s="75">
        <v>77200</v>
      </c>
      <c r="K10" s="75">
        <v>0</v>
      </c>
      <c r="L10" s="75">
        <v>8460</v>
      </c>
      <c r="M10" s="75">
        <v>8640</v>
      </c>
      <c r="N10" s="75">
        <f>SUM(I10:M10)</f>
        <v>1059300</v>
      </c>
      <c r="O10" s="82"/>
      <c r="P10" s="56" t="s">
        <v>86</v>
      </c>
      <c r="Q10" s="30" t="s">
        <v>87</v>
      </c>
      <c r="R10" s="50"/>
      <c r="S10" s="50" t="s">
        <v>88</v>
      </c>
      <c r="T10" s="52" t="s">
        <v>89</v>
      </c>
      <c r="U10" s="31" t="s">
        <v>90</v>
      </c>
      <c r="V10" s="54"/>
      <c r="W10" s="55"/>
      <c r="X10" s="75"/>
      <c r="Y10" s="81">
        <f t="shared" ref="Y10" si="0">X10*0.1</f>
        <v>0</v>
      </c>
      <c r="Z10" s="75"/>
      <c r="AA10" s="75">
        <f>SUM(X10:Z10)</f>
        <v>0</v>
      </c>
      <c r="AB10" s="79"/>
      <c r="AC10" s="73" t="s">
        <v>196</v>
      </c>
    </row>
    <row r="11" spans="1:29" ht="18.600000000000001" thickBot="1">
      <c r="A11" s="70"/>
      <c r="B11" s="32" t="s">
        <v>91</v>
      </c>
      <c r="C11" s="32">
        <v>11006</v>
      </c>
      <c r="D11" s="33" t="s">
        <v>92</v>
      </c>
      <c r="E11" s="72"/>
      <c r="F11" s="45" t="s">
        <v>93</v>
      </c>
      <c r="G11" s="34">
        <v>15855</v>
      </c>
      <c r="H11" s="74"/>
      <c r="I11" s="76"/>
      <c r="J11" s="76"/>
      <c r="K11" s="76"/>
      <c r="L11" s="76"/>
      <c r="M11" s="76"/>
      <c r="N11" s="76"/>
      <c r="O11" s="83"/>
      <c r="P11" s="32" t="s">
        <v>94</v>
      </c>
      <c r="Q11" s="35" t="s">
        <v>95</v>
      </c>
      <c r="R11" s="36" t="s">
        <v>96</v>
      </c>
      <c r="S11" s="46" t="s">
        <v>97</v>
      </c>
      <c r="T11" s="47"/>
      <c r="U11" s="37"/>
      <c r="V11" s="49"/>
      <c r="W11" s="48"/>
      <c r="X11" s="76"/>
      <c r="Y11" s="76"/>
      <c r="Z11" s="76"/>
      <c r="AA11" s="76"/>
      <c r="AB11" s="80"/>
      <c r="AC11" s="74"/>
    </row>
    <row r="12" spans="1:29" ht="18.600000000000001" thickTop="1">
      <c r="A12" s="84" t="s">
        <v>98</v>
      </c>
      <c r="B12" s="26">
        <v>43497</v>
      </c>
      <c r="C12" s="27"/>
      <c r="D12" s="28" t="s">
        <v>99</v>
      </c>
      <c r="E12" s="71" t="s">
        <v>100</v>
      </c>
      <c r="F12" s="42" t="s">
        <v>101</v>
      </c>
      <c r="G12" s="29" t="s">
        <v>102</v>
      </c>
      <c r="H12" s="73">
        <v>3.5</v>
      </c>
      <c r="I12" s="75">
        <v>405000</v>
      </c>
      <c r="J12" s="75">
        <v>32400</v>
      </c>
      <c r="K12" s="75">
        <v>0</v>
      </c>
      <c r="L12" s="75">
        <v>8510</v>
      </c>
      <c r="M12" s="75">
        <f>45000+3600</f>
        <v>48600</v>
      </c>
      <c r="N12" s="75">
        <f>SUM(I12:M12)</f>
        <v>494510</v>
      </c>
      <c r="O12" s="82"/>
      <c r="P12" s="56" t="s">
        <v>103</v>
      </c>
      <c r="Q12" s="30" t="s">
        <v>87</v>
      </c>
      <c r="S12" s="50" t="s">
        <v>104</v>
      </c>
      <c r="T12" s="52" t="s">
        <v>105</v>
      </c>
      <c r="U12" s="31" t="s">
        <v>106</v>
      </c>
      <c r="V12" s="54"/>
      <c r="W12" s="55"/>
      <c r="X12" s="75"/>
      <c r="Y12" s="81">
        <f t="shared" ref="Y12" si="1">X12*0.1</f>
        <v>0</v>
      </c>
      <c r="Z12" s="75"/>
      <c r="AA12" s="75">
        <v>2333</v>
      </c>
      <c r="AB12" s="79"/>
      <c r="AC12" s="73" t="s">
        <v>197</v>
      </c>
    </row>
    <row r="13" spans="1:29" ht="18.600000000000001" thickBot="1">
      <c r="A13" s="70"/>
      <c r="B13" s="32" t="s">
        <v>107</v>
      </c>
      <c r="C13" s="32" t="s">
        <v>108</v>
      </c>
      <c r="D13" s="33" t="s">
        <v>109</v>
      </c>
      <c r="E13" s="72"/>
      <c r="F13" s="45" t="s">
        <v>110</v>
      </c>
      <c r="G13" s="34">
        <v>16923</v>
      </c>
      <c r="H13" s="74"/>
      <c r="I13" s="76"/>
      <c r="J13" s="76"/>
      <c r="K13" s="76"/>
      <c r="L13" s="76"/>
      <c r="M13" s="76"/>
      <c r="N13" s="76"/>
      <c r="O13" s="83"/>
      <c r="P13" s="32" t="s">
        <v>111</v>
      </c>
      <c r="Q13" s="35" t="s">
        <v>95</v>
      </c>
      <c r="R13" s="36" t="s">
        <v>112</v>
      </c>
      <c r="S13" s="46" t="s">
        <v>113</v>
      </c>
      <c r="T13" s="47"/>
      <c r="U13" s="37"/>
      <c r="V13" s="49"/>
      <c r="W13" s="48"/>
      <c r="X13" s="76"/>
      <c r="Y13" s="76"/>
      <c r="Z13" s="76"/>
      <c r="AA13" s="76"/>
      <c r="AB13" s="80"/>
      <c r="AC13" s="74"/>
    </row>
    <row r="14" spans="1:29" ht="18.600000000000001" thickTop="1">
      <c r="A14" s="84" t="s">
        <v>114</v>
      </c>
      <c r="B14" s="26">
        <v>44794</v>
      </c>
      <c r="C14" s="38"/>
      <c r="D14" s="28" t="s">
        <v>115</v>
      </c>
      <c r="E14" s="71" t="s">
        <v>116</v>
      </c>
      <c r="F14" s="57" t="s">
        <v>117</v>
      </c>
      <c r="G14" s="39" t="s">
        <v>118</v>
      </c>
      <c r="H14" s="73"/>
      <c r="I14" s="75">
        <v>2894870</v>
      </c>
      <c r="J14" s="75"/>
      <c r="K14" s="75"/>
      <c r="L14" s="75"/>
      <c r="M14" s="75"/>
      <c r="N14" s="75">
        <f>SUM(I14:M14)</f>
        <v>2894870</v>
      </c>
      <c r="O14" s="82">
        <v>2000000</v>
      </c>
      <c r="P14" s="60" t="s">
        <v>119</v>
      </c>
      <c r="Q14" s="30" t="s">
        <v>87</v>
      </c>
      <c r="S14" s="50" t="s">
        <v>120</v>
      </c>
      <c r="T14" s="53" t="s">
        <v>121</v>
      </c>
      <c r="U14" s="31" t="s">
        <v>122</v>
      </c>
      <c r="V14" s="61"/>
      <c r="W14" s="55"/>
      <c r="X14" s="75"/>
      <c r="Y14" s="81">
        <f t="shared" ref="Y14" si="2">X14*0.1</f>
        <v>0</v>
      </c>
      <c r="Z14" s="75"/>
      <c r="AA14" s="75">
        <f>SUM(X14:Z14)</f>
        <v>0</v>
      </c>
      <c r="AB14" s="79"/>
      <c r="AC14" s="73" t="s">
        <v>198</v>
      </c>
    </row>
    <row r="15" spans="1:29" ht="18.600000000000001" thickBot="1">
      <c r="A15" s="70"/>
      <c r="B15" s="32" t="s">
        <v>123</v>
      </c>
      <c r="C15" s="32"/>
      <c r="D15" s="33" t="s">
        <v>124</v>
      </c>
      <c r="E15" s="72"/>
      <c r="F15" s="45" t="s">
        <v>125</v>
      </c>
      <c r="G15" s="40">
        <v>34800</v>
      </c>
      <c r="H15" s="74"/>
      <c r="I15" s="76"/>
      <c r="J15" s="76"/>
      <c r="K15" s="76"/>
      <c r="L15" s="76"/>
      <c r="M15" s="76"/>
      <c r="N15" s="76"/>
      <c r="O15" s="83"/>
      <c r="P15" s="58" t="s">
        <v>126</v>
      </c>
      <c r="Q15" s="35" t="s">
        <v>95</v>
      </c>
      <c r="R15" s="36"/>
      <c r="S15" s="46" t="s">
        <v>127</v>
      </c>
      <c r="T15" s="48" t="s">
        <v>128</v>
      </c>
      <c r="U15" s="37"/>
      <c r="V15" s="59"/>
      <c r="W15" s="48"/>
      <c r="X15" s="76"/>
      <c r="Y15" s="76"/>
      <c r="Z15" s="76"/>
      <c r="AA15" s="76"/>
      <c r="AB15" s="80"/>
      <c r="AC15" s="74"/>
    </row>
    <row r="16" spans="1:29" ht="18.600000000000001" thickTop="1">
      <c r="A16" s="69" t="s">
        <v>130</v>
      </c>
      <c r="B16" s="26">
        <v>42934</v>
      </c>
      <c r="C16" s="27" t="s">
        <v>131</v>
      </c>
      <c r="D16" s="28" t="s">
        <v>132</v>
      </c>
      <c r="E16" s="85" t="s">
        <v>133</v>
      </c>
      <c r="F16" s="66" t="s">
        <v>134</v>
      </c>
      <c r="G16" s="39" t="s">
        <v>135</v>
      </c>
      <c r="H16" s="73">
        <v>4.5</v>
      </c>
      <c r="I16" s="75">
        <v>1470000</v>
      </c>
      <c r="J16" s="75">
        <v>117600</v>
      </c>
      <c r="K16" s="75">
        <v>26300</v>
      </c>
      <c r="L16" s="75">
        <v>18890</v>
      </c>
      <c r="M16" s="75">
        <v>12960</v>
      </c>
      <c r="N16" s="75">
        <f>SUM(I16:M16)</f>
        <v>1645750</v>
      </c>
      <c r="O16" s="82">
        <v>400000</v>
      </c>
      <c r="P16" s="63" t="s">
        <v>136</v>
      </c>
      <c r="Q16" s="30" t="s">
        <v>87</v>
      </c>
      <c r="R16" s="64"/>
      <c r="S16" s="65"/>
      <c r="T16" s="53" t="s">
        <v>137</v>
      </c>
      <c r="U16" s="31" t="s">
        <v>138</v>
      </c>
      <c r="V16" s="54">
        <v>45952</v>
      </c>
      <c r="W16" s="55">
        <v>989</v>
      </c>
      <c r="X16" s="75">
        <v>466000</v>
      </c>
      <c r="Y16" s="81">
        <f t="shared" ref="Y16" si="3">X16*0.1</f>
        <v>46600</v>
      </c>
      <c r="Z16" s="75">
        <v>18890</v>
      </c>
      <c r="AA16" s="75">
        <v>5</v>
      </c>
      <c r="AB16" s="87">
        <v>45957</v>
      </c>
      <c r="AC16" s="73" t="s">
        <v>199</v>
      </c>
    </row>
    <row r="17" spans="1:29" ht="18.600000000000001" thickBot="1">
      <c r="A17" s="70"/>
      <c r="B17" s="32" t="s">
        <v>139</v>
      </c>
      <c r="C17" s="32">
        <v>84017</v>
      </c>
      <c r="D17" s="33" t="s">
        <v>140</v>
      </c>
      <c r="E17" s="86"/>
      <c r="F17" s="45" t="s">
        <v>141</v>
      </c>
      <c r="G17" s="40">
        <v>59700</v>
      </c>
      <c r="H17" s="74"/>
      <c r="I17" s="76"/>
      <c r="J17" s="76"/>
      <c r="K17" s="76"/>
      <c r="L17" s="76"/>
      <c r="M17" s="76"/>
      <c r="N17" s="76"/>
      <c r="O17" s="83"/>
      <c r="P17" s="47" t="s">
        <v>142</v>
      </c>
      <c r="Q17" s="35" t="s">
        <v>95</v>
      </c>
      <c r="R17" s="41"/>
      <c r="S17" s="46" t="s">
        <v>143</v>
      </c>
      <c r="T17" s="48" t="s">
        <v>144</v>
      </c>
      <c r="U17" s="37" t="s">
        <v>145</v>
      </c>
      <c r="V17" s="49" t="s">
        <v>146</v>
      </c>
      <c r="W17" s="48">
        <v>10262</v>
      </c>
      <c r="X17" s="76"/>
      <c r="Y17" s="76"/>
      <c r="Z17" s="76"/>
      <c r="AA17" s="76"/>
      <c r="AB17" s="80"/>
      <c r="AC17" s="74"/>
    </row>
    <row r="18" spans="1:29" ht="18.600000000000001" thickTop="1">
      <c r="A18" s="84" t="s">
        <v>147</v>
      </c>
      <c r="B18" s="26">
        <v>44600</v>
      </c>
      <c r="C18" s="38">
        <v>730</v>
      </c>
      <c r="D18" s="28" t="s">
        <v>148</v>
      </c>
      <c r="E18" s="85" t="s">
        <v>149</v>
      </c>
      <c r="F18" s="57" t="s">
        <v>150</v>
      </c>
      <c r="G18" s="39" t="s">
        <v>151</v>
      </c>
      <c r="H18" s="73">
        <v>4</v>
      </c>
      <c r="I18" s="75">
        <v>1035000</v>
      </c>
      <c r="J18" s="75">
        <v>103500</v>
      </c>
      <c r="K18" s="75">
        <v>0</v>
      </c>
      <c r="L18" s="75">
        <v>17490</v>
      </c>
      <c r="M18" s="75">
        <v>15950</v>
      </c>
      <c r="N18" s="75">
        <f>SUM(I18:M19)</f>
        <v>1171940</v>
      </c>
      <c r="O18" s="82">
        <v>650000</v>
      </c>
      <c r="P18" s="60" t="s">
        <v>152</v>
      </c>
      <c r="Q18" s="30" t="s">
        <v>87</v>
      </c>
      <c r="R18" s="50"/>
      <c r="S18" s="51"/>
      <c r="T18" s="53" t="s">
        <v>153</v>
      </c>
      <c r="U18" s="31" t="s">
        <v>154</v>
      </c>
      <c r="V18" s="61">
        <v>46064</v>
      </c>
      <c r="W18" s="55">
        <v>1004</v>
      </c>
      <c r="X18" s="75">
        <v>206000</v>
      </c>
      <c r="Y18" s="81">
        <f>X18*0.1</f>
        <v>20600</v>
      </c>
      <c r="Z18" s="75">
        <v>17490</v>
      </c>
      <c r="AA18" s="75"/>
      <c r="AB18" s="88">
        <v>46069</v>
      </c>
      <c r="AC18" s="73" t="s">
        <v>200</v>
      </c>
    </row>
    <row r="19" spans="1:29" ht="18.600000000000001" thickBot="1">
      <c r="A19" s="70"/>
      <c r="B19" s="32" t="s">
        <v>155</v>
      </c>
      <c r="C19" s="32">
        <v>5016</v>
      </c>
      <c r="D19" s="33" t="s">
        <v>156</v>
      </c>
      <c r="E19" s="86"/>
      <c r="F19" s="45" t="s">
        <v>157</v>
      </c>
      <c r="G19" s="40">
        <v>46355</v>
      </c>
      <c r="H19" s="74"/>
      <c r="I19" s="76"/>
      <c r="J19" s="76"/>
      <c r="K19" s="76"/>
      <c r="L19" s="76"/>
      <c r="M19" s="76"/>
      <c r="N19" s="76"/>
      <c r="O19" s="83"/>
      <c r="P19" s="58" t="s">
        <v>158</v>
      </c>
      <c r="Q19" s="35" t="s">
        <v>95</v>
      </c>
      <c r="R19" s="36" t="s">
        <v>159</v>
      </c>
      <c r="S19" s="46"/>
      <c r="T19" s="48" t="s">
        <v>160</v>
      </c>
      <c r="U19" s="37"/>
      <c r="V19" s="59" t="s">
        <v>146</v>
      </c>
      <c r="W19" s="48">
        <v>10021</v>
      </c>
      <c r="X19" s="76"/>
      <c r="Y19" s="76"/>
      <c r="Z19" s="76"/>
      <c r="AA19" s="76"/>
      <c r="AB19" s="89"/>
      <c r="AC19" s="74"/>
    </row>
    <row r="20" spans="1:29" ht="18.600000000000001" thickTop="1">
      <c r="A20" s="84" t="s">
        <v>161</v>
      </c>
      <c r="B20" s="26">
        <v>44148</v>
      </c>
      <c r="C20" s="27" t="s">
        <v>162</v>
      </c>
      <c r="D20" s="28" t="s">
        <v>163</v>
      </c>
      <c r="E20" s="71" t="s">
        <v>164</v>
      </c>
      <c r="F20" s="42" t="s">
        <v>165</v>
      </c>
      <c r="G20" s="39"/>
      <c r="H20" s="73">
        <v>4</v>
      </c>
      <c r="I20" s="75">
        <v>1494000</v>
      </c>
      <c r="J20" s="75">
        <v>149400</v>
      </c>
      <c r="K20" s="75">
        <v>0</v>
      </c>
      <c r="L20" s="75">
        <v>14590</v>
      </c>
      <c r="M20" s="75">
        <v>22000</v>
      </c>
      <c r="N20" s="75">
        <f>SUM(I20:M20)</f>
        <v>1679990</v>
      </c>
      <c r="O20" s="82">
        <v>700000</v>
      </c>
      <c r="P20" s="62" t="s">
        <v>166</v>
      </c>
      <c r="Q20" s="30" t="s">
        <v>87</v>
      </c>
      <c r="R20" s="50"/>
      <c r="S20" s="51" t="s">
        <v>203</v>
      </c>
      <c r="T20" s="53" t="s">
        <v>167</v>
      </c>
      <c r="U20" s="31" t="s">
        <v>168</v>
      </c>
      <c r="V20" s="61"/>
      <c r="W20" s="55"/>
      <c r="X20" s="75"/>
      <c r="Y20" s="81">
        <f>X20*0.1</f>
        <v>0</v>
      </c>
      <c r="Z20" s="75"/>
      <c r="AA20" s="75">
        <f>SUM(X20:Z20)</f>
        <v>0</v>
      </c>
      <c r="AB20" s="88"/>
      <c r="AC20" s="73" t="s">
        <v>201</v>
      </c>
    </row>
    <row r="21" spans="1:29" ht="18.600000000000001" thickBot="1">
      <c r="A21" s="70"/>
      <c r="B21" s="32" t="s">
        <v>169</v>
      </c>
      <c r="C21" s="32">
        <v>40096</v>
      </c>
      <c r="D21" s="33" t="s">
        <v>44</v>
      </c>
      <c r="E21" s="72"/>
      <c r="F21" s="45" t="s">
        <v>170</v>
      </c>
      <c r="G21" s="40">
        <v>36584</v>
      </c>
      <c r="H21" s="74"/>
      <c r="I21" s="76"/>
      <c r="J21" s="76"/>
      <c r="K21" s="76"/>
      <c r="L21" s="76"/>
      <c r="M21" s="76"/>
      <c r="N21" s="76"/>
      <c r="O21" s="83"/>
      <c r="P21" s="58" t="s">
        <v>171</v>
      </c>
      <c r="Q21" s="35" t="s">
        <v>95</v>
      </c>
      <c r="R21" s="36" t="s">
        <v>172</v>
      </c>
      <c r="S21" s="46" t="s">
        <v>173</v>
      </c>
      <c r="T21" s="48" t="s">
        <v>174</v>
      </c>
      <c r="U21" s="37"/>
      <c r="V21" s="59"/>
      <c r="W21" s="48"/>
      <c r="X21" s="76"/>
      <c r="Y21" s="76"/>
      <c r="Z21" s="76"/>
      <c r="AA21" s="76"/>
      <c r="AB21" s="89"/>
      <c r="AC21" s="74"/>
    </row>
    <row r="22" spans="1:29" ht="18.600000000000001" thickTop="1">
      <c r="A22" s="69" t="s">
        <v>175</v>
      </c>
      <c r="B22" s="26">
        <v>43840</v>
      </c>
      <c r="C22" s="27" t="s">
        <v>176</v>
      </c>
      <c r="D22" s="28" t="s">
        <v>177</v>
      </c>
      <c r="E22" s="71" t="s">
        <v>178</v>
      </c>
      <c r="F22" s="42" t="s">
        <v>179</v>
      </c>
      <c r="G22" s="39" t="s">
        <v>180</v>
      </c>
      <c r="H22" s="73">
        <v>4.5</v>
      </c>
      <c r="I22" s="75">
        <v>1550000</v>
      </c>
      <c r="J22" s="75">
        <v>155000</v>
      </c>
      <c r="K22" s="75">
        <v>6500</v>
      </c>
      <c r="L22" s="75">
        <v>20420</v>
      </c>
      <c r="M22" s="75">
        <v>24200</v>
      </c>
      <c r="N22" s="75">
        <f>SUM(I22:M22)</f>
        <v>1756120</v>
      </c>
      <c r="O22" s="82">
        <v>1100000</v>
      </c>
      <c r="P22" s="62" t="s">
        <v>181</v>
      </c>
      <c r="Q22" s="30" t="s">
        <v>87</v>
      </c>
      <c r="R22" s="50"/>
      <c r="S22" s="51" t="s">
        <v>204</v>
      </c>
      <c r="T22" s="67" t="s">
        <v>182</v>
      </c>
      <c r="U22" s="31" t="s">
        <v>183</v>
      </c>
      <c r="V22" s="61"/>
      <c r="W22" s="55"/>
      <c r="X22" s="75"/>
      <c r="Y22" s="81">
        <f>X22*0.1</f>
        <v>0</v>
      </c>
      <c r="Z22" s="75"/>
      <c r="AA22" s="75">
        <f>SUM(X22:Z22)</f>
        <v>0</v>
      </c>
      <c r="AB22" s="88"/>
      <c r="AC22" s="73" t="s">
        <v>202</v>
      </c>
    </row>
    <row r="23" spans="1:29" ht="18.600000000000001" thickBot="1">
      <c r="A23" s="70"/>
      <c r="B23" s="32" t="s">
        <v>184</v>
      </c>
      <c r="C23" s="32">
        <v>20624</v>
      </c>
      <c r="D23" s="33" t="s">
        <v>140</v>
      </c>
      <c r="E23" s="72"/>
      <c r="F23" s="45" t="s">
        <v>185</v>
      </c>
      <c r="G23" s="40">
        <v>39896</v>
      </c>
      <c r="H23" s="74"/>
      <c r="I23" s="76"/>
      <c r="J23" s="76"/>
      <c r="K23" s="76"/>
      <c r="L23" s="76"/>
      <c r="M23" s="76"/>
      <c r="N23" s="76"/>
      <c r="O23" s="83"/>
      <c r="P23" s="58" t="s">
        <v>186</v>
      </c>
      <c r="Q23" s="35" t="s">
        <v>95</v>
      </c>
      <c r="R23" s="36" t="s">
        <v>187</v>
      </c>
      <c r="S23" s="46" t="s">
        <v>188</v>
      </c>
      <c r="T23" s="48" t="s">
        <v>189</v>
      </c>
      <c r="U23" s="37" t="s">
        <v>190</v>
      </c>
      <c r="V23" s="59"/>
      <c r="W23" s="48"/>
      <c r="X23" s="76"/>
      <c r="Y23" s="76"/>
      <c r="Z23" s="76"/>
      <c r="AA23" s="76"/>
      <c r="AB23" s="89"/>
      <c r="AC23" s="74"/>
    </row>
  </sheetData>
  <mergeCells count="113">
    <mergeCell ref="AA22:AA23"/>
    <mergeCell ref="AB22:AB23"/>
    <mergeCell ref="AC22:AC23"/>
    <mergeCell ref="X22:X23"/>
    <mergeCell ref="Y22:Y23"/>
    <mergeCell ref="K22:K23"/>
    <mergeCell ref="L22:L23"/>
    <mergeCell ref="M22:M23"/>
    <mergeCell ref="N22:N23"/>
    <mergeCell ref="O22:O23"/>
    <mergeCell ref="H20:H21"/>
    <mergeCell ref="I20:I21"/>
    <mergeCell ref="J20:J21"/>
    <mergeCell ref="A22:A23"/>
    <mergeCell ref="E22:E23"/>
    <mergeCell ref="H22:H23"/>
    <mergeCell ref="I22:I23"/>
    <mergeCell ref="J22:J23"/>
    <mergeCell ref="Z20:Z21"/>
    <mergeCell ref="A20:A21"/>
    <mergeCell ref="E20:E21"/>
    <mergeCell ref="Z22:Z23"/>
    <mergeCell ref="AC18:AC19"/>
    <mergeCell ref="X18:X19"/>
    <mergeCell ref="Y18:Y19"/>
    <mergeCell ref="K18:K19"/>
    <mergeCell ref="L18:L19"/>
    <mergeCell ref="M18:M19"/>
    <mergeCell ref="N18:N19"/>
    <mergeCell ref="O18:O19"/>
    <mergeCell ref="AC20:AC21"/>
    <mergeCell ref="X20:X21"/>
    <mergeCell ref="Y20:Y21"/>
    <mergeCell ref="K20:K21"/>
    <mergeCell ref="L20:L21"/>
    <mergeCell ref="M20:M21"/>
    <mergeCell ref="N20:N21"/>
    <mergeCell ref="O20:O21"/>
    <mergeCell ref="AA20:AA21"/>
    <mergeCell ref="AB20:AB21"/>
    <mergeCell ref="A18:A19"/>
    <mergeCell ref="E18:E19"/>
    <mergeCell ref="H18:H19"/>
    <mergeCell ref="I18:I19"/>
    <mergeCell ref="J18:J19"/>
    <mergeCell ref="Z16:Z17"/>
    <mergeCell ref="AA16:AA17"/>
    <mergeCell ref="AB16:AB17"/>
    <mergeCell ref="A16:A17"/>
    <mergeCell ref="E16:E17"/>
    <mergeCell ref="Z18:Z19"/>
    <mergeCell ref="AA18:AA19"/>
    <mergeCell ref="AB18:AB19"/>
    <mergeCell ref="AC16:AC17"/>
    <mergeCell ref="X16:X17"/>
    <mergeCell ref="Y16:Y17"/>
    <mergeCell ref="K16:K17"/>
    <mergeCell ref="L16:L17"/>
    <mergeCell ref="M16:M17"/>
    <mergeCell ref="N16:N17"/>
    <mergeCell ref="O16:O17"/>
    <mergeCell ref="H16:H17"/>
    <mergeCell ref="I16:I17"/>
    <mergeCell ref="J16:J17"/>
    <mergeCell ref="AA14:AA15"/>
    <mergeCell ref="AB14:AB15"/>
    <mergeCell ref="AC14:AC15"/>
    <mergeCell ref="X14:X15"/>
    <mergeCell ref="Y14:Y15"/>
    <mergeCell ref="K14:K15"/>
    <mergeCell ref="L14:L15"/>
    <mergeCell ref="M14:M15"/>
    <mergeCell ref="N14:N15"/>
    <mergeCell ref="O14:O15"/>
    <mergeCell ref="H12:H13"/>
    <mergeCell ref="I12:I13"/>
    <mergeCell ref="J12:J13"/>
    <mergeCell ref="A14:A15"/>
    <mergeCell ref="E14:E15"/>
    <mergeCell ref="H14:H15"/>
    <mergeCell ref="I14:I15"/>
    <mergeCell ref="J14:J15"/>
    <mergeCell ref="Z12:Z13"/>
    <mergeCell ref="A12:A13"/>
    <mergeCell ref="E12:E13"/>
    <mergeCell ref="Z14:Z15"/>
    <mergeCell ref="AC10:AC11"/>
    <mergeCell ref="X10:X11"/>
    <mergeCell ref="Y10:Y11"/>
    <mergeCell ref="K10:K11"/>
    <mergeCell ref="L10:L11"/>
    <mergeCell ref="M10:M11"/>
    <mergeCell ref="N10:N11"/>
    <mergeCell ref="O10:O11"/>
    <mergeCell ref="AC12:AC13"/>
    <mergeCell ref="X12:X13"/>
    <mergeCell ref="Y12:Y13"/>
    <mergeCell ref="K12:K13"/>
    <mergeCell ref="L12:L13"/>
    <mergeCell ref="M12:M13"/>
    <mergeCell ref="N12:N13"/>
    <mergeCell ref="O12:O13"/>
    <mergeCell ref="AA12:AA13"/>
    <mergeCell ref="AB12:AB13"/>
    <mergeCell ref="A10:A11"/>
    <mergeCell ref="E10:E11"/>
    <mergeCell ref="H10:H11"/>
    <mergeCell ref="I10:I11"/>
    <mergeCell ref="J10:J11"/>
    <mergeCell ref="Q9:S9"/>
    <mergeCell ref="Z10:Z11"/>
    <mergeCell ref="AA10:AA11"/>
    <mergeCell ref="AB10:AB1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464820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472440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A3F1-2052-49A4-8C68-5D8D643B77C8}">
  <sheetPr codeName="売約済"/>
  <dimension ref="A1:AC10"/>
  <sheetViews>
    <sheetView workbookViewId="0">
      <pane xSplit="7" ySplit="9" topLeftCell="S10" activePane="bottomRight" state="frozen"/>
      <selection pane="topRight" activeCell="J1" sqref="J1"/>
      <selection pane="bottomLeft" activeCell="A10" sqref="A10"/>
      <selection pane="bottomRight" activeCell="G15" sqref="G15"/>
    </sheetView>
  </sheetViews>
  <sheetFormatPr defaultColWidth="9" defaultRowHeight="17.100000000000001" customHeight="1"/>
  <cols>
    <col min="1" max="1" width="10.59765625" style="10" customWidth="1"/>
    <col min="2" max="2" width="16.59765625" style="10" customWidth="1"/>
    <col min="3" max="4" width="12.59765625" style="10" customWidth="1"/>
    <col min="5" max="5" width="2.59765625" style="10" customWidth="1"/>
    <col min="6" max="6" width="19.59765625" style="10" customWidth="1"/>
    <col min="7" max="7" width="9.59765625" style="10" bestFit="1" customWidth="1"/>
    <col min="8" max="8" width="5.59765625" style="10" customWidth="1"/>
    <col min="9" max="14" width="8.59765625" style="10" customWidth="1"/>
    <col min="15" max="15" width="16.59765625" style="10" customWidth="1"/>
    <col min="16" max="16" width="15.3984375" style="10" bestFit="1" customWidth="1"/>
    <col min="17" max="17" width="7.59765625" style="10" customWidth="1"/>
    <col min="18" max="18" width="6.59765625" style="10" customWidth="1"/>
    <col min="19" max="20" width="10.59765625" style="10" customWidth="1"/>
    <col min="21" max="21" width="8.59765625" style="10" bestFit="1" customWidth="1"/>
    <col min="22" max="23" width="13.5" style="10" bestFit="1" customWidth="1"/>
    <col min="24" max="27" width="8.59765625" style="10" customWidth="1"/>
    <col min="28" max="28" width="9.59765625" style="10" customWidth="1"/>
    <col min="29" max="29" width="40.59765625" style="10" customWidth="1"/>
    <col min="30" max="16384" width="9" style="10"/>
  </cols>
  <sheetData>
    <row r="1" spans="1:29" customFormat="1" ht="18">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ustomFormat="1" ht="18">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ustomFormat="1" ht="18">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ustomFormat="1" ht="18">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ustomFormat="1" ht="18">
      <c r="A5" s="2"/>
      <c r="B5" s="2"/>
      <c r="C5" s="2"/>
      <c r="D5" s="2"/>
      <c r="E5" s="2"/>
      <c r="F5" s="2"/>
      <c r="G5" s="2"/>
      <c r="H5" s="2"/>
      <c r="I5" s="2"/>
      <c r="J5" s="2"/>
      <c r="K5" s="2"/>
      <c r="L5" s="2"/>
      <c r="M5" s="2"/>
      <c r="N5" s="2"/>
      <c r="O5" s="2"/>
      <c r="P5" s="2"/>
      <c r="Q5" s="2"/>
      <c r="R5" s="2"/>
      <c r="S5" s="2"/>
      <c r="T5" s="2"/>
      <c r="U5" s="2"/>
      <c r="V5" s="2"/>
      <c r="W5" s="2"/>
      <c r="X5" s="2"/>
      <c r="Y5" s="2"/>
      <c r="Z5" s="2"/>
      <c r="AA5" s="2"/>
      <c r="AB5" s="2"/>
      <c r="AC5" s="2"/>
    </row>
    <row r="6" spans="1:29" s="16" customFormat="1" ht="18.75" customHeight="1">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s="16" customFormat="1" ht="18">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customFormat="1" ht="17.100000000000001" customHeight="1" thickBot="1">
      <c r="E8" s="10"/>
    </row>
    <row r="9" spans="1:29" s="9" customFormat="1" ht="17.100000000000001" customHeight="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77" t="s">
        <v>15</v>
      </c>
      <c r="R9" s="78"/>
      <c r="S9" s="78"/>
      <c r="T9" s="4" t="s">
        <v>16</v>
      </c>
      <c r="U9" s="8" t="s">
        <v>17</v>
      </c>
      <c r="V9" s="44" t="s">
        <v>18</v>
      </c>
      <c r="W9" s="4" t="s">
        <v>3</v>
      </c>
      <c r="X9" s="4" t="s">
        <v>8</v>
      </c>
      <c r="Y9" s="4" t="s">
        <v>9</v>
      </c>
      <c r="Z9" s="4" t="s">
        <v>11</v>
      </c>
      <c r="AA9" s="4" t="s">
        <v>13</v>
      </c>
      <c r="AB9" s="5" t="s">
        <v>19</v>
      </c>
      <c r="AC9" s="5" t="s">
        <v>0</v>
      </c>
    </row>
    <row r="10" spans="1:29" ht="17.100000000000001" customHeight="1" thickTop="1"/>
  </sheetData>
  <sheetProtection selectLockedCells="1"/>
  <mergeCells count="1">
    <mergeCell ref="Q9:S9"/>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5213" r:id="rId4"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5"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6"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7"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84291-95EB-45B0-9AF1-F19F371B000A}">
  <sheetPr codeName="不明"/>
  <dimension ref="A1:AC30"/>
  <sheetViews>
    <sheetView workbookViewId="0">
      <pane xSplit="7" ySplit="9" topLeftCell="O10" activePane="bottomRight" state="frozen"/>
      <selection pane="topRight" activeCell="J1" sqref="J1"/>
      <selection pane="bottomLeft" activeCell="A10" sqref="A10"/>
      <selection pane="bottomRight" activeCell="F13" sqref="F13"/>
    </sheetView>
  </sheetViews>
  <sheetFormatPr defaultRowHeight="18"/>
  <cols>
    <col min="2" max="2" width="16.296875" bestFit="1" customWidth="1"/>
    <col min="3" max="3" width="12.59765625" bestFit="1" customWidth="1"/>
    <col min="5" max="5" width="4.09765625" customWidth="1"/>
    <col min="6" max="6" width="28.3984375" style="10" customWidth="1"/>
    <col min="8" max="10" width="6.796875" bestFit="1" customWidth="1"/>
    <col min="11" max="11" width="5" bestFit="1" customWidth="1"/>
    <col min="12" max="12" width="9.296875" bestFit="1" customWidth="1"/>
    <col min="13" max="13" width="6.796875" bestFit="1" customWidth="1"/>
    <col min="14" max="14" width="5" bestFit="1" customWidth="1"/>
    <col min="15" max="15" width="6.796875" bestFit="1" customWidth="1"/>
    <col min="16" max="16" width="15.3984375" bestFit="1" customWidth="1"/>
    <col min="20" max="20" width="5" bestFit="1" customWidth="1"/>
    <col min="21" max="21" width="8.59765625" bestFit="1" customWidth="1"/>
    <col min="22" max="23" width="13.5" bestFit="1" customWidth="1"/>
    <col min="24" max="25" width="6.796875" bestFit="1" customWidth="1"/>
    <col min="26" max="26" width="9.296875" bestFit="1" customWidth="1"/>
    <col min="27" max="27" width="5" bestFit="1" customWidth="1"/>
    <col min="28" max="28" width="6.796875" bestFit="1"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c r="F8"/>
    </row>
    <row r="9" spans="1:29" ht="18.60000000000000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77" t="s">
        <v>15</v>
      </c>
      <c r="R9" s="78"/>
      <c r="S9" s="78"/>
      <c r="T9" s="4" t="s">
        <v>16</v>
      </c>
      <c r="U9" s="8" t="s">
        <v>17</v>
      </c>
      <c r="V9" s="44" t="s">
        <v>18</v>
      </c>
      <c r="W9" s="4" t="s">
        <v>3</v>
      </c>
      <c r="X9" s="4" t="s">
        <v>8</v>
      </c>
      <c r="Y9" s="4" t="s">
        <v>9</v>
      </c>
      <c r="Z9" s="4" t="s">
        <v>11</v>
      </c>
      <c r="AA9" s="4" t="s">
        <v>13</v>
      </c>
      <c r="AB9" s="5" t="s">
        <v>19</v>
      </c>
      <c r="AC9" s="5" t="s">
        <v>0</v>
      </c>
    </row>
    <row r="10" spans="1:29" ht="18.600000000000001" thickTop="1">
      <c r="F10"/>
    </row>
    <row r="11" spans="1:29">
      <c r="F11"/>
    </row>
    <row r="12" spans="1:29">
      <c r="F12"/>
    </row>
    <row r="13" spans="1:29">
      <c r="F13"/>
    </row>
    <row r="14" spans="1:29">
      <c r="F14"/>
    </row>
    <row r="15" spans="1:29">
      <c r="F15"/>
    </row>
    <row r="16" spans="1:29">
      <c r="F16"/>
    </row>
    <row r="17" spans="6:6">
      <c r="F17"/>
    </row>
    <row r="18" spans="6:6">
      <c r="F18"/>
    </row>
    <row r="19" spans="6:6">
      <c r="F19"/>
    </row>
    <row r="20" spans="6:6">
      <c r="F20"/>
    </row>
    <row r="21" spans="6:6">
      <c r="F21"/>
    </row>
    <row r="22" spans="6:6">
      <c r="F22"/>
    </row>
    <row r="23" spans="6:6">
      <c r="F23"/>
    </row>
    <row r="24" spans="6:6">
      <c r="F24"/>
    </row>
    <row r="25" spans="6:6">
      <c r="F25"/>
    </row>
    <row r="26" spans="6:6">
      <c r="F26"/>
    </row>
    <row r="27" spans="6:6">
      <c r="F27"/>
    </row>
    <row r="28" spans="6:6">
      <c r="F28"/>
    </row>
    <row r="29" spans="6:6">
      <c r="F29"/>
    </row>
    <row r="30" spans="6:6">
      <c r="F30"/>
    </row>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1AAF9-7C3F-44A6-8B46-40768D2436AB}">
  <sheetPr codeName="在庫有"/>
  <dimension ref="A1:AC10"/>
  <sheetViews>
    <sheetView workbookViewId="0">
      <pane xSplit="7" ySplit="9" topLeftCell="P10" activePane="bottomRight" state="frozen"/>
      <selection pane="topRight" activeCell="J1" sqref="J1"/>
      <selection pane="bottomLeft" activeCell="A10" sqref="A10"/>
      <selection pane="bottomRight" activeCell="P27" sqref="P27"/>
    </sheetView>
  </sheetViews>
  <sheetFormatPr defaultRowHeight="18"/>
  <cols>
    <col min="2" max="2" width="16.296875" bestFit="1" customWidth="1"/>
    <col min="3" max="3" width="12.59765625" bestFit="1" customWidth="1"/>
    <col min="4" max="4" width="7.19921875" bestFit="1" customWidth="1"/>
    <col min="5" max="5" width="5.19921875" customWidth="1"/>
    <col min="6" max="6" width="26.19921875" customWidth="1"/>
    <col min="16" max="16" width="15.3984375" bestFit="1" customWidth="1"/>
    <col min="20" max="20" width="5" bestFit="1" customWidth="1"/>
    <col min="21" max="21" width="8.59765625" bestFit="1" customWidth="1"/>
    <col min="22" max="23" width="13.5" bestFit="1" customWidth="1"/>
    <col min="24" max="25" width="6.796875" bestFit="1" customWidth="1"/>
    <col min="26" max="26" width="9.296875" bestFit="1" customWidth="1"/>
    <col min="27" max="27" width="5" bestFit="1" customWidth="1"/>
    <col min="28" max="28" width="6.796875" bestFit="1" customWidth="1"/>
    <col min="29" max="29" width="9.3984375" bestFit="1"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7.100000000000001" customHeight="1" thickBot="1"/>
    <row r="9" spans="1:29" s="9" customFormat="1" ht="17.100000000000001" customHeight="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77" t="s">
        <v>15</v>
      </c>
      <c r="R9" s="78"/>
      <c r="S9" s="78"/>
      <c r="T9" s="4" t="s">
        <v>16</v>
      </c>
      <c r="U9" s="8" t="s">
        <v>17</v>
      </c>
      <c r="V9" s="44" t="s">
        <v>18</v>
      </c>
      <c r="W9" s="4" t="s">
        <v>3</v>
      </c>
      <c r="X9" s="4" t="s">
        <v>8</v>
      </c>
      <c r="Y9" s="4" t="s">
        <v>9</v>
      </c>
      <c r="Z9" s="4" t="s">
        <v>11</v>
      </c>
      <c r="AA9" s="4" t="s">
        <v>13</v>
      </c>
      <c r="AB9" s="5" t="s">
        <v>19</v>
      </c>
      <c r="AC9" s="5" t="s">
        <v>0</v>
      </c>
    </row>
    <row r="10" spans="1:29" ht="18.600000000000001" thickTop="1"/>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0" r:id="rId6" name="Button 4">
              <controlPr defaultSize="0" print="0" autoFill="0" autoPict="0" macro="[0]!在庫有.選択結合セルの行を赤に">
                <anchor moveWithCells="1" sizeWithCells="1">
                  <from>
                    <xdr:col>5</xdr:col>
                    <xdr:colOff>937260</xdr:colOff>
                    <xdr:row>0</xdr:row>
                    <xdr:rowOff>152400</xdr:rowOff>
                  </from>
                  <to>
                    <xdr:col>5</xdr:col>
                    <xdr:colOff>1836420</xdr:colOff>
                    <xdr:row>2</xdr:row>
                    <xdr:rowOff>152400</xdr:rowOff>
                  </to>
                </anchor>
              </controlPr>
            </control>
          </mc:Choice>
        </mc:AlternateContent>
        <mc:AlternateContent xmlns:mc="http://schemas.openxmlformats.org/markup-compatibility/2006">
          <mc:Choice Requires="x14">
            <control shapeId="34821" r:id="rId7"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1BED-1958-4686-AD12-B6FB15CA1602}">
  <sheetPr codeName="在庫有確定"/>
  <dimension ref="A1:AC10"/>
  <sheetViews>
    <sheetView workbookViewId="0">
      <selection activeCell="F14" sqref="F14"/>
    </sheetView>
  </sheetViews>
  <sheetFormatPr defaultRowHeight="18"/>
  <cols>
    <col min="2" max="2" width="16.296875" bestFit="1" customWidth="1"/>
    <col min="3" max="3" width="12.59765625" bestFit="1" customWidth="1"/>
    <col min="5" max="5" width="3.69921875" customWidth="1"/>
    <col min="6" max="6" width="24.3984375" customWidth="1"/>
    <col min="7" max="7" width="9.59765625" bestFit="1" customWidth="1"/>
    <col min="8" max="10" width="6.796875" bestFit="1" customWidth="1"/>
    <col min="11" max="11" width="5" bestFit="1" customWidth="1"/>
    <col min="12" max="12" width="9.296875" bestFit="1" customWidth="1"/>
    <col min="13" max="13" width="6.796875" bestFit="1" customWidth="1"/>
    <col min="14" max="14" width="5" bestFit="1" customWidth="1"/>
    <col min="15" max="15" width="6.796875" bestFit="1" customWidth="1"/>
    <col min="16" max="16" width="15.3984375" bestFit="1" customWidth="1"/>
    <col min="20" max="20" width="5" bestFit="1" customWidth="1"/>
    <col min="21" max="21" width="8.59765625" bestFit="1" customWidth="1"/>
    <col min="22" max="23" width="13.5" bestFit="1" customWidth="1"/>
    <col min="24" max="25" width="6.796875" bestFit="1" customWidth="1"/>
    <col min="26" max="26" width="9.296875" bestFit="1" customWidth="1"/>
    <col min="27" max="27" width="5" bestFit="1" customWidth="1"/>
    <col min="28" max="28" width="6.796875" bestFit="1" customWidth="1"/>
    <col min="29" max="29" width="9.3984375" bestFit="1"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row r="9" spans="1:29" ht="18.60000000000000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77" t="s">
        <v>15</v>
      </c>
      <c r="R9" s="78"/>
      <c r="S9" s="78"/>
      <c r="T9" s="4" t="s">
        <v>16</v>
      </c>
      <c r="U9" s="8" t="s">
        <v>17</v>
      </c>
      <c r="V9" s="44" t="s">
        <v>18</v>
      </c>
      <c r="W9" s="4" t="s">
        <v>3</v>
      </c>
      <c r="X9" s="4" t="s">
        <v>8</v>
      </c>
      <c r="Y9" s="4" t="s">
        <v>9</v>
      </c>
      <c r="Z9" s="4" t="s">
        <v>11</v>
      </c>
      <c r="AA9" s="4" t="s">
        <v>13</v>
      </c>
      <c r="AB9" s="5" t="s">
        <v>19</v>
      </c>
      <c r="AC9" s="5" t="s">
        <v>0</v>
      </c>
    </row>
    <row r="10" spans="1:29" ht="18.600000000000001" thickTop="1"/>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4"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5"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6" name="Button 4">
              <controlPr defaultSize="0" print="0" autoFill="0" autoPict="0" macro="[0]!在庫有確定.作成済シート全消し">
                <anchor moveWithCells="1" sizeWithCells="1">
                  <from>
                    <xdr:col>5</xdr:col>
                    <xdr:colOff>1104900</xdr:colOff>
                    <xdr:row>3</xdr:row>
                    <xdr:rowOff>220980</xdr:rowOff>
                  </from>
                  <to>
                    <xdr:col>6</xdr:col>
                    <xdr:colOff>259080</xdr:colOff>
                    <xdr:row>6</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2026-05-22T04:20:22Z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