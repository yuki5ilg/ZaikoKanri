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 Type="http://schemas.openxmlformats.org/officeDocument/2006/relationships/custom-properties" Target="docProps/custom.xml" Id="rId4"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108" yWindow="-108" windowWidth="23256" windowHeight="13896" tabRatio="600" firstSheet="0" activeTab="2" autoFilterDateGrouping="1"/>
  </bookViews>
  <sheets>
    <sheet name="操作手順" sheetId="1" state="visible" r:id="rId1"/>
    <sheet name="残った仕入番号" sheetId="2" state="visible" r:id="rId2"/>
    <sheet name="在庫管理表の本体" sheetId="3" state="visible" r:id="rId3"/>
    <sheet name="売約済" sheetId="4" state="visible" r:id="rId4"/>
    <sheet name="不明" sheetId="5" state="visible" r:id="rId5"/>
    <sheet name="在庫有" sheetId="6" state="visible" r:id="rId6"/>
    <sheet name="在庫有確定" sheetId="7" state="visible" r:id="rId7"/>
  </sheets>
  <definedNames/>
  <calcPr calcId="191029" fullCalcOnLoad="1"/>
</workbook>
</file>

<file path=xl/styles.xml><?xml version="1.0" encoding="utf-8"?>
<styleSheet xmlns="http://schemas.openxmlformats.org/spreadsheetml/2006/main">
  <numFmts count="7">
    <numFmt numFmtId="164" formatCode="0_);[Red]\(0\)"/>
    <numFmt numFmtId="165" formatCode="&quot;姫路 &quot;@\ "/>
    <numFmt numFmtId="166" formatCode="[Blue]General"/>
    <numFmt numFmtId="167" formatCode="####&quot;回&quot;"/>
    <numFmt numFmtId="168" formatCode="#,##0_);[Red]\(#,##0\)"/>
    <numFmt numFmtId="169" formatCode="###&quot;回&quot;"/>
    <numFmt numFmtId="170" formatCode="m&quot;月&quot;d&quot;日&quot;;@"/>
  </numFmts>
  <fonts count="31">
    <font>
      <name val="游ゴシック"/>
      <charset val="128"/>
      <family val="2"/>
      <color theme="1"/>
      <sz val="11"/>
      <scheme val="minor"/>
    </font>
    <font>
      <name val="游ゴシック"/>
      <charset val="128"/>
      <family val="2"/>
      <sz val="6"/>
      <scheme val="minor"/>
    </font>
    <font>
      <name val="游ゴシック"/>
      <charset val="128"/>
      <family val="3"/>
      <color theme="1"/>
      <sz val="11"/>
      <scheme val="minor"/>
    </font>
    <font>
      <name val="游ゴシック"/>
      <charset val="128"/>
      <family val="3"/>
      <b val="1"/>
      <color theme="4" tint="-0.249977111117893"/>
      <sz val="11"/>
      <scheme val="minor"/>
    </font>
    <font>
      <name val="游ゴシック"/>
      <charset val="128"/>
      <family val="3"/>
      <b val="1"/>
      <i val="1"/>
      <color rgb="FF0000FF"/>
      <sz val="11"/>
    </font>
    <font>
      <name val="游ゴシック"/>
      <charset val="128"/>
      <family val="3"/>
      <b val="1"/>
      <i val="1"/>
      <color rgb="FFFF0000"/>
      <sz val="11"/>
    </font>
    <font>
      <name val="游ゴシック"/>
      <charset val="128"/>
      <family val="3"/>
      <b val="1"/>
      <i val="1"/>
      <color rgb="FFFFFF00"/>
      <sz val="11"/>
    </font>
    <font>
      <name val="游ゴシック"/>
      <charset val="128"/>
      <family val="3"/>
      <b val="1"/>
      <i val="1"/>
      <color rgb="FFFFCC99"/>
      <sz val="11"/>
    </font>
    <font>
      <name val="游ゴシック"/>
      <charset val="128"/>
      <family val="3"/>
      <b val="1"/>
      <i val="1"/>
      <color rgb="FF00CCFF"/>
      <sz val="11"/>
    </font>
    <font>
      <name val="游ゴシック"/>
      <charset val="128"/>
      <family val="3"/>
      <b val="1"/>
      <i val="1"/>
      <color rgb="FFFF6600"/>
      <sz val="11"/>
    </font>
    <font>
      <name val="ＭＳ Ｐゴシック"/>
      <charset val="128"/>
      <family val="3"/>
      <b val="1"/>
      <color theme="1"/>
      <sz val="10"/>
    </font>
    <font>
      <name val="ＭＳ Ｐゴシック"/>
      <charset val="128"/>
      <family val="3"/>
      <color theme="1"/>
      <sz val="10"/>
    </font>
    <font>
      <name val="ＭＳ Ｐゴシック"/>
      <charset val="128"/>
      <family val="3"/>
      <color theme="1"/>
      <sz val="11"/>
    </font>
    <font>
      <name val="游ゴシック"/>
      <charset val="128"/>
      <family val="3"/>
      <sz val="6"/>
      <scheme val="minor"/>
    </font>
    <font>
      <name val="游ゴシック"/>
      <charset val="128"/>
      <family val="2"/>
      <color rgb="FFFF0000"/>
      <sz val="11"/>
      <scheme val="minor"/>
    </font>
    <font>
      <name val="游ゴシック"/>
      <charset val="128"/>
      <family val="3"/>
      <b val="1"/>
      <color theme="1"/>
      <sz val="13.5"/>
      <scheme val="minor"/>
    </font>
    <font>
      <name val="游ゴシック"/>
      <charset val="128"/>
      <family val="3"/>
      <b val="1"/>
      <color theme="1"/>
      <sz val="24"/>
      <scheme val="minor"/>
    </font>
    <font>
      <name val="游ゴシック"/>
      <charset val="128"/>
      <family val="3"/>
      <b val="1"/>
      <color theme="1"/>
      <sz val="11"/>
      <scheme val="minor"/>
    </font>
    <font>
      <name val="游ゴシック"/>
      <charset val="128"/>
      <family val="3"/>
      <b val="1"/>
      <color theme="1"/>
      <sz val="18"/>
      <scheme val="minor"/>
    </font>
    <font>
      <name val="游ゴシック"/>
      <charset val="128"/>
      <family val="3"/>
      <color rgb="FFFF0000"/>
      <sz val="11"/>
      <scheme val="minor"/>
    </font>
    <font>
      <name val="游ゴシック"/>
      <charset val="128"/>
      <family val="3"/>
      <b val="1"/>
      <color rgb="FFFF0000"/>
      <sz val="11"/>
      <scheme val="minor"/>
    </font>
    <font>
      <name val="游ゴシック"/>
      <charset val="128"/>
      <family val="2"/>
      <color theme="1"/>
      <sz val="11"/>
      <scheme val="minor"/>
    </font>
    <font>
      <name val="游ゴシック"/>
      <charset val="128"/>
      <family val="3"/>
      <b val="1"/>
      <color rgb="FF0070C0"/>
      <sz val="11"/>
      <scheme val="minor"/>
    </font>
    <font>
      <name val="游ゴシック"/>
      <charset val="128"/>
      <family val="3"/>
      <color theme="1"/>
      <sz val="12"/>
      <scheme val="minor"/>
    </font>
    <font>
      <name val="游ゴシック"/>
      <charset val="128"/>
      <family val="3"/>
      <b val="1"/>
      <color theme="1"/>
      <sz val="10"/>
      <scheme val="minor"/>
    </font>
    <font>
      <name val="游ゴシック"/>
      <charset val="128"/>
      <family val="3"/>
      <sz val="11"/>
      <scheme val="minor"/>
    </font>
    <font>
      <name val="游ゴシック"/>
      <charset val="128"/>
      <family val="3"/>
      <b val="1"/>
      <color rgb="FFFF0000"/>
      <sz val="12"/>
      <scheme val="minor"/>
    </font>
    <font>
      <name val="游ゴシック"/>
      <charset val="128"/>
      <family val="3"/>
      <color theme="4" tint="-0.499984740745262"/>
      <sz val="11"/>
      <scheme val="minor"/>
    </font>
    <font>
      <name val="游ゴシック"/>
      <charset val="128"/>
      <family val="3"/>
      <b val="1"/>
      <color rgb="FF0000FF"/>
      <sz val="11"/>
    </font>
    <font>
      <name val="游ゴシック"/>
      <charset val="128"/>
      <family val="3"/>
      <b val="1"/>
      <i val="1"/>
      <color rgb="FF008000"/>
      <sz val="11"/>
    </font>
    <font>
      <name val="游ゴシック"/>
      <charset val="128"/>
      <family val="3"/>
      <b val="1"/>
      <i val="1"/>
      <color rgb="FF993366"/>
      <sz val="11"/>
    </font>
  </fonts>
  <fills count="12">
    <fill>
      <patternFill/>
    </fill>
    <fill>
      <patternFill patternType="gray125"/>
    </fill>
    <fill>
      <patternFill patternType="solid">
        <fgColor rgb="FFFFCCFF"/>
        <bgColor indexed="64"/>
      </patternFill>
    </fill>
    <fill>
      <patternFill patternType="solid">
        <fgColor theme="4" tint="0.7999816888943144"/>
        <bgColor indexed="64"/>
      </patternFill>
    </fill>
    <fill>
      <patternFill patternType="solid">
        <fgColor theme="2" tint="-0.09997863704336681"/>
        <bgColor indexed="64"/>
      </patternFill>
    </fill>
    <fill>
      <patternFill patternType="solid">
        <fgColor rgb="FFFFFFFF"/>
        <bgColor indexed="64"/>
      </patternFill>
    </fill>
    <fill>
      <patternFill patternType="solid">
        <fgColor theme="0"/>
        <bgColor indexed="64"/>
      </patternFill>
    </fill>
    <fill>
      <patternFill patternType="solid">
        <fgColor theme="6" tint="0.7999511703848384"/>
        <bgColor indexed="64"/>
      </patternFill>
    </fill>
    <fill>
      <patternFill patternType="solid">
        <fgColor theme="5" tint="0.7999511703848384"/>
        <bgColor indexed="64"/>
      </patternFill>
    </fill>
    <fill>
      <patternFill patternType="solid">
        <fgColor theme="7" tint="0.7999816888943144"/>
        <bgColor indexed="64"/>
      </patternFill>
    </fill>
    <fill>
      <patternFill patternType="solid">
        <fgColor rgb="FFEDEDED"/>
        <bgColor indexed="64"/>
      </patternFill>
    </fill>
    <fill>
      <patternFill patternType="solid">
        <fgColor rgb="FFFCE4D6"/>
        <bgColor indexed="64"/>
      </patternFill>
    </fill>
  </fills>
  <borders count="49">
    <border>
      <left/>
      <right/>
      <top/>
      <bottom/>
      <diagonal/>
    </border>
    <border>
      <left style="medium">
        <color indexed="64"/>
      </left>
      <right/>
      <top style="medium">
        <color indexed="64"/>
      </top>
      <bottom style="thick">
        <color indexed="64"/>
      </bottom>
      <diagonal/>
    </border>
    <border>
      <left style="medium">
        <color indexed="64"/>
      </left>
      <right style="medium">
        <color indexed="64"/>
      </right>
      <top style="medium">
        <color indexed="64"/>
      </top>
      <bottom style="thick">
        <color indexed="64"/>
      </bottom>
      <diagonal/>
    </border>
    <border>
      <left/>
      <right style="medium">
        <color indexed="64"/>
      </right>
      <top style="medium">
        <color indexed="64"/>
      </top>
      <bottom style="thick">
        <color indexed="64"/>
      </bottom>
      <diagonal/>
    </border>
    <border>
      <left/>
      <right/>
      <top style="medium">
        <color indexed="64"/>
      </top>
      <bottom style="thick">
        <color indexed="64"/>
      </bottom>
      <diagonal/>
    </border>
    <border>
      <left style="double">
        <color indexed="64"/>
      </left>
      <right/>
      <top style="medium">
        <color indexed="64"/>
      </top>
      <bottom style="thick">
        <color indexed="64"/>
      </bottom>
      <diagonal/>
    </border>
    <border>
      <left style="medium">
        <color indexed="64"/>
      </left>
      <right style="medium">
        <color indexed="64"/>
      </right>
      <top/>
      <bottom/>
      <diagonal/>
    </border>
    <border>
      <left style="thin">
        <color auto="1"/>
      </left>
      <right style="double">
        <color auto="1"/>
      </right>
      <top style="medium">
        <color auto="1"/>
      </top>
      <bottom style="thick">
        <color auto="1"/>
      </bottom>
      <diagonal/>
    </border>
    <border>
      <left style="thin">
        <color auto="1"/>
      </left>
      <right style="thin">
        <color auto="1"/>
      </right>
      <top style="thick">
        <color auto="1"/>
      </top>
      <bottom/>
      <diagonal/>
    </border>
    <border>
      <left style="thin">
        <color auto="1"/>
      </left>
      <right style="thin">
        <color auto="1"/>
      </right>
      <top style="medium">
        <color auto="1"/>
      </top>
      <bottom style="thin">
        <color auto="1"/>
      </bottom>
      <diagonal/>
    </border>
    <border>
      <left style="thin">
        <color auto="1"/>
      </left>
      <right style="thin">
        <color auto="1"/>
      </right>
      <top style="medium">
        <color auto="1"/>
      </top>
      <bottom/>
      <diagonal/>
    </border>
    <border>
      <left style="thin">
        <color auto="1"/>
      </left>
      <right/>
      <top style="medium">
        <color auto="1"/>
      </top>
      <bottom style="thin">
        <color auto="1"/>
      </bottom>
      <diagonal/>
    </border>
    <border>
      <left/>
      <right/>
      <top style="medium">
        <color auto="1"/>
      </top>
      <bottom style="thin">
        <color auto="1"/>
      </bottom>
      <diagonal/>
    </border>
    <border>
      <left/>
      <right style="thin">
        <color auto="1"/>
      </right>
      <top style="medium">
        <color auto="1"/>
      </top>
      <bottom style="thin">
        <color auto="1"/>
      </bottom>
      <diagonal/>
    </border>
    <border>
      <left style="medium">
        <color auto="1"/>
      </left>
      <right style="thin">
        <color auto="1"/>
      </right>
      <top style="medium">
        <color auto="1"/>
      </top>
      <bottom/>
      <diagonal/>
    </border>
    <border>
      <left style="thin">
        <color auto="1"/>
      </left>
      <right/>
      <top style="medium">
        <color auto="1"/>
      </top>
      <bottom/>
      <diagonal/>
    </border>
    <border>
      <left style="medium">
        <color auto="1"/>
      </left>
      <right style="medium">
        <color auto="1"/>
      </right>
      <top style="medium">
        <color auto="1"/>
      </top>
      <bottom/>
      <diagonal/>
    </border>
    <border>
      <left style="thin">
        <color auto="1"/>
      </left>
      <right style="double">
        <color auto="1"/>
      </right>
      <top style="medium">
        <color auto="1"/>
      </top>
      <bottom style="thin">
        <color auto="1"/>
      </bottom>
      <diagonal/>
    </border>
    <border>
      <left style="thin">
        <color auto="1"/>
      </left>
      <right style="thin">
        <color auto="1"/>
      </right>
      <top/>
      <bottom style="medium">
        <color auto="1"/>
      </bottom>
      <diagonal/>
    </border>
    <border>
      <left style="thin">
        <color auto="1"/>
      </left>
      <right style="thin">
        <color auto="1"/>
      </right>
      <top style="thin">
        <color auto="1"/>
      </top>
      <bottom style="medium">
        <color auto="1"/>
      </bottom>
      <diagonal/>
    </border>
    <border>
      <left style="thin">
        <color auto="1"/>
      </left>
      <right/>
      <top style="thin">
        <color auto="1"/>
      </top>
      <bottom style="medium">
        <color auto="1"/>
      </bottom>
      <diagonal/>
    </border>
    <border>
      <left/>
      <right/>
      <top style="thin">
        <color auto="1"/>
      </top>
      <bottom style="medium">
        <color auto="1"/>
      </bottom>
      <diagonal/>
    </border>
    <border>
      <left style="medium">
        <color auto="1"/>
      </left>
      <right style="thin">
        <color auto="1"/>
      </right>
      <top/>
      <bottom style="medium">
        <color auto="1"/>
      </bottom>
      <diagonal/>
    </border>
    <border>
      <left style="thin">
        <color auto="1"/>
      </left>
      <right/>
      <top/>
      <bottom style="medium">
        <color auto="1"/>
      </bottom>
      <diagonal/>
    </border>
    <border>
      <left style="medium">
        <color auto="1"/>
      </left>
      <right style="medium">
        <color auto="1"/>
      </right>
      <top/>
      <bottom style="medium">
        <color auto="1"/>
      </bottom>
      <diagonal/>
    </border>
    <border>
      <left style="thin">
        <color auto="1"/>
      </left>
      <right style="double">
        <color auto="1"/>
      </right>
      <top style="thin">
        <color auto="1"/>
      </top>
      <bottom style="medium">
        <color auto="1"/>
      </bottom>
      <diagonal/>
    </border>
    <border>
      <left style="thin">
        <color auto="1"/>
      </left>
      <right/>
      <top/>
      <bottom style="thin">
        <color auto="1"/>
      </bottom>
      <diagonal/>
    </border>
    <border>
      <left style="double">
        <color auto="1"/>
      </left>
      <right/>
      <top style="medium">
        <color auto="1"/>
      </top>
      <bottom style="thin">
        <color auto="1"/>
      </bottom>
      <diagonal/>
    </border>
    <border>
      <left style="double">
        <color auto="1"/>
      </left>
      <right/>
      <top style="thin">
        <color auto="1"/>
      </top>
      <bottom style="medium">
        <color auto="1"/>
      </bottom>
      <diagonal/>
    </border>
    <border>
      <left style="thin">
        <color auto="1"/>
      </left>
      <right style="thin">
        <color auto="1"/>
      </right>
      <top/>
      <bottom style="thick">
        <color auto="1"/>
      </bottom>
      <diagonal/>
    </border>
    <border>
      <left style="medium">
        <color auto="1"/>
      </left>
      <right/>
      <top style="medium">
        <color auto="1"/>
      </top>
      <bottom style="thin">
        <color auto="1"/>
      </bottom>
      <diagonal/>
    </border>
    <border>
      <left style="thin">
        <color auto="1"/>
      </left>
      <right style="medium">
        <color auto="1"/>
      </right>
      <top style="medium">
        <color auto="1"/>
      </top>
      <bottom/>
      <diagonal/>
    </border>
    <border>
      <left style="medium">
        <color auto="1"/>
      </left>
      <right/>
      <top style="thin">
        <color auto="1"/>
      </top>
      <bottom style="medium">
        <color auto="1"/>
      </bottom>
      <diagonal/>
    </border>
    <border>
      <left style="thin">
        <color auto="1"/>
      </left>
      <right style="medium">
        <color auto="1"/>
      </right>
      <top/>
      <bottom style="medium">
        <color auto="1"/>
      </bottom>
      <diagonal/>
    </border>
    <border>
      <left/>
      <right style="thin">
        <color indexed="64"/>
      </right>
      <top style="medium">
        <color indexed="64"/>
      </top>
      <bottom style="thick">
        <color indexed="64"/>
      </bottom>
      <diagonal/>
    </border>
    <border>
      <left style="thin">
        <color auto="1"/>
      </left>
      <right/>
      <top style="medium">
        <color auto="1"/>
      </top>
      <bottom style="medium">
        <color auto="1"/>
      </bottom>
      <diagonal/>
    </border>
    <border>
      <left style="thin">
        <color auto="1"/>
      </left>
      <right/>
      <top/>
      <bottom/>
      <diagonal/>
    </border>
    <border>
      <left style="thin">
        <color auto="1"/>
      </left>
      <right style="medium">
        <color auto="1"/>
      </right>
      <top style="medium">
        <color auto="1"/>
      </top>
      <bottom style="medium">
        <color auto="1"/>
      </bottom>
      <diagonal/>
    </border>
    <border>
      <left style="thin">
        <color auto="1"/>
      </left>
      <right style="medium">
        <color auto="1"/>
      </right>
      <top/>
      <bottom/>
      <diagonal/>
    </border>
    <border>
      <left style="medium">
        <color auto="1"/>
      </left>
      <right style="medium">
        <color auto="1"/>
      </right>
      <top style="medium">
        <color auto="1"/>
      </top>
      <bottom style="medium">
        <color auto="1"/>
      </bottom>
      <diagonal/>
    </border>
    <border>
      <left style="medium">
        <color auto="1"/>
      </left>
      <right/>
      <top/>
      <bottom/>
      <diagonal/>
    </border>
    <border>
      <left style="medium">
        <color auto="1"/>
      </left>
      <right style="medium">
        <color auto="1"/>
      </right>
      <top/>
      <bottom/>
      <diagonal/>
    </border>
    <border>
      <left style="thin">
        <color auto="1"/>
      </left>
      <right style="thin">
        <color auto="1"/>
      </right>
      <top style="thick">
        <color auto="1"/>
      </top>
      <bottom style="thick">
        <color auto="1"/>
      </bottom>
      <diagonal/>
    </border>
    <border>
      <left style="thin">
        <color auto="1"/>
      </left>
      <right style="thin">
        <color auto="1"/>
      </right>
      <top/>
      <bottom/>
      <diagonal/>
    </border>
    <border>
      <left style="thin">
        <color auto="1"/>
      </left>
      <right style="thin">
        <color auto="1"/>
      </right>
      <top style="medium">
        <color auto="1"/>
      </top>
      <bottom style="medium">
        <color auto="1"/>
      </bottom>
      <diagonal/>
    </border>
    <border>
      <left style="medium">
        <color auto="1"/>
      </left>
      <right style="thin">
        <color auto="1"/>
      </right>
      <top style="medium">
        <color auto="1"/>
      </top>
      <bottom style="medium">
        <color auto="1"/>
      </bottom>
      <diagonal/>
    </border>
    <border>
      <left style="medium">
        <color auto="1"/>
      </left>
      <right style="thin">
        <color auto="1"/>
      </right>
      <top/>
      <bottom/>
      <diagonal/>
    </border>
    <border>
      <left/>
      <right/>
      <top style="medium">
        <color indexed="64"/>
      </top>
      <bottom/>
      <diagonal/>
    </border>
    <border>
      <left/>
      <right style="medium">
        <color indexed="64"/>
      </right>
      <top style="medium">
        <color indexed="64"/>
      </top>
      <bottom/>
      <diagonal/>
    </border>
  </borders>
  <cellStyleXfs count="2">
    <xf numFmtId="0" fontId="21" fillId="0" borderId="0" applyAlignment="1">
      <alignment vertical="center"/>
    </xf>
    <xf numFmtId="38" fontId="21" fillId="0" borderId="0" applyAlignment="1">
      <alignment vertical="center"/>
    </xf>
  </cellStyleXfs>
  <cellXfs count="137">
    <xf numFmtId="0" fontId="0" fillId="0" borderId="0" applyAlignment="1" pivotButton="0" quotePrefix="0" xfId="0">
      <alignment vertical="center"/>
    </xf>
    <xf numFmtId="0" fontId="0" fillId="0" borderId="0" applyAlignment="1" applyProtection="1" pivotButton="0" quotePrefix="0" xfId="0">
      <alignment vertical="center"/>
      <protection locked="0" hidden="0"/>
    </xf>
    <xf numFmtId="0" fontId="0" fillId="3" borderId="0" applyAlignment="1" pivotButton="0" quotePrefix="0" xfId="0">
      <alignment vertical="center"/>
    </xf>
    <xf numFmtId="0" fontId="3" fillId="3" borderId="0" applyAlignment="1" pivotButton="0" quotePrefix="0" xfId="0">
      <alignment vertical="center"/>
    </xf>
    <xf numFmtId="0" fontId="10" fillId="2" borderId="1" applyAlignment="1" pivotButton="0" quotePrefix="0" xfId="0">
      <alignment horizontal="center" vertical="center"/>
    </xf>
    <xf numFmtId="0" fontId="10" fillId="2" borderId="2" applyAlignment="1" pivotButton="0" quotePrefix="0" xfId="0">
      <alignment horizontal="center" vertical="center"/>
    </xf>
    <xf numFmtId="0" fontId="10" fillId="2" borderId="3" applyAlignment="1" pivotButton="0" quotePrefix="0" xfId="0">
      <alignment horizontal="center" vertical="center"/>
    </xf>
    <xf numFmtId="164" fontId="10" fillId="2" borderId="2" applyAlignment="1" pivotButton="0" quotePrefix="0" xfId="0">
      <alignment horizontal="center" vertical="center"/>
    </xf>
    <xf numFmtId="0" fontId="10" fillId="2" borderId="7" applyAlignment="1" pivotButton="0" quotePrefix="0" xfId="0">
      <alignment horizontal="center" vertical="center"/>
    </xf>
    <xf numFmtId="0" fontId="11" fillId="6" borderId="0" applyAlignment="1" pivotButton="0" quotePrefix="0" xfId="0">
      <alignment vertical="center"/>
    </xf>
    <xf numFmtId="0" fontId="12" fillId="0" borderId="0" applyAlignment="1" applyProtection="1" pivotButton="0" quotePrefix="0" xfId="0">
      <alignment vertical="center"/>
      <protection locked="0" hidden="0"/>
    </xf>
    <xf numFmtId="0" fontId="0" fillId="4" borderId="0" applyAlignment="1" applyProtection="1" pivotButton="0" quotePrefix="0" xfId="0">
      <alignment vertical="center"/>
      <protection locked="0" hidden="0"/>
    </xf>
    <xf numFmtId="0" fontId="12" fillId="0" borderId="6" applyAlignment="1" applyProtection="1" pivotButton="0" quotePrefix="0" xfId="0">
      <alignment vertical="center"/>
      <protection locked="0" hidden="0"/>
    </xf>
    <xf numFmtId="14" fontId="2" fillId="3" borderId="0" applyAlignment="1" pivotButton="0" quotePrefix="0" xfId="0">
      <alignment horizontal="center" vertical="center"/>
    </xf>
    <xf numFmtId="0" fontId="2" fillId="3" borderId="0" applyAlignment="1" pivotButton="0" quotePrefix="0" xfId="0">
      <alignment horizontal="center" vertical="center"/>
    </xf>
    <xf numFmtId="49" fontId="2" fillId="3" borderId="0" applyAlignment="1" pivotButton="0" quotePrefix="0" xfId="0">
      <alignment horizontal="center" vertical="center"/>
    </xf>
    <xf numFmtId="0" fontId="0" fillId="5" borderId="0" applyAlignment="1" pivotButton="0" quotePrefix="0" xfId="0">
      <alignment vertical="center"/>
    </xf>
    <xf numFmtId="0" fontId="15" fillId="0" borderId="0" applyAlignment="1" applyProtection="1" pivotButton="0" quotePrefix="0" xfId="0">
      <alignment vertical="center"/>
      <protection locked="0" hidden="0"/>
    </xf>
    <xf numFmtId="0" fontId="16" fillId="0" borderId="0" applyAlignment="1" applyProtection="1" pivotButton="0" quotePrefix="0" xfId="0">
      <alignment vertical="center"/>
      <protection locked="0" hidden="0"/>
    </xf>
    <xf numFmtId="0" fontId="0" fillId="0" borderId="0" applyAlignment="1" applyProtection="1" pivotButton="0" quotePrefix="0" xfId="0">
      <alignment horizontal="left" vertical="center" indent="1"/>
      <protection locked="0" hidden="0"/>
    </xf>
    <xf numFmtId="0" fontId="17" fillId="0" borderId="0" applyAlignment="1" applyProtection="1" pivotButton="0" quotePrefix="0" xfId="0">
      <alignment horizontal="left" vertical="center" indent="1"/>
      <protection locked="0" hidden="0"/>
    </xf>
    <xf numFmtId="0" fontId="18" fillId="0" borderId="0" applyAlignment="1" applyProtection="1" pivotButton="0" quotePrefix="0" xfId="0">
      <alignment vertical="center"/>
      <protection locked="0" hidden="0"/>
    </xf>
    <xf numFmtId="0" fontId="17" fillId="0" borderId="0" applyAlignment="1" applyProtection="1" pivotButton="0" quotePrefix="0" xfId="0">
      <alignment vertical="center"/>
      <protection locked="0" hidden="0"/>
    </xf>
    <xf numFmtId="0" fontId="15" fillId="0" borderId="0" applyAlignment="1" pivotButton="0" quotePrefix="0" xfId="0">
      <alignment vertical="center"/>
    </xf>
    <xf numFmtId="0" fontId="14" fillId="0" borderId="0" applyAlignment="1" pivotButton="0" quotePrefix="0" xfId="0">
      <alignment vertical="center"/>
    </xf>
    <xf numFmtId="0" fontId="16" fillId="0" borderId="0" applyAlignment="1" pivotButton="0" quotePrefix="0" xfId="0">
      <alignment vertical="center"/>
    </xf>
    <xf numFmtId="14" fontId="2" fillId="0" borderId="9" applyAlignment="1" pivotButton="0" quotePrefix="0" xfId="0">
      <alignment horizontal="center" vertical="center"/>
    </xf>
    <xf numFmtId="0" fontId="24" fillId="8" borderId="9" applyAlignment="1" pivotButton="0" quotePrefix="0" xfId="0">
      <alignment horizontal="center" vertical="center"/>
    </xf>
    <xf numFmtId="165" fontId="25" fillId="0" borderId="17" applyAlignment="1" pivotButton="0" quotePrefix="0" xfId="0">
      <alignment horizontal="center" vertical="center"/>
    </xf>
    <xf numFmtId="0" fontId="2" fillId="0" borderId="19" applyAlignment="1" pivotButton="0" quotePrefix="0" xfId="0">
      <alignment horizontal="center" vertical="center"/>
    </xf>
    <xf numFmtId="0" fontId="24" fillId="8" borderId="19" applyAlignment="1" pivotButton="0" quotePrefix="0" xfId="0">
      <alignment horizontal="center" vertical="center"/>
    </xf>
    <xf numFmtId="49" fontId="20" fillId="6" borderId="20" applyAlignment="1" pivotButton="0" quotePrefix="0" xfId="0">
      <alignment horizontal="center" vertical="center"/>
    </xf>
    <xf numFmtId="166" fontId="19" fillId="0" borderId="25" applyAlignment="1" pivotButton="0" quotePrefix="0" xfId="0">
      <alignment horizontal="center" vertical="center"/>
    </xf>
    <xf numFmtId="167" fontId="2" fillId="0" borderId="9" applyAlignment="1" pivotButton="0" quotePrefix="0" xfId="0">
      <alignment horizontal="center" vertical="center"/>
    </xf>
    <xf numFmtId="49" fontId="2" fillId="0" borderId="26" applyAlignment="1" pivotButton="0" quotePrefix="0" xfId="0">
      <alignment horizontal="center" vertical="center"/>
    </xf>
    <xf numFmtId="168" fontId="2" fillId="0" borderId="20" applyAlignment="1" pivotButton="0" quotePrefix="0" xfId="0">
      <alignment horizontal="center" vertical="center"/>
    </xf>
    <xf numFmtId="0" fontId="10" fillId="2" borderId="4" applyAlignment="1" pivotButton="0" quotePrefix="0" xfId="0">
      <alignment horizontal="center" vertical="center"/>
    </xf>
    <xf numFmtId="0" fontId="10" fillId="2" borderId="5" applyAlignment="1" pivotButton="0" quotePrefix="0" xfId="0">
      <alignment horizontal="center" vertical="center"/>
    </xf>
    <xf numFmtId="0" fontId="2" fillId="7" borderId="20" applyAlignment="1" pivotButton="0" quotePrefix="0" xfId="0">
      <alignment horizontal="center" vertical="center"/>
    </xf>
    <xf numFmtId="0" fontId="2" fillId="0" borderId="20" applyAlignment="1" pivotButton="0" quotePrefix="0" xfId="0">
      <alignment horizontal="center" vertical="center"/>
    </xf>
    <xf numFmtId="0" fontId="25" fillId="6" borderId="12" applyAlignment="1" pivotButton="0" quotePrefix="0" xfId="0">
      <alignment horizontal="center" vertical="center"/>
    </xf>
    <xf numFmtId="0" fontId="2" fillId="0" borderId="11" applyAlignment="1" pivotButton="0" quotePrefix="0" xfId="0">
      <alignment horizontal="center" vertical="center"/>
    </xf>
    <xf numFmtId="169" fontId="2" fillId="0" borderId="11" applyAlignment="1" pivotButton="0" quotePrefix="0" xfId="0">
      <alignment horizontal="center" vertical="center"/>
    </xf>
    <xf numFmtId="0" fontId="2" fillId="7" borderId="11" applyAlignment="1" pivotButton="0" quotePrefix="0" xfId="0">
      <alignment horizontal="center" vertical="center"/>
    </xf>
    <xf numFmtId="0" fontId="2" fillId="0" borderId="28" applyAlignment="1" pivotButton="0" quotePrefix="0" xfId="0">
      <alignment horizontal="center" vertical="center"/>
    </xf>
    <xf numFmtId="14" fontId="2" fillId="0" borderId="27" applyAlignment="1" pivotButton="0" quotePrefix="0" xfId="0">
      <alignment horizontal="center" vertical="center"/>
    </xf>
    <xf numFmtId="0" fontId="0" fillId="3" borderId="0" applyAlignment="1" pivotButton="0" quotePrefix="0" xfId="0">
      <alignment horizontal="center" vertical="center"/>
    </xf>
    <xf numFmtId="0" fontId="25" fillId="6" borderId="11" applyAlignment="1" pivotButton="0" quotePrefix="0" xfId="0">
      <alignment vertical="center"/>
    </xf>
    <xf numFmtId="0" fontId="27" fillId="0" borderId="19" applyAlignment="1" pivotButton="0" quotePrefix="0" xfId="0">
      <alignment horizontal="center" vertical="center"/>
    </xf>
    <xf numFmtId="49" fontId="2" fillId="0" borderId="9" applyAlignment="1" pivotButton="0" quotePrefix="0" xfId="0">
      <alignment horizontal="center" vertical="center"/>
    </xf>
    <xf numFmtId="0" fontId="2" fillId="0" borderId="30" applyAlignment="1" pivotButton="0" quotePrefix="0" xfId="0">
      <alignment horizontal="center" vertical="center"/>
    </xf>
    <xf numFmtId="0" fontId="2" fillId="0" borderId="32" applyAlignment="1" pivotButton="0" quotePrefix="0" xfId="0">
      <alignment horizontal="center" vertical="center"/>
    </xf>
    <xf numFmtId="0" fontId="10" fillId="2" borderId="1" applyAlignment="1" pivotButton="0" quotePrefix="0" xfId="0">
      <alignment horizontal="center" vertical="center"/>
    </xf>
    <xf numFmtId="0" fontId="0" fillId="3" borderId="0" applyAlignment="1" pivotButton="0" quotePrefix="0" xfId="0">
      <alignment horizontal="center" vertical="center"/>
    </xf>
    <xf numFmtId="168" fontId="23" fillId="0" borderId="15" applyAlignment="1" pivotButton="0" quotePrefix="0" xfId="0">
      <alignment horizontal="center" vertical="center"/>
    </xf>
    <xf numFmtId="168" fontId="23" fillId="0" borderId="23" applyAlignment="1" pivotButton="0" quotePrefix="0" xfId="0">
      <alignment horizontal="center" vertical="center"/>
    </xf>
    <xf numFmtId="170" fontId="26" fillId="0" borderId="31" applyAlignment="1" pivotButton="0" quotePrefix="0" xfId="0">
      <alignment horizontal="center" vertical="center"/>
    </xf>
    <xf numFmtId="170" fontId="26" fillId="0" borderId="33" applyAlignment="1" pivotButton="0" quotePrefix="0" xfId="0">
      <alignment horizontal="center" vertical="center"/>
    </xf>
    <xf numFmtId="38" fontId="23" fillId="0" borderId="16" applyAlignment="1" pivotButton="0" quotePrefix="0" xfId="1">
      <alignment horizontal="center" vertical="center"/>
    </xf>
    <xf numFmtId="38" fontId="23" fillId="0" borderId="24" applyAlignment="1" pivotButton="0" quotePrefix="0" xfId="1">
      <alignment horizontal="center" vertical="center"/>
    </xf>
    <xf numFmtId="49" fontId="2" fillId="7" borderId="10" applyAlignment="1" pivotButton="0" quotePrefix="0" xfId="0">
      <alignment horizontal="center" vertical="center"/>
    </xf>
    <xf numFmtId="49" fontId="2" fillId="7" borderId="18" applyAlignment="1" pivotButton="0" quotePrefix="0" xfId="0">
      <alignment horizontal="center" vertical="center"/>
    </xf>
    <xf numFmtId="0" fontId="0" fillId="0" borderId="14" applyAlignment="1" pivotButton="0" quotePrefix="0" xfId="0">
      <alignment horizontal="center" vertical="center"/>
    </xf>
    <xf numFmtId="0" fontId="0" fillId="0" borderId="22" applyAlignment="1" pivotButton="0" quotePrefix="0" xfId="0">
      <alignment horizontal="center" vertical="center"/>
    </xf>
    <xf numFmtId="0" fontId="2" fillId="0" borderId="14" applyAlignment="1" pivotButton="0" quotePrefix="0" xfId="0">
      <alignment horizontal="center" vertical="center"/>
    </xf>
    <xf numFmtId="0" fontId="10" fillId="2" borderId="3" applyAlignment="1" pivotButton="0" quotePrefix="0" xfId="0">
      <alignment horizontal="center" vertical="center"/>
    </xf>
    <xf numFmtId="0" fontId="10" fillId="2" borderId="1" applyAlignment="1" pivotButton="0" quotePrefix="0" xfId="0">
      <alignment vertical="center"/>
    </xf>
    <xf numFmtId="0" fontId="10" fillId="2" borderId="4" applyAlignment="1" pivotButton="0" quotePrefix="0" xfId="0">
      <alignment vertical="center"/>
    </xf>
    <xf numFmtId="0" fontId="10" fillId="2" borderId="34" applyAlignment="1" pivotButton="0" quotePrefix="0" xfId="0">
      <alignment horizontal="center" vertical="center"/>
    </xf>
    <xf numFmtId="0" fontId="27" fillId="0" borderId="21" applyAlignment="1" pivotButton="0" quotePrefix="0" xfId="0">
      <alignment horizontal="center" vertical="center"/>
    </xf>
    <xf numFmtId="0" fontId="22" fillId="9" borderId="8" applyAlignment="1" pivotButton="0" quotePrefix="0" xfId="0">
      <alignment horizontal="center" vertical="center"/>
    </xf>
    <xf numFmtId="0" fontId="25" fillId="6" borderId="13" applyAlignment="1" pivotButton="0" quotePrefix="0" xfId="0">
      <alignment horizontal="center" vertical="center"/>
    </xf>
    <xf numFmtId="0" fontId="22" fillId="9" borderId="29" applyAlignment="1" pivotButton="0" quotePrefix="0" xfId="0">
      <alignment horizontal="center" vertical="center"/>
    </xf>
    <xf numFmtId="49" fontId="2" fillId="0" borderId="19" applyAlignment="1" pivotButton="0" quotePrefix="0" xfId="0">
      <alignment horizontal="center" vertical="center"/>
    </xf>
    <xf numFmtId="49" fontId="2" fillId="5" borderId="9" applyAlignment="1" pivotButton="0" quotePrefix="0" xfId="0">
      <alignment horizontal="center" vertical="center"/>
    </xf>
    <xf numFmtId="49" fontId="2" fillId="10" borderId="10" applyAlignment="1" pivotButton="0" quotePrefix="0" xfId="0">
      <alignment horizontal="center" vertical="center"/>
    </xf>
    <xf numFmtId="0" fontId="2" fillId="10" borderId="11" applyAlignment="1" pivotButton="0" quotePrefix="0" xfId="0">
      <alignment horizontal="center" vertical="center"/>
    </xf>
    <xf numFmtId="49" fontId="2" fillId="5" borderId="26" applyAlignment="1" pivotButton="0" quotePrefix="0" xfId="0">
      <alignment horizontal="center" vertical="center"/>
    </xf>
    <xf numFmtId="0" fontId="0" fillId="5" borderId="14" applyAlignment="1" pivotButton="0" quotePrefix="0" xfId="0">
      <alignment horizontal="center" vertical="center"/>
    </xf>
    <xf numFmtId="168" fontId="23" fillId="5" borderId="15" applyAlignment="1" pivotButton="0" quotePrefix="0" xfId="0">
      <alignment horizontal="center" vertical="center"/>
    </xf>
    <xf numFmtId="38" fontId="23" fillId="5" borderId="16" applyAlignment="1" pivotButton="0" quotePrefix="0" xfId="1">
      <alignment horizontal="center" vertical="center"/>
    </xf>
    <xf numFmtId="0" fontId="2" fillId="5" borderId="30" applyAlignment="1" pivotButton="0" quotePrefix="0" xfId="0">
      <alignment horizontal="center" vertical="center"/>
    </xf>
    <xf numFmtId="0" fontId="24" fillId="11" borderId="9" applyAlignment="1" pivotButton="0" quotePrefix="0" xfId="0">
      <alignment horizontal="center" vertical="center"/>
    </xf>
    <xf numFmtId="0" fontId="25" fillId="5" borderId="11" applyAlignment="1" pivotButton="0" quotePrefix="0" xfId="0">
      <alignment vertical="center"/>
    </xf>
    <xf numFmtId="0" fontId="25" fillId="5" borderId="13" applyAlignment="1" pivotButton="0" quotePrefix="0" xfId="0">
      <alignment horizontal="center" vertical="center"/>
    </xf>
    <xf numFmtId="0" fontId="25" fillId="5" borderId="12" applyAlignment="1" pivotButton="0" quotePrefix="0" xfId="0">
      <alignment horizontal="center" vertical="center"/>
    </xf>
    <xf numFmtId="0" fontId="2" fillId="5" borderId="11" applyAlignment="1" pivotButton="0" quotePrefix="0" xfId="0">
      <alignment horizontal="center" vertical="center"/>
    </xf>
    <xf numFmtId="165" fontId="25" fillId="5" borderId="17" applyAlignment="1" pivotButton="0" quotePrefix="0" xfId="0">
      <alignment horizontal="center" vertical="center"/>
    </xf>
    <xf numFmtId="14" fontId="2" fillId="5" borderId="27" applyAlignment="1" pivotButton="0" quotePrefix="0" xfId="0">
      <alignment horizontal="center" vertical="center"/>
    </xf>
    <xf numFmtId="169" fontId="2" fillId="5" borderId="11" applyAlignment="1" pivotButton="0" quotePrefix="0" xfId="0">
      <alignment horizontal="center" vertical="center"/>
    </xf>
    <xf numFmtId="170" fontId="26" fillId="5" borderId="31" applyAlignment="1" pivotButton="0" quotePrefix="0" xfId="0">
      <alignment horizontal="center" vertical="center"/>
    </xf>
    <xf numFmtId="49" fontId="2" fillId="5" borderId="19" applyAlignment="1" pivotButton="0" quotePrefix="0" xfId="0">
      <alignment horizontal="center" vertical="center"/>
    </xf>
    <xf numFmtId="49" fontId="2" fillId="10" borderId="18" applyAlignment="1" pivotButton="0" quotePrefix="0" xfId="0">
      <alignment horizontal="center" vertical="center"/>
    </xf>
    <xf numFmtId="0" fontId="2" fillId="10" borderId="20" applyAlignment="1" pivotButton="0" quotePrefix="0" xfId="0">
      <alignment horizontal="center" vertical="center"/>
    </xf>
    <xf numFmtId="168" fontId="2" fillId="5" borderId="20" applyAlignment="1" pivotButton="0" quotePrefix="0" xfId="0">
      <alignment horizontal="center" vertical="center"/>
    </xf>
    <xf numFmtId="0" fontId="0" fillId="5" borderId="22" applyAlignment="1" pivotButton="0" quotePrefix="0" xfId="0">
      <alignment horizontal="center" vertical="center"/>
    </xf>
    <xf numFmtId="168" fontId="23" fillId="5" borderId="23" applyAlignment="1" pivotButton="0" quotePrefix="0" xfId="0">
      <alignment horizontal="center" vertical="center"/>
    </xf>
    <xf numFmtId="38" fontId="23" fillId="5" borderId="24" applyAlignment="1" pivotButton="0" quotePrefix="0" xfId="1">
      <alignment horizontal="center" vertical="center"/>
    </xf>
    <xf numFmtId="0" fontId="2" fillId="5" borderId="32" applyAlignment="1" pivotButton="0" quotePrefix="0" xfId="0">
      <alignment horizontal="center" vertical="center"/>
    </xf>
    <xf numFmtId="0" fontId="24" fillId="11" borderId="19" applyAlignment="1" pivotButton="0" quotePrefix="0" xfId="0">
      <alignment horizontal="center" vertical="center"/>
    </xf>
    <xf numFmtId="49" fontId="20" fillId="5" borderId="20" applyAlignment="1" pivotButton="0" quotePrefix="0" xfId="0">
      <alignment horizontal="center" vertical="center"/>
    </xf>
    <xf numFmtId="0" fontId="27" fillId="5" borderId="19" applyAlignment="1" pivotButton="0" quotePrefix="0" xfId="0">
      <alignment horizontal="center" vertical="center"/>
    </xf>
    <xf numFmtId="0" fontId="27" fillId="5" borderId="21" applyAlignment="1" pivotButton="0" quotePrefix="0" xfId="0">
      <alignment horizontal="center" vertical="center"/>
    </xf>
    <xf numFmtId="0" fontId="2" fillId="5" borderId="20" applyAlignment="1" pivotButton="0" quotePrefix="0" xfId="0">
      <alignment horizontal="center" vertical="center"/>
    </xf>
    <xf numFmtId="166" fontId="19" fillId="5" borderId="25" applyAlignment="1" pivotButton="0" quotePrefix="0" xfId="0">
      <alignment horizontal="center" vertical="center"/>
    </xf>
    <xf numFmtId="0" fontId="2" fillId="5" borderId="28" applyAlignment="1" pivotButton="0" quotePrefix="0" xfId="0">
      <alignment horizontal="center" vertical="center"/>
    </xf>
    <xf numFmtId="170" fontId="26" fillId="5" borderId="33" applyAlignment="1" pivotButton="0" quotePrefix="0" xfId="0">
      <alignment horizontal="center" vertical="center"/>
    </xf>
    <xf numFmtId="0" fontId="0" fillId="0" borderId="0" pivotButton="0" quotePrefix="0" xfId="0"/>
    <xf numFmtId="0" fontId="0" fillId="0" borderId="3" pivotButton="0" quotePrefix="0" xfId="0"/>
    <xf numFmtId="164" fontId="10" fillId="2" borderId="2" applyAlignment="1" pivotButton="0" quotePrefix="0" xfId="0">
      <alignment horizontal="center" vertical="center"/>
    </xf>
    <xf numFmtId="0" fontId="22" fillId="9" borderId="42" applyAlignment="1" pivotButton="0" quotePrefix="0" xfId="0">
      <alignment horizontal="center" vertical="center"/>
    </xf>
    <xf numFmtId="167" fontId="2" fillId="0" borderId="9" applyAlignment="1" pivotButton="0" quotePrefix="0" xfId="0">
      <alignment horizontal="center" vertical="center"/>
    </xf>
    <xf numFmtId="49" fontId="2" fillId="7" borderId="44" applyAlignment="1" pivotButton="0" quotePrefix="0" xfId="0">
      <alignment horizontal="center" vertical="center"/>
    </xf>
    <xf numFmtId="0" fontId="0" fillId="0" borderId="45" applyAlignment="1" pivotButton="0" quotePrefix="0" xfId="0">
      <alignment horizontal="center" vertical="center"/>
    </xf>
    <xf numFmtId="168" fontId="23" fillId="0" borderId="35" applyAlignment="1" pivotButton="0" quotePrefix="0" xfId="0">
      <alignment horizontal="center" vertical="center"/>
    </xf>
    <xf numFmtId="38" fontId="23" fillId="0" borderId="39" applyAlignment="1" pivotButton="0" quotePrefix="0" xfId="1">
      <alignment horizontal="center" vertical="center"/>
    </xf>
    <xf numFmtId="165" fontId="25" fillId="0" borderId="17" applyAlignment="1" pivotButton="0" quotePrefix="0" xfId="0">
      <alignment horizontal="center" vertical="center"/>
    </xf>
    <xf numFmtId="169" fontId="2" fillId="0" borderId="11" applyAlignment="1" pivotButton="0" quotePrefix="0" xfId="0">
      <alignment horizontal="center" vertical="center"/>
    </xf>
    <xf numFmtId="170" fontId="26" fillId="0" borderId="37" applyAlignment="1" pivotButton="0" quotePrefix="0" xfId="0">
      <alignment horizontal="center" vertical="center"/>
    </xf>
    <xf numFmtId="0" fontId="0" fillId="0" borderId="29" pivotButton="0" quotePrefix="0" xfId="0"/>
    <xf numFmtId="0" fontId="0" fillId="0" borderId="18" pivotButton="0" quotePrefix="0" xfId="0"/>
    <xf numFmtId="168" fontId="2" fillId="0" borderId="20" applyAlignment="1" pivotButton="0" quotePrefix="0" xfId="0">
      <alignment horizontal="center" vertical="center"/>
    </xf>
    <xf numFmtId="0" fontId="0" fillId="0" borderId="22" pivotButton="0" quotePrefix="0" xfId="0"/>
    <xf numFmtId="0" fontId="0" fillId="0" borderId="23" pivotButton="0" quotePrefix="0" xfId="0"/>
    <xf numFmtId="0" fontId="0" fillId="0" borderId="24" pivotButton="0" quotePrefix="0" xfId="0"/>
    <xf numFmtId="166" fontId="19" fillId="0" borderId="25" applyAlignment="1" pivotButton="0" quotePrefix="0" xfId="0">
      <alignment horizontal="center" vertical="center"/>
    </xf>
    <xf numFmtId="0" fontId="0" fillId="0" borderId="33" pivotButton="0" quotePrefix="0" xfId="0"/>
    <xf numFmtId="0" fontId="2" fillId="0" borderId="45" applyAlignment="1" pivotButton="0" quotePrefix="0" xfId="0">
      <alignment horizontal="center" vertical="center"/>
    </xf>
    <xf numFmtId="49" fontId="2" fillId="10" borderId="44" applyAlignment="1" pivotButton="0" quotePrefix="0" xfId="0">
      <alignment horizontal="center" vertical="center"/>
    </xf>
    <xf numFmtId="0" fontId="0" fillId="5" borderId="45" applyAlignment="1" pivotButton="0" quotePrefix="0" xfId="0">
      <alignment horizontal="center" vertical="center"/>
    </xf>
    <xf numFmtId="168" fontId="23" fillId="5" borderId="35" applyAlignment="1" pivotButton="0" quotePrefix="0" xfId="0">
      <alignment horizontal="center" vertical="center"/>
    </xf>
    <xf numFmtId="38" fontId="23" fillId="5" borderId="39" applyAlignment="1" pivotButton="0" quotePrefix="0" xfId="1">
      <alignment horizontal="center" vertical="center"/>
    </xf>
    <xf numFmtId="165" fontId="25" fillId="5" borderId="17" applyAlignment="1" pivotButton="0" quotePrefix="0" xfId="0">
      <alignment horizontal="center" vertical="center"/>
    </xf>
    <xf numFmtId="169" fontId="2" fillId="5" borderId="11" applyAlignment="1" pivotButton="0" quotePrefix="0" xfId="0">
      <alignment horizontal="center" vertical="center"/>
    </xf>
    <xf numFmtId="170" fontId="26" fillId="5" borderId="37" applyAlignment="1" pivotButton="0" quotePrefix="0" xfId="0">
      <alignment horizontal="center" vertical="center"/>
    </xf>
    <xf numFmtId="168" fontId="2" fillId="5" borderId="20" applyAlignment="1" pivotButton="0" quotePrefix="0" xfId="0">
      <alignment horizontal="center" vertical="center"/>
    </xf>
    <xf numFmtId="166" fontId="19" fillId="5" borderId="25" applyAlignment="1" pivotButton="0" quotePrefix="0" xfId="0">
      <alignment horizontal="center" vertical="center"/>
    </xf>
  </cellXfs>
  <cellStyles count="2">
    <cellStyle name="標準" xfId="0" builtinId="0"/>
    <cellStyle name="桁区切り" xfId="1" builtinId="6"/>
  </cellStyles>
  <dxfs count="4">
    <dxf>
      <fill>
        <patternFill>
          <bgColor theme="7" tint="0.7999816888943144"/>
        </patternFill>
      </fill>
    </dxf>
    <dxf>
      <fill>
        <patternFill>
          <bgColor rgb="FFFFFF00"/>
        </patternFill>
      </fill>
    </dxf>
    <dxf>
      <fill>
        <patternFill>
          <bgColor rgb="FFFFFF00"/>
        </patternFill>
      </fill>
    </dxf>
    <dxf>
      <fill>
        <patternFill>
          <bgColor rgb="FFFFCCFF"/>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styles" Target="styles.xml" Id="rId8" /><Relationship Type="http://schemas.openxmlformats.org/officeDocument/2006/relationships/theme" Target="theme/theme1.xml" Id="rId9" /><Relationship Type="http://schemas.microsoft.com/office/2006/relationships/vbaProject" Target="vbaProject.bin" Id="rId10"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theme/theme1.xml><?xml version="1.0" encoding="utf-8"?>
<a:theme xmlns:a="http://schemas.openxmlformats.org/drawingml/2006/main" name="Office 2013 - 2022 テーマ">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Relationships xmlns="http://schemas.openxmlformats.org/package/2006/relationships"><Relationship Type="http://schemas.openxmlformats.org/officeDocument/2006/relationships/vmlDrawing" Target="/xl/drawings/vmlDrawing1.vml" Id="anysvml" /></Relationships>
</file>

<file path=xl/worksheets/_rels/sheet3.xml.rels><Relationships xmlns="http://schemas.openxmlformats.org/package/2006/relationships"><Relationship Type="http://schemas.openxmlformats.org/officeDocument/2006/relationships/vmlDrawing" Target="/xl/drawings/vmlDrawing2.vml" Id="anysvml" /></Relationships>
</file>

<file path=xl/worksheets/_rels/sheet4.xml.rels><Relationships xmlns="http://schemas.openxmlformats.org/package/2006/relationships"><Relationship Type="http://schemas.openxmlformats.org/officeDocument/2006/relationships/vmlDrawing" Target="/xl/drawings/vmlDrawing3.vml" Id="anysvml" /></Relationships>
</file>

<file path=xl/worksheets/_rels/sheet5.xml.rels><Relationships xmlns="http://schemas.openxmlformats.org/package/2006/relationships"><Relationship Type="http://schemas.openxmlformats.org/officeDocument/2006/relationships/vmlDrawing" Target="/xl/drawings/vmlDrawing4.vml" Id="anysvml" /></Relationships>
</file>

<file path=xl/worksheets/_rels/sheet6.xml.rels><Relationships xmlns="http://schemas.openxmlformats.org/package/2006/relationships"><Relationship Type="http://schemas.openxmlformats.org/officeDocument/2006/relationships/vmlDrawing" Target="/xl/drawings/vmlDrawing5.vml" Id="anysvml" /></Relationships>
</file>

<file path=xl/worksheets/_rels/sheet7.xml.rels><Relationships xmlns="http://schemas.openxmlformats.org/package/2006/relationships"><Relationship Type="http://schemas.openxmlformats.org/officeDocument/2006/relationships/vmlDrawing" Target="/xl/drawings/vmlDrawing6.vml" Id="anysvml" /></Relationships>
</file>

<file path=xl/worksheets/sheet1.xml><?xml version="1.0" encoding="utf-8"?>
<worksheet xmlns="http://schemas.openxmlformats.org/spreadsheetml/2006/main">
  <sheetPr codeName="操作手順">
    <tabColor theme="6" tint="-0.249977111117893"/>
    <outlinePr summaryBelow="1" summaryRight="1"/>
    <pageSetUpPr/>
  </sheetPr>
  <dimension ref="A1:A111"/>
  <sheetViews>
    <sheetView workbookViewId="0">
      <selection activeCell="E11" sqref="E11"/>
    </sheetView>
  </sheetViews>
  <sheetFormatPr baseColWidth="8" defaultColWidth="9" defaultRowHeight="18"/>
  <cols>
    <col width="9" customWidth="1" style="1" min="1" max="16384"/>
  </cols>
  <sheetData>
    <row r="1" ht="22.2" customHeight="1" s="107">
      <c r="A1" s="23" t="inlineStr">
        <is>
          <t>在庫管理表 操作手順</t>
        </is>
      </c>
    </row>
    <row r="2" s="107">
      <c r="A2" s="24" t="inlineStr">
        <is>
          <t>※ 表記が崩れないように1~9行目を保護しています。マクロを動かす前後に自動で解除/再保護されます</t>
        </is>
      </c>
    </row>
    <row r="3" s="107"/>
    <row r="4" ht="39" customHeight="1" s="107">
      <c r="A4" s="25" t="inlineStr">
        <is>
          <t>① 在庫管理表の本体シートで初期分類</t>
        </is>
      </c>
    </row>
    <row r="5" s="107"/>
    <row r="6" s="107">
      <c r="A6" s="0" t="inlineStr">
        <is>
          <t>本体シートでは、各在庫を ベージュ（在庫候補） または 黄色（売約候補） に色分けします。</t>
        </is>
      </c>
    </row>
    <row r="7" s="107">
      <c r="A7" s="0" t="inlineStr">
        <is>
          <t>その後「振り分け」マクロを実行すると、売上有無（AX列）と色に応じて各シートへ自動分類されます。</t>
        </is>
      </c>
    </row>
    <row r="8" s="107"/>
    <row r="9" ht="22.2" customHeight="1" s="107">
      <c r="A9" s="23" t="inlineStr">
        <is>
          <t>振り分けルール</t>
        </is>
      </c>
    </row>
    <row r="10">
      <c r="A10" s="19" t="n"/>
    </row>
    <row r="11">
      <c r="A11" s="20" t="inlineStr">
        <is>
          <t>ベージュ + 売上なし（AB列=0）</t>
        </is>
      </c>
    </row>
    <row r="12">
      <c r="A12" s="19" t="inlineStr">
        <is>
          <t xml:space="preserve">　→ 在庫有 シート</t>
        </is>
      </c>
    </row>
    <row r="13">
      <c r="A13" s="19" t="n"/>
    </row>
    <row r="14">
      <c r="A14" s="20" t="inlineStr">
        <is>
          <t>ベージュ + 売上あり（AB列≠0）</t>
        </is>
      </c>
    </row>
    <row r="15">
      <c r="A15" s="19" t="inlineStr">
        <is>
          <t xml:space="preserve">　→ 不明 シート</t>
        </is>
      </c>
    </row>
    <row r="16">
      <c r="A16" s="19" t="n"/>
    </row>
    <row r="17">
      <c r="A17" s="20" t="inlineStr">
        <is>
          <t>黄色 + 売上あり（AB列≠0）</t>
        </is>
      </c>
    </row>
    <row r="18">
      <c r="A18" s="19" t="inlineStr">
        <is>
          <t xml:space="preserve">　→ 売約済 シート</t>
        </is>
      </c>
    </row>
    <row r="19">
      <c r="A19" s="19" t="n"/>
    </row>
    <row r="20">
      <c r="A20" s="20" t="inlineStr">
        <is>
          <t>黄色 + 売上なし（AB列=0）</t>
        </is>
      </c>
    </row>
    <row r="21">
      <c r="A21" s="19" t="inlineStr">
        <is>
          <t xml:space="preserve">　→ 不明 シート</t>
        </is>
      </c>
    </row>
    <row r="25" ht="39" customHeight="1" s="107">
      <c r="A25" s="18" t="inlineStr">
        <is>
          <t>② 各シートで確認・再判定</t>
        </is>
      </c>
    </row>
    <row r="27">
      <c r="A27" s="1" t="inlineStr">
        <is>
          <t>振り分け後、各シートで仕入番号照合や目視確認を行い、色を変更して最終判定します。</t>
        </is>
      </c>
    </row>
    <row r="28">
      <c r="A28" s="1" t="inlineStr">
        <is>
          <t>残った仕入れ番号シートにファイルの仕入番号リストを貼り付けてから照合してください</t>
        </is>
      </c>
    </row>
    <row r="30" ht="28.8" customHeight="1" s="107">
      <c r="A30" s="21" t="inlineStr">
        <is>
          <t>不明シート</t>
        </is>
      </c>
    </row>
    <row r="32">
      <c r="A32" s="1" t="inlineStr">
        <is>
          <t>初期状態：青色（要確認）</t>
        </is>
      </c>
    </row>
    <row r="33">
      <c r="A33" s="1" t="inlineStr">
        <is>
          <t>仕入番号照合を行い、一致するものがあればベージュに変換される。ないものは引き続き青色</t>
        </is>
      </c>
    </row>
    <row r="34">
      <c r="A34" s="19" t="n"/>
    </row>
    <row r="35">
      <c r="A35" s="20" t="inlineStr">
        <is>
          <t>ベージュ</t>
        </is>
      </c>
    </row>
    <row r="36">
      <c r="A36" s="19" t="inlineStr">
        <is>
          <t xml:space="preserve">　→ 在庫あり確定</t>
        </is>
      </c>
    </row>
    <row r="37">
      <c r="A37" s="19" t="n"/>
    </row>
    <row r="38">
      <c r="A38" s="20" t="inlineStr">
        <is>
          <t>黄色</t>
        </is>
      </c>
    </row>
    <row r="39">
      <c r="A39" s="19" t="inlineStr">
        <is>
          <t xml:space="preserve">　→ 売約済</t>
        </is>
      </c>
    </row>
    <row r="40">
      <c r="A40" s="19" t="n"/>
    </row>
    <row r="41">
      <c r="A41" s="20" t="inlineStr">
        <is>
          <t>青</t>
        </is>
      </c>
    </row>
    <row r="42">
      <c r="A42" s="19" t="inlineStr">
        <is>
          <t xml:space="preserve">　→ 不明のまま保留</t>
        </is>
      </c>
    </row>
    <row r="45" ht="28.8" customHeight="1" s="107">
      <c r="A45" s="21" t="inlineStr">
        <is>
          <t>在庫有シート</t>
        </is>
      </c>
    </row>
    <row r="47">
      <c r="A47" s="1" t="inlineStr">
        <is>
          <t>初期状態：赤色（要確認）</t>
        </is>
      </c>
    </row>
    <row r="48">
      <c r="A48" s="1" t="inlineStr">
        <is>
          <t>仕入番号照合を行い、一致するものがあればベージュに変換される。ないものは引き続き赤色</t>
        </is>
      </c>
    </row>
    <row r="49">
      <c r="A49" s="19" t="n"/>
    </row>
    <row r="50">
      <c r="A50" s="20" t="inlineStr">
        <is>
          <t>ベージュ</t>
        </is>
      </c>
    </row>
    <row r="51">
      <c r="A51" s="19" t="inlineStr">
        <is>
          <t xml:space="preserve">　→ 在庫あり確定</t>
        </is>
      </c>
    </row>
    <row r="52">
      <c r="A52" s="19" t="n"/>
    </row>
    <row r="53">
      <c r="A53" s="20" t="inlineStr">
        <is>
          <t>黄色</t>
        </is>
      </c>
    </row>
    <row r="54">
      <c r="A54" s="19" t="inlineStr">
        <is>
          <t xml:space="preserve">　→ 売約済</t>
        </is>
      </c>
    </row>
    <row r="55">
      <c r="A55" s="19" t="n"/>
    </row>
    <row r="56">
      <c r="A56" s="20" t="inlineStr">
        <is>
          <t>赤</t>
        </is>
      </c>
    </row>
    <row r="57">
      <c r="A57" s="19" t="inlineStr">
        <is>
          <t xml:space="preserve">　→ 在庫有のまま保留</t>
        </is>
      </c>
    </row>
    <row r="60" ht="28.8" customHeight="1" s="107">
      <c r="A60" s="21" t="inlineStr">
        <is>
          <t>売約済シート</t>
        </is>
      </c>
    </row>
    <row r="61">
      <c r="A61" s="19" t="n"/>
    </row>
    <row r="62">
      <c r="A62" s="20" t="inlineStr">
        <is>
          <t>ベージュ</t>
        </is>
      </c>
    </row>
    <row r="63">
      <c r="A63" s="19" t="inlineStr">
        <is>
          <t xml:space="preserve">　→ 在庫あり確定へ戻す</t>
        </is>
      </c>
    </row>
    <row r="64">
      <c r="A64" s="19" t="n"/>
    </row>
    <row r="65">
      <c r="A65" s="20" t="inlineStr">
        <is>
          <t>黄色</t>
        </is>
      </c>
    </row>
    <row r="66">
      <c r="A66" s="19" t="inlineStr">
        <is>
          <t xml:space="preserve">　→ 売約済のまま</t>
        </is>
      </c>
    </row>
    <row r="70" ht="39" customHeight="1" s="107">
      <c r="A70" s="18" t="inlineStr">
        <is>
          <t>③ 在庫有確定シートへ集約</t>
        </is>
      </c>
    </row>
    <row r="72">
      <c r="A72" s="1" t="inlineStr">
        <is>
          <t>「確定書き出し」マクロを実行すると、以下が自動移動されます。</t>
        </is>
      </c>
    </row>
    <row r="74" ht="22.2" customHeight="1" s="107">
      <c r="A74" s="17" t="inlineStr">
        <is>
          <t>在庫有確定シートへ移動</t>
        </is>
      </c>
    </row>
    <row r="75">
      <c r="A75" s="19" t="n"/>
    </row>
    <row r="76">
      <c r="A76" s="19" t="inlineStr">
        <is>
          <t>不明シートのベージュ</t>
        </is>
      </c>
    </row>
    <row r="77">
      <c r="A77" s="19" t="inlineStr">
        <is>
          <t>在庫有シートのベージュ</t>
        </is>
      </c>
    </row>
    <row r="78">
      <c r="A78" s="19" t="inlineStr">
        <is>
          <t>売約済シートのベージュ</t>
        </is>
      </c>
    </row>
    <row r="80" ht="22.2" customHeight="1" s="107">
      <c r="A80" s="17" t="inlineStr">
        <is>
          <t>売約済シートへ移動</t>
        </is>
      </c>
    </row>
    <row r="81">
      <c r="A81" s="19" t="n"/>
    </row>
    <row r="82">
      <c r="A82" s="19" t="inlineStr">
        <is>
          <t>不明シートの黄色</t>
        </is>
      </c>
    </row>
    <row r="83">
      <c r="A83" s="19" t="inlineStr">
        <is>
          <t>在庫有シートの黄色</t>
        </is>
      </c>
    </row>
    <row r="87" ht="39" customHeight="1" s="107">
      <c r="A87" s="18" t="inlineStr">
        <is>
          <t>色の意味まとめ</t>
        </is>
      </c>
    </row>
    <row r="88">
      <c r="A88" s="19" t="n"/>
    </row>
    <row r="89">
      <c r="A89" s="20" t="inlineStr">
        <is>
          <t>ベージュ ：在庫あり確定候補</t>
        </is>
      </c>
    </row>
    <row r="90">
      <c r="A90" s="20" t="inlineStr">
        <is>
          <t>黄色 ：売約済候補</t>
        </is>
      </c>
    </row>
    <row r="91">
      <c r="A91" s="20" t="inlineStr">
        <is>
          <t>青 ：不明・確認待ち</t>
        </is>
      </c>
    </row>
    <row r="92">
      <c r="A92" s="20" t="inlineStr">
        <is>
          <t>赤 ：在庫有・確認待ち</t>
        </is>
      </c>
    </row>
    <row r="96" ht="39" customHeight="1" s="107">
      <c r="A96" s="18" t="inlineStr">
        <is>
          <t>基本操作ルール</t>
        </is>
      </c>
    </row>
    <row r="97">
      <c r="A97" s="19" t="n"/>
    </row>
    <row r="98">
      <c r="A98" s="19" t="inlineStr">
        <is>
          <t>操作対象は 10行目以降</t>
        </is>
      </c>
    </row>
    <row r="99">
      <c r="A99" s="20" t="inlineStr">
        <is>
          <t>1～9行目は見出しのため操作禁止</t>
        </is>
      </c>
    </row>
    <row r="100">
      <c r="A100" s="19" t="inlineStr">
        <is>
          <t>色変更は対象在庫を選択して実行</t>
        </is>
      </c>
    </row>
    <row r="101">
      <c r="A101" s="19" t="inlineStr">
        <is>
          <t>奇数行・偶数行どちらを選択しても、その在庫セット（2行1組）のA列に反映</t>
        </is>
      </c>
    </row>
    <row r="105" ht="39" customHeight="1" s="107">
      <c r="A105" s="18" t="inlineStr">
        <is>
          <t>推奨フロー</t>
        </is>
      </c>
    </row>
    <row r="107">
      <c r="A107" s="22" t="inlineStr">
        <is>
          <t>本体シートで色付け</t>
        </is>
      </c>
    </row>
    <row r="108">
      <c r="A108" s="1" t="inlineStr">
        <is>
          <t>→ 振り分け</t>
        </is>
      </c>
    </row>
    <row r="109">
      <c r="A109" s="1" t="inlineStr">
        <is>
          <t>→ 不明 / 在庫有 / 売約済 で確認・色修正</t>
        </is>
      </c>
    </row>
    <row r="110">
      <c r="A110" s="1" t="inlineStr">
        <is>
          <t>→ 確定書き出し</t>
        </is>
      </c>
    </row>
    <row r="111">
      <c r="A111" s="1" t="inlineStr">
        <is>
          <t>→ 在庫有確定シート完成</t>
        </is>
      </c>
    </row>
  </sheetData>
  <pageMargins left="0.7" right="0.7" top="0.75" bottom="0.75" header="0.3" footer="0.3"/>
</worksheet>
</file>

<file path=xl/worksheets/sheet2.xml><?xml version="1.0" encoding="utf-8"?>
<worksheet xmlns="http://schemas.openxmlformats.org/spreadsheetml/2006/main">
  <sheetPr codeName="残った仕入番号">
    <outlinePr summaryBelow="1" summaryRight="1"/>
    <pageSetUpPr/>
  </sheetPr>
  <dimension ref="A1:L16"/>
  <sheetViews>
    <sheetView workbookViewId="0">
      <pane ySplit="9" topLeftCell="A10" activePane="bottomLeft" state="frozen"/>
      <selection pane="bottomLeft" activeCell="F2" sqref="F2:H2"/>
    </sheetView>
  </sheetViews>
  <sheetFormatPr baseColWidth="8" defaultColWidth="8.59765625" defaultRowHeight="18"/>
  <cols>
    <col width="10.69921875" customWidth="1" style="12" min="1" max="1"/>
    <col width="13.69921875" customWidth="1" style="11" min="2" max="2"/>
    <col width="8.59765625" customWidth="1" style="11" min="3" max="16384"/>
  </cols>
  <sheetData>
    <row r="1">
      <c r="A1" s="2" t="n"/>
      <c r="B1" s="2" t="n"/>
      <c r="C1" s="2" t="n"/>
      <c r="D1" s="2" t="n"/>
      <c r="E1" s="2" t="n"/>
      <c r="F1" s="2" t="n"/>
      <c r="G1" s="2" t="n"/>
      <c r="H1" s="2" t="n"/>
      <c r="I1" s="2" t="n"/>
      <c r="J1" s="2" t="n"/>
      <c r="K1" s="2" t="n"/>
      <c r="L1" s="2" t="n"/>
    </row>
    <row r="2">
      <c r="A2" s="2" t="n"/>
      <c r="B2" s="13" t="n"/>
      <c r="C2" s="14" t="n"/>
      <c r="D2" s="15" t="n"/>
      <c r="E2" s="2" t="n"/>
      <c r="F2" s="53" t="n"/>
      <c r="I2" s="15" t="n"/>
      <c r="J2" s="2" t="n"/>
      <c r="K2" s="2" t="n"/>
      <c r="L2" s="2" t="n"/>
    </row>
    <row r="3">
      <c r="A3" s="2" t="n"/>
      <c r="B3" s="2" t="n"/>
      <c r="C3" s="2" t="n"/>
      <c r="D3" s="2" t="n"/>
      <c r="E3" s="2" t="n"/>
      <c r="F3" s="2" t="n"/>
      <c r="G3" s="2" t="n"/>
      <c r="H3" s="2" t="n"/>
      <c r="I3" s="2" t="n"/>
      <c r="J3" s="2" t="n"/>
      <c r="K3" s="2" t="n"/>
      <c r="L3" s="2" t="n"/>
    </row>
    <row r="4">
      <c r="A4" s="2" t="n"/>
      <c r="B4" s="2" t="n"/>
      <c r="C4" s="2" t="n"/>
      <c r="D4" s="2" t="n"/>
      <c r="E4" s="2" t="n"/>
      <c r="F4" s="2" t="n"/>
      <c r="G4" s="2" t="n"/>
      <c r="H4" s="2" t="n"/>
      <c r="I4" s="2" t="n"/>
      <c r="J4" s="2" t="n"/>
      <c r="K4" s="2" t="n"/>
      <c r="L4" s="2" t="n"/>
    </row>
    <row r="5">
      <c r="A5" s="2" t="n"/>
      <c r="B5" s="3" t="n"/>
      <c r="C5" s="2" t="n"/>
      <c r="D5" s="2" t="n"/>
      <c r="E5" s="2" t="n"/>
      <c r="F5" s="2" t="n"/>
      <c r="G5" s="2" t="n"/>
      <c r="H5" s="2" t="n"/>
      <c r="I5" s="2" t="n"/>
      <c r="J5" s="2" t="n"/>
      <c r="K5" s="2" t="n"/>
      <c r="L5" s="2" t="n"/>
    </row>
    <row r="6">
      <c r="A6" s="2" t="n"/>
      <c r="B6" s="2" t="n"/>
      <c r="C6" s="2" t="n"/>
      <c r="D6" s="2" t="n"/>
      <c r="E6" s="2" t="n"/>
      <c r="F6" s="2" t="n"/>
      <c r="G6" s="2" t="n"/>
      <c r="H6" s="2" t="n"/>
      <c r="I6" s="2" t="n"/>
      <c r="J6" s="2" t="n"/>
      <c r="K6" s="2" t="n"/>
      <c r="L6" s="2" t="n"/>
    </row>
    <row r="7">
      <c r="A7" s="2" t="n"/>
      <c r="B7" s="2" t="n"/>
      <c r="C7" s="2" t="n"/>
      <c r="D7" s="2" t="n"/>
      <c r="E7" s="2" t="n"/>
      <c r="F7" s="2" t="n"/>
      <c r="G7" s="2" t="n"/>
      <c r="H7" s="2" t="n"/>
      <c r="I7" s="2" t="n"/>
      <c r="J7" s="2" t="n"/>
      <c r="K7" s="2" t="n"/>
      <c r="L7" s="2" t="n"/>
    </row>
    <row r="8">
      <c r="A8" s="2" t="n"/>
      <c r="B8" s="2" t="n"/>
      <c r="C8" s="2" t="n"/>
      <c r="D8" s="2" t="n"/>
      <c r="E8" s="2" t="n"/>
      <c r="F8" s="2" t="n"/>
      <c r="G8" s="2" t="n"/>
      <c r="H8" s="2" t="n"/>
      <c r="I8" s="2" t="n"/>
      <c r="J8" s="2" t="n"/>
      <c r="K8" s="2" t="n"/>
      <c r="L8" s="2" t="n"/>
    </row>
    <row r="9">
      <c r="A9" s="2" t="n"/>
      <c r="B9" s="2" t="n"/>
      <c r="C9" s="2" t="n"/>
      <c r="D9" s="2" t="n"/>
      <c r="E9" s="2" t="n"/>
      <c r="F9" s="2" t="n"/>
      <c r="G9" s="2" t="n"/>
      <c r="H9" s="2" t="n"/>
      <c r="I9" s="2" t="n"/>
      <c r="J9" s="2" t="n"/>
      <c r="K9" s="2" t="n"/>
      <c r="L9" s="2" t="n"/>
    </row>
    <row r="10">
      <c r="A10" s="12" t="inlineStr">
        <is>
          <t>R27-001</t>
        </is>
      </c>
    </row>
    <row r="11">
      <c r="A11" s="12" t="inlineStr">
        <is>
          <t>R27-002</t>
        </is>
      </c>
    </row>
    <row r="12">
      <c r="A12" s="12" t="inlineStr">
        <is>
          <t>R27-003</t>
        </is>
      </c>
    </row>
    <row r="13">
      <c r="A13" s="12" t="inlineStr">
        <is>
          <t>R27-004</t>
        </is>
      </c>
    </row>
    <row r="14">
      <c r="A14" s="12" t="inlineStr">
        <is>
          <t>R27-005</t>
        </is>
      </c>
    </row>
    <row r="15">
      <c r="A15" s="12" t="inlineStr">
        <is>
          <t>R27-006</t>
        </is>
      </c>
    </row>
    <row r="16">
      <c r="A16" s="12" t="inlineStr">
        <is>
          <t>R27-007</t>
        </is>
      </c>
    </row>
  </sheetData>
  <mergeCells count="1">
    <mergeCell ref="F2:H2"/>
  </mergeCells>
  <pageMargins left="0.7" right="0.7" top="0.75" bottom="0.75" header="0.3" footer="0.3"/>
  <pageSetup orientation="portrait" paperSize="9" horizontalDpi="360" verticalDpi="360"/>
  <legacyDrawing xmlns:r="http://schemas.openxmlformats.org/officeDocument/2006/relationships" r:id="anysvml"/>
</worksheet>
</file>

<file path=xl/worksheets/sheet3.xml><?xml version="1.0" encoding="utf-8"?>
<worksheet xmlns="http://schemas.openxmlformats.org/spreadsheetml/2006/main">
  <sheetPr codeName="在庫管理表の本体">
    <outlinePr summaryBelow="1" summaryRight="1"/>
    <pageSetUpPr/>
  </sheetPr>
  <dimension ref="A1:AD111"/>
  <sheetViews>
    <sheetView tabSelected="1" zoomScale="80" zoomScaleNormal="80" workbookViewId="0">
      <pane xSplit="7" ySplit="9" topLeftCell="M10" activePane="bottomRight" state="frozen"/>
      <selection pane="topRight" activeCell="J1" sqref="J1"/>
      <selection pane="bottomLeft" activeCell="A10" sqref="A10"/>
      <selection pane="bottomRight" activeCell="C20" sqref="C20"/>
    </sheetView>
  </sheetViews>
  <sheetFormatPr baseColWidth="8" defaultRowHeight="18"/>
  <cols>
    <col width="10.77734375" bestFit="1" customWidth="1" style="107" min="1" max="1"/>
    <col width="18.77734375" bestFit="1" customWidth="1" style="107" min="2" max="2"/>
    <col width="13.77734375" bestFit="1" customWidth="1" style="107" min="3" max="3"/>
    <col width="10.77734375" bestFit="1" customWidth="1" style="107" min="4" max="4"/>
    <col width="4.21875" bestFit="1" customWidth="1" style="107" min="5" max="5"/>
    <col width="38.77734375" bestFit="1" customWidth="1" style="107" min="6" max="6"/>
    <col width="10.77734375" bestFit="1" customWidth="1" style="107" min="7" max="7"/>
    <col width="6.77734375" bestFit="1" customWidth="1" style="107" min="8" max="8"/>
    <col width="16.77734375" bestFit="1" customWidth="1" style="107" min="9" max="9"/>
    <col width="9.69921875" bestFit="1" customWidth="1" style="107" min="10" max="10"/>
    <col width="8.59765625" bestFit="1" customWidth="1" style="107" min="11" max="11"/>
    <col width="9.296875" bestFit="1" customWidth="1" style="107" min="12" max="12"/>
    <col width="8.59765625" bestFit="1" customWidth="1" style="107" min="13" max="13"/>
    <col width="11.5" bestFit="1" customWidth="1" style="107" min="14" max="14"/>
    <col width="16.77734375" bestFit="1" customWidth="1" style="107" min="15" max="15"/>
    <col width="35.77734375" bestFit="1" customWidth="1" style="107" min="16" max="16"/>
    <col width="6.77734375" bestFit="1" customWidth="1" style="107" min="17" max="17"/>
    <col width="6.77734375" bestFit="1" customWidth="1" style="107" min="18" max="18"/>
    <col width="65.77734375" bestFit="1" customWidth="1" style="107" min="19" max="19"/>
    <col width="10.44140625" customWidth="1" style="107" min="20" max="20"/>
    <col width="25.77734375" bestFit="1" customWidth="1" style="107" min="21" max="21"/>
    <col width="18.77734375" bestFit="1" customWidth="1" style="107" min="22" max="22"/>
    <col width="18.77734375" bestFit="1" customWidth="1" style="107" min="23" max="24"/>
    <col width="13.77734375" customWidth="1" style="107" min="24" max="24"/>
    <col width="16.77734375" bestFit="1" customWidth="1" style="107" min="25" max="25"/>
    <col width="8.59765625" bestFit="1" customWidth="1" style="107" min="26" max="26"/>
    <col width="9.296875" bestFit="1" customWidth="1" style="107" min="27" max="27"/>
    <col width="7.5" bestFit="1" customWidth="1" style="107" min="28" max="28"/>
    <col width="11.21875" bestFit="1" customWidth="1" style="107" min="29" max="29"/>
    <col width="8.5" customWidth="1" style="107" min="30" max="30"/>
  </cols>
  <sheetData>
    <row r="1">
      <c r="A1" s="2" t="n"/>
      <c r="B1" s="2" t="n"/>
      <c r="C1" s="2" t="n"/>
      <c r="D1" s="2" t="n"/>
      <c r="E1" s="2" t="n"/>
      <c r="F1" s="2" t="n"/>
      <c r="G1" s="2" t="n"/>
      <c r="H1" s="2" t="n"/>
      <c r="I1" s="2" t="n"/>
      <c r="J1" s="2" t="n"/>
      <c r="K1" s="2" t="n"/>
      <c r="L1" s="2" t="n"/>
      <c r="M1" s="2" t="n"/>
      <c r="N1" s="2" t="n"/>
      <c r="O1" s="2" t="n"/>
      <c r="P1" s="2" t="n"/>
      <c r="Q1" s="2" t="n"/>
      <c r="R1" s="2" t="n"/>
      <c r="S1" s="2" t="n"/>
      <c r="T1" s="2" t="n"/>
      <c r="U1" s="2" t="n"/>
      <c r="V1" s="2" t="n"/>
      <c r="W1" s="2" t="n"/>
      <c r="X1" s="2" t="n"/>
      <c r="Y1" s="2" t="n"/>
      <c r="Z1" s="2" t="n"/>
      <c r="AA1" s="2" t="n"/>
      <c r="AB1" s="2" t="n"/>
      <c r="AC1" s="2" t="n"/>
      <c r="AD1" s="2" t="n"/>
    </row>
    <row r="2">
      <c r="A2" s="2" t="n"/>
      <c r="B2" s="3" t="n"/>
      <c r="C2" s="3" t="n"/>
      <c r="D2" s="2" t="n"/>
      <c r="E2" s="2" t="n"/>
      <c r="F2" s="2" t="n"/>
      <c r="G2" s="2" t="n"/>
      <c r="H2" s="2" t="n"/>
      <c r="I2" s="2" t="n"/>
      <c r="J2" s="2" t="n"/>
      <c r="K2" s="2" t="n"/>
      <c r="L2" s="2" t="n"/>
      <c r="M2" s="2" t="n"/>
      <c r="N2" s="2" t="n"/>
      <c r="O2" s="2" t="n"/>
      <c r="P2" s="2" t="n"/>
      <c r="Q2" s="2" t="n"/>
      <c r="R2" s="2" t="n"/>
      <c r="S2" s="2" t="n"/>
      <c r="T2" s="2" t="n"/>
      <c r="U2" s="2" t="n"/>
      <c r="V2" s="2" t="n"/>
      <c r="W2" s="2" t="n"/>
      <c r="X2" s="2" t="n"/>
      <c r="Y2" s="2" t="n"/>
      <c r="Z2" s="2" t="n"/>
      <c r="AA2" s="2" t="n"/>
      <c r="AB2" s="2" t="n"/>
      <c r="AC2" s="2" t="n"/>
      <c r="AD2" s="2" t="n"/>
    </row>
    <row r="3">
      <c r="A3" s="2" t="n"/>
      <c r="B3" s="2" t="n"/>
      <c r="C3" s="2" t="n"/>
      <c r="D3" s="2" t="n"/>
      <c r="E3" s="2" t="n"/>
      <c r="F3" s="2" t="n"/>
      <c r="G3" s="2" t="n"/>
      <c r="H3" s="2" t="n"/>
      <c r="I3" s="2" t="n"/>
      <c r="J3" s="2" t="n"/>
      <c r="K3" s="2" t="n"/>
      <c r="L3" s="2" t="n"/>
      <c r="M3" s="2" t="n"/>
      <c r="N3" s="2" t="n"/>
      <c r="O3" s="2" t="n"/>
      <c r="P3" s="2" t="n"/>
      <c r="Q3" s="2" t="n"/>
      <c r="R3" s="2" t="n"/>
      <c r="S3" s="2" t="n"/>
      <c r="T3" s="2" t="n"/>
      <c r="U3" s="2" t="n"/>
      <c r="V3" s="2" t="n"/>
      <c r="W3" s="2" t="n"/>
      <c r="X3" s="2" t="n"/>
      <c r="Y3" s="2" t="n"/>
      <c r="Z3" s="2" t="n"/>
      <c r="AA3" s="2" t="n"/>
      <c r="AB3" s="2" t="n"/>
      <c r="AC3" s="2" t="n"/>
      <c r="AD3" s="2" t="n"/>
    </row>
    <row r="4">
      <c r="A4" s="2" t="n"/>
      <c r="B4" s="2" t="n"/>
      <c r="C4" s="2" t="n"/>
      <c r="D4" s="2" t="n"/>
      <c r="E4" s="2" t="n"/>
      <c r="F4" s="2" t="n"/>
      <c r="G4" s="2" t="n"/>
      <c r="H4" s="2" t="n"/>
      <c r="I4" s="2" t="n"/>
      <c r="J4" s="2" t="n"/>
      <c r="K4" s="2" t="n"/>
      <c r="L4" s="2" t="n"/>
      <c r="M4" s="2" t="n"/>
      <c r="N4" s="2" t="n"/>
      <c r="O4" s="2" t="n"/>
      <c r="P4" s="2" t="n"/>
      <c r="Q4" s="2" t="n"/>
      <c r="R4" s="2" t="n"/>
      <c r="S4" s="2" t="n"/>
      <c r="T4" s="2" t="n"/>
      <c r="U4" s="2" t="n"/>
      <c r="V4" s="2" t="n"/>
      <c r="W4" s="2" t="n"/>
      <c r="X4" s="2" t="n"/>
      <c r="Y4" s="2" t="n"/>
      <c r="Z4" s="2" t="n"/>
      <c r="AA4" s="2" t="n"/>
      <c r="AB4" s="2" t="n"/>
      <c r="AC4" s="2" t="n"/>
      <c r="AD4" s="2" t="n"/>
    </row>
    <row r="5">
      <c r="A5" s="2" t="n"/>
      <c r="B5" s="3" t="n"/>
      <c r="C5" s="2" t="n"/>
      <c r="D5" s="2" t="n"/>
      <c r="E5" s="2" t="n"/>
      <c r="F5" s="2" t="n"/>
      <c r="G5" s="2" t="n"/>
      <c r="H5" s="2" t="n"/>
      <c r="I5" s="2" t="n"/>
      <c r="J5" s="2" t="n"/>
      <c r="K5" s="2" t="n"/>
      <c r="L5" s="2" t="n"/>
      <c r="M5" s="2" t="n"/>
      <c r="N5" s="2" t="n"/>
      <c r="O5" s="2" t="n"/>
      <c r="P5" s="2" t="n"/>
      <c r="Q5" s="2" t="n"/>
      <c r="R5" s="2" t="n"/>
      <c r="S5" s="2" t="n"/>
      <c r="T5" s="2" t="n"/>
      <c r="U5" s="2" t="n"/>
      <c r="V5" s="2" t="n"/>
      <c r="W5" s="2" t="n"/>
      <c r="X5" s="2" t="n"/>
      <c r="Y5" s="2" t="n"/>
      <c r="Z5" s="2" t="n"/>
      <c r="AA5" s="2" t="n"/>
      <c r="AB5" s="2" t="n"/>
      <c r="AC5" s="2" t="n"/>
      <c r="AD5" s="2" t="n"/>
    </row>
    <row r="6">
      <c r="A6" s="2" t="n"/>
      <c r="B6" s="2" t="n"/>
      <c r="C6" s="2" t="n"/>
      <c r="D6" s="2" t="n"/>
      <c r="E6" s="2" t="n"/>
      <c r="F6" s="2" t="n"/>
      <c r="G6" s="2" t="n"/>
      <c r="H6" s="2" t="n"/>
      <c r="I6" s="2" t="n"/>
      <c r="J6" s="2" t="n"/>
      <c r="K6" s="2" t="n"/>
      <c r="L6" s="2" t="n"/>
      <c r="M6" s="2" t="n"/>
      <c r="N6" s="2" t="n"/>
      <c r="O6" s="2" t="n"/>
      <c r="P6" s="2" t="n"/>
      <c r="Q6" s="2" t="n"/>
      <c r="R6" s="2" t="n"/>
      <c r="S6" s="2" t="n"/>
      <c r="T6" s="2" t="n"/>
      <c r="U6" s="2" t="n"/>
      <c r="V6" s="2" t="n"/>
      <c r="W6" s="2" t="n"/>
      <c r="X6" s="2" t="n"/>
      <c r="Y6" s="2" t="n"/>
      <c r="Z6" s="2" t="n"/>
      <c r="AA6" s="2" t="n"/>
      <c r="AB6" s="2" t="n"/>
      <c r="AC6" s="2" t="n"/>
      <c r="AD6" s="2" t="n"/>
    </row>
    <row r="7">
      <c r="A7" s="2" t="n"/>
      <c r="B7" s="2" t="n"/>
      <c r="C7" s="2" t="n"/>
      <c r="D7" s="2" t="n"/>
      <c r="E7" s="2" t="n"/>
      <c r="F7" s="2" t="n"/>
      <c r="G7" s="2" t="n"/>
      <c r="H7" s="2" t="n"/>
      <c r="I7" s="2" t="n"/>
      <c r="J7" s="2" t="n"/>
      <c r="K7" s="2" t="n"/>
      <c r="L7" s="2" t="n"/>
      <c r="M7" s="2" t="n"/>
      <c r="N7" s="2" t="n"/>
      <c r="O7" s="2" t="n"/>
      <c r="P7" s="2" t="n"/>
      <c r="Q7" s="2" t="n"/>
      <c r="R7" s="2" t="n"/>
      <c r="S7" s="2" t="n"/>
      <c r="T7" s="2" t="n"/>
      <c r="U7" s="2" t="n"/>
      <c r="V7" s="2" t="n"/>
      <c r="W7" s="2" t="n"/>
      <c r="X7" s="2" t="n"/>
      <c r="Y7" s="2" t="n"/>
      <c r="Z7" s="2" t="n"/>
      <c r="AA7" s="2" t="n"/>
      <c r="AB7" s="2" t="n"/>
      <c r="AC7" s="2" t="n"/>
      <c r="AD7" s="2" t="n"/>
    </row>
    <row r="8" ht="18.6" customHeight="1" s="107" thickBot="1"/>
    <row r="9" ht="18.6" customHeight="1" s="107" thickBot="1">
      <c r="A9" s="52" t="inlineStr">
        <is>
          <t>仕入番号</t>
        </is>
      </c>
      <c r="B9" s="5" t="inlineStr">
        <is>
          <t>仕入れ日/仕入れ先</t>
        </is>
      </c>
      <c r="C9" s="65" t="inlineStr">
        <is>
          <t>回次/出品番号</t>
        </is>
      </c>
      <c r="D9" s="5" t="inlineStr">
        <is>
          <t>年式/色</t>
        </is>
      </c>
      <c r="E9" s="5" t="inlineStr">
        <is>
          <t>車体番号</t>
        </is>
      </c>
      <c r="F9" s="108" t="n"/>
      <c r="G9" s="52" t="inlineStr">
        <is>
          <t>車検/距離</t>
        </is>
      </c>
      <c r="H9" s="5" t="inlineStr">
        <is>
          <t>評価点</t>
        </is>
      </c>
      <c r="I9" s="52" t="inlineStr">
        <is>
          <t>車輌代</t>
        </is>
      </c>
      <c r="J9" s="52" t="inlineStr">
        <is>
          <t>消費税</t>
        </is>
      </c>
      <c r="K9" s="52" t="inlineStr">
        <is>
          <t>自税</t>
        </is>
      </c>
      <c r="L9" s="52" t="inlineStr">
        <is>
          <t>リサイクル</t>
        </is>
      </c>
      <c r="M9" s="52" t="inlineStr">
        <is>
          <t>落札料</t>
        </is>
      </c>
      <c r="N9" s="52" t="inlineStr">
        <is>
          <t>合計</t>
        </is>
      </c>
      <c r="O9" s="109" t="inlineStr">
        <is>
          <t>評価損</t>
        </is>
      </c>
      <c r="P9" s="52" t="inlineStr">
        <is>
          <t>車輌番号/所有者</t>
        </is>
      </c>
      <c r="Q9" s="66" t="n"/>
      <c r="R9" s="67" t="n"/>
      <c r="S9" s="68" t="inlineStr">
        <is>
          <t>付属品</t>
        </is>
      </c>
      <c r="T9" s="36" t="inlineStr">
        <is>
          <t>キャンセル</t>
        </is>
      </c>
      <c r="U9" s="52" t="inlineStr">
        <is>
          <t>補足</t>
        </is>
      </c>
      <c r="V9" s="8" t="inlineStr">
        <is>
          <t>名義変更</t>
        </is>
      </c>
      <c r="W9" s="37" t="inlineStr">
        <is>
          <t>売上日/売上先</t>
        </is>
      </c>
      <c r="X9" s="52" t="inlineStr">
        <is>
          <t>回次/出品番号</t>
        </is>
      </c>
      <c r="Y9" s="52" t="inlineStr">
        <is>
          <t>車輌代</t>
        </is>
      </c>
      <c r="Z9" s="52" t="inlineStr">
        <is>
          <t>消費税</t>
        </is>
      </c>
      <c r="AA9" s="52" t="inlineStr">
        <is>
          <t>リサイクル</t>
        </is>
      </c>
      <c r="AB9" s="52" t="inlineStr">
        <is>
          <t>合計</t>
        </is>
      </c>
      <c r="AC9" s="5" t="inlineStr">
        <is>
          <t>入金日</t>
        </is>
      </c>
      <c r="AD9" s="5" t="inlineStr">
        <is>
          <t>前期のNo.</t>
        </is>
      </c>
    </row>
    <row r="10" ht="17.1" customHeight="1" s="107" thickTop="1">
      <c r="A10" s="110" t="inlineStr">
        <is>
          <t>27-5200</t>
        </is>
      </c>
      <c r="B10" s="26" t="n">
        <v>46195</v>
      </c>
      <c r="C10" s="111" t="n"/>
      <c r="D10" s="49" t="inlineStr">
        <is>
          <t>1/9</t>
        </is>
      </c>
      <c r="E10" s="112" t="n"/>
      <c r="F10" s="43" t="inlineStr">
        <is>
          <t>ﾑｰﾌﾞｷｬﾝﾊﾞｽX ﾌﾞﾗｯｸｲﾝﾃﾘｱﾘﾐﾃｯﾄﾞ</t>
        </is>
      </c>
      <c r="G10" s="34" t="inlineStr">
        <is>
          <t>8/9</t>
        </is>
      </c>
      <c r="H10" s="113" t="n">
        <v>4</v>
      </c>
      <c r="I10" s="114" t="n">
        <v>769000</v>
      </c>
      <c r="J10" s="114">
        <f>I10*0.1</f>
        <v/>
      </c>
      <c r="K10" s="114" t="n">
        <v>0</v>
      </c>
      <c r="L10" s="114" t="n">
        <v>8790</v>
      </c>
      <c r="M10" s="114" t="n">
        <v>0</v>
      </c>
      <c r="N10" s="114">
        <f>SUM(I10:M11)</f>
        <v/>
      </c>
      <c r="O10" s="115" t="n"/>
      <c r="P10" s="50" t="n"/>
      <c r="Q10" s="27" t="inlineStr">
        <is>
          <t>予定</t>
        </is>
      </c>
      <c r="R10" s="47" t="n"/>
      <c r="S10" s="71" t="inlineStr">
        <is>
          <t>整備手帳 取説 ﾜﾝｵｰﾅｰ</t>
        </is>
      </c>
      <c r="T10" s="40" t="n"/>
      <c r="U10" s="41" t="n"/>
      <c r="V10" s="116" t="n"/>
      <c r="W10" s="45" t="n"/>
      <c r="X10" s="117" t="n"/>
      <c r="Y10" s="114" t="n"/>
      <c r="Z10" s="114">
        <f>Y10*0.1</f>
        <v/>
      </c>
      <c r="AA10" s="114" t="n"/>
      <c r="AB10" s="114">
        <f>SUM(Y10:AA10)</f>
        <v/>
      </c>
      <c r="AC10" s="118" t="n"/>
    </row>
    <row r="11" ht="17.1" customHeight="1" s="107" thickBot="1">
      <c r="A11" s="119" t="n"/>
      <c r="B11" s="29" t="inlineStr">
        <is>
          <t>Sellca</t>
        </is>
      </c>
      <c r="C11" s="29" t="inlineStr">
        <is>
          <t>A411439</t>
        </is>
      </c>
      <c r="D11" s="73" t="inlineStr">
        <is>
          <t>ｴﾝｼﾞ</t>
        </is>
      </c>
      <c r="E11" s="120" t="n"/>
      <c r="F11" s="38" t="inlineStr">
        <is>
          <t>LA800S-0199061</t>
        </is>
      </c>
      <c r="G11" s="121" t="n">
        <v>47933</v>
      </c>
      <c r="H11" s="122" t="n"/>
      <c r="I11" s="123" t="n"/>
      <c r="J11" s="123" t="n"/>
      <c r="K11" s="123" t="n"/>
      <c r="L11" s="123" t="n"/>
      <c r="M11" s="123" t="n"/>
      <c r="N11" s="123" t="n"/>
      <c r="O11" s="124" t="n"/>
      <c r="P11" s="51" t="n"/>
      <c r="Q11" s="30" t="inlineStr">
        <is>
          <t>着</t>
        </is>
      </c>
      <c r="R11" s="31" t="n"/>
      <c r="S11" s="48" t="n"/>
      <c r="T11" s="69" t="n"/>
      <c r="U11" s="39" t="n"/>
      <c r="V11" s="125" t="n"/>
      <c r="W11" s="44" t="n"/>
      <c r="X11" s="39" t="n"/>
      <c r="Y11" s="123" t="n"/>
      <c r="Z11" s="123" t="n"/>
      <c r="AA11" s="123" t="n"/>
      <c r="AB11" s="123" t="n"/>
      <c r="AC11" s="126" t="n"/>
    </row>
    <row r="12" ht="17.1" customHeight="1" s="107" thickTop="1">
      <c r="A12" s="110" t="inlineStr">
        <is>
          <t>27-5201</t>
        </is>
      </c>
      <c r="B12" s="26" t="n">
        <v>46195</v>
      </c>
      <c r="C12" s="111" t="n"/>
      <c r="D12" s="49" t="inlineStr">
        <is>
          <t>4/5</t>
        </is>
      </c>
      <c r="E12" s="112" t="n"/>
      <c r="F12" s="43" t="inlineStr">
        <is>
          <t>ｴﾌﾞﾘｲﾜｺﾞﾝ PZﾀｰﾎﾞｽﾍﾟｼｬﾙ</t>
        </is>
      </c>
      <c r="G12" s="34" t="inlineStr">
        <is>
          <t>9/5</t>
        </is>
      </c>
      <c r="H12" s="113" t="n">
        <v>4.5</v>
      </c>
      <c r="I12" s="114" t="n">
        <v>1290000</v>
      </c>
      <c r="J12" s="114">
        <f>I12*0.1</f>
        <v/>
      </c>
      <c r="K12" s="114" t="n">
        <v>0</v>
      </c>
      <c r="L12" s="114" t="n">
        <v>6850</v>
      </c>
      <c r="M12" s="114" t="n">
        <v>0</v>
      </c>
      <c r="N12" s="114">
        <f>SUM(I12:M13)</f>
        <v/>
      </c>
      <c r="O12" s="115" t="n"/>
      <c r="P12" s="50" t="n"/>
      <c r="Q12" s="27" t="inlineStr">
        <is>
          <t>予定</t>
        </is>
      </c>
      <c r="R12" s="47" t="n"/>
      <c r="S12" s="71" t="inlineStr">
        <is>
          <t>取説</t>
        </is>
      </c>
      <c r="T12" s="40" t="n"/>
      <c r="U12" s="41" t="n"/>
      <c r="V12" s="116" t="n"/>
      <c r="W12" s="45" t="n"/>
      <c r="X12" s="117" t="n"/>
      <c r="Y12" s="114" t="n"/>
      <c r="Z12" s="114">
        <f>Y12*0.1</f>
        <v/>
      </c>
      <c r="AA12" s="114" t="n"/>
      <c r="AB12" s="114">
        <f>SUM(Y12:AA12)</f>
        <v/>
      </c>
      <c r="AC12" s="118" t="n"/>
    </row>
    <row r="13" ht="17.1" customHeight="1" s="107" thickBot="1">
      <c r="A13" s="119" t="n"/>
      <c r="B13" s="29" t="inlineStr">
        <is>
          <t>Sellca</t>
        </is>
      </c>
      <c r="C13" s="29" t="inlineStr">
        <is>
          <t>A412468</t>
        </is>
      </c>
      <c r="D13" s="73" t="inlineStr">
        <is>
          <t>白</t>
        </is>
      </c>
      <c r="E13" s="120" t="n"/>
      <c r="F13" s="38" t="inlineStr">
        <is>
          <t>DA17W-301510</t>
        </is>
      </c>
      <c r="G13" s="121" t="n">
        <v>47861</v>
      </c>
      <c r="H13" s="122" t="n"/>
      <c r="I13" s="123" t="n"/>
      <c r="J13" s="123" t="n"/>
      <c r="K13" s="123" t="n"/>
      <c r="L13" s="123" t="n"/>
      <c r="M13" s="123" t="n"/>
      <c r="N13" s="123" t="n"/>
      <c r="O13" s="124" t="n"/>
      <c r="P13" s="51" t="n"/>
      <c r="Q13" s="30" t="inlineStr">
        <is>
          <t>着</t>
        </is>
      </c>
      <c r="R13" s="31" t="n"/>
      <c r="S13" s="48" t="n"/>
      <c r="T13" s="69" t="n"/>
      <c r="U13" s="39" t="n"/>
      <c r="V13" s="125" t="n"/>
      <c r="W13" s="44" t="n"/>
      <c r="X13" s="39" t="n"/>
      <c r="Y13" s="123" t="n"/>
      <c r="Z13" s="123" t="n"/>
      <c r="AA13" s="123" t="n"/>
      <c r="AB13" s="123" t="n"/>
      <c r="AC13" s="126" t="n"/>
    </row>
    <row r="14" ht="17.1" customHeight="1" s="107" thickTop="1">
      <c r="A14" s="110" t="inlineStr">
        <is>
          <t>27-5202</t>
        </is>
      </c>
      <c r="B14" s="26" t="n">
        <v>46195</v>
      </c>
      <c r="C14" s="111" t="n"/>
      <c r="D14" s="49" t="inlineStr">
        <is>
          <t>2/11</t>
        </is>
      </c>
      <c r="E14" s="112" t="n"/>
      <c r="F14" s="43" t="inlineStr">
        <is>
          <t>ﾌﾟﾘｳｽ PHV Sｾｰﾌﾃｨｰﾊﾟｯｹｰｼﾞ</t>
        </is>
      </c>
      <c r="G14" s="34" t="inlineStr">
        <is>
          <t>10/1</t>
        </is>
      </c>
      <c r="H14" s="113" t="n">
        <v>4</v>
      </c>
      <c r="I14" s="114" t="n">
        <v>1790000</v>
      </c>
      <c r="J14" s="114">
        <f>I14*0.1</f>
        <v/>
      </c>
      <c r="K14" s="114" t="n">
        <v>23999.8</v>
      </c>
      <c r="L14" s="114" t="n">
        <v>11190</v>
      </c>
      <c r="M14" s="114" t="n">
        <v>0</v>
      </c>
      <c r="N14" s="114">
        <f>SUM(I14:M15)</f>
        <v/>
      </c>
      <c r="O14" s="115" t="n"/>
      <c r="P14" s="50" t="n"/>
      <c r="Q14" s="27" t="inlineStr">
        <is>
          <t>予定</t>
        </is>
      </c>
      <c r="R14" s="47" t="n"/>
      <c r="S14" s="71" t="inlineStr">
        <is>
          <t>整備手帳 取説</t>
        </is>
      </c>
      <c r="T14" s="40" t="n"/>
      <c r="U14" s="41" t="n"/>
      <c r="V14" s="116" t="n"/>
      <c r="W14" s="45" t="n"/>
      <c r="X14" s="117" t="n"/>
      <c r="Y14" s="114" t="n"/>
      <c r="Z14" s="114">
        <f>Y14*0.1</f>
        <v/>
      </c>
      <c r="AA14" s="114" t="n"/>
      <c r="AB14" s="114">
        <f>SUM(Y14:AA14)</f>
        <v/>
      </c>
      <c r="AC14" s="118" t="n"/>
    </row>
    <row r="15" ht="17.1" customHeight="1" s="107" thickBot="1">
      <c r="A15" s="119" t="n"/>
      <c r="B15" s="29" t="inlineStr">
        <is>
          <t>Sellca</t>
        </is>
      </c>
      <c r="C15" s="29" t="inlineStr">
        <is>
          <t>A410884</t>
        </is>
      </c>
      <c r="D15" s="73" t="inlineStr">
        <is>
          <t>白</t>
        </is>
      </c>
      <c r="E15" s="120" t="n"/>
      <c r="F15" s="38" t="inlineStr">
        <is>
          <t>ZVW52-3175086</t>
        </is>
      </c>
      <c r="G15" s="121" t="n">
        <v>65720</v>
      </c>
      <c r="H15" s="122" t="n"/>
      <c r="I15" s="123" t="n"/>
      <c r="J15" s="123" t="n"/>
      <c r="K15" s="123" t="n"/>
      <c r="L15" s="123" t="n"/>
      <c r="M15" s="123" t="n"/>
      <c r="N15" s="123" t="n"/>
      <c r="O15" s="124" t="n"/>
      <c r="P15" s="51" t="n"/>
      <c r="Q15" s="30" t="inlineStr">
        <is>
          <t>着</t>
        </is>
      </c>
      <c r="R15" s="31" t="n"/>
      <c r="S15" s="48" t="n"/>
      <c r="T15" s="69" t="n"/>
      <c r="U15" s="39" t="n"/>
      <c r="V15" s="125" t="n"/>
      <c r="W15" s="44" t="n"/>
      <c r="X15" s="39" t="n"/>
      <c r="Y15" s="123" t="n"/>
      <c r="Z15" s="123" t="n"/>
      <c r="AA15" s="123" t="n"/>
      <c r="AB15" s="123" t="n"/>
      <c r="AC15" s="126" t="n"/>
    </row>
    <row r="16" ht="17.1" customHeight="1" s="107" thickTop="1">
      <c r="A16" s="110" t="inlineStr">
        <is>
          <t>27-5203</t>
        </is>
      </c>
      <c r="B16" s="26" t="n">
        <v>46195</v>
      </c>
      <c r="C16" s="111" t="n"/>
      <c r="D16" s="49" t="inlineStr">
        <is>
          <t>6/7</t>
        </is>
      </c>
      <c r="E16" s="112" t="n"/>
      <c r="F16" s="43" t="inlineStr">
        <is>
          <t>ｸﾗｳﾝｽﾎﾟｰﾂ Z</t>
        </is>
      </c>
      <c r="G16" s="34" t="inlineStr">
        <is>
          <t>9/7</t>
        </is>
      </c>
      <c r="H16" s="113" t="n">
        <v>4.5</v>
      </c>
      <c r="I16" s="114" t="n">
        <v>4610000</v>
      </c>
      <c r="J16" s="114">
        <f>I16*0.1</f>
        <v/>
      </c>
      <c r="K16" s="114" t="n">
        <v>29000.4</v>
      </c>
      <c r="L16" s="114" t="n">
        <v>15470</v>
      </c>
      <c r="M16" s="114" t="n">
        <v>0</v>
      </c>
      <c r="N16" s="114">
        <f>SUM(I16:M17)</f>
        <v/>
      </c>
      <c r="O16" s="115" t="n"/>
      <c r="P16" s="50" t="n"/>
      <c r="Q16" s="27" t="inlineStr">
        <is>
          <t>予定</t>
        </is>
      </c>
      <c r="R16" s="47" t="n"/>
      <c r="S16" s="71" t="inlineStr">
        <is>
          <t>整備手帳 取説 ｽﾍﾟｱｷｰ ﾜﾝｵｰﾅｰ</t>
        </is>
      </c>
      <c r="T16" s="40" t="n"/>
      <c r="U16" s="41" t="n"/>
      <c r="V16" s="116" t="n"/>
      <c r="W16" s="45" t="n"/>
      <c r="X16" s="117" t="n"/>
      <c r="Y16" s="114" t="n"/>
      <c r="Z16" s="114">
        <f>Y16*0.1</f>
        <v/>
      </c>
      <c r="AA16" s="114" t="n"/>
      <c r="AB16" s="114">
        <f>SUM(Y16:AA16)</f>
        <v/>
      </c>
      <c r="AC16" s="118" t="n"/>
    </row>
    <row r="17" ht="17.1" customHeight="1" s="107" thickBot="1">
      <c r="A17" s="119" t="n"/>
      <c r="B17" s="29" t="inlineStr">
        <is>
          <t>Sellca</t>
        </is>
      </c>
      <c r="C17" s="29" t="inlineStr">
        <is>
          <t>A413217</t>
        </is>
      </c>
      <c r="D17" s="73" t="inlineStr">
        <is>
          <t>ﾊﾟｰﾙ</t>
        </is>
      </c>
      <c r="E17" s="120" t="n"/>
      <c r="F17" s="38" t="inlineStr">
        <is>
          <t>AZSH36-4019654</t>
        </is>
      </c>
      <c r="G17" s="121" t="n">
        <v>17381</v>
      </c>
      <c r="H17" s="122" t="n"/>
      <c r="I17" s="123" t="n"/>
      <c r="J17" s="123" t="n"/>
      <c r="K17" s="123" t="n"/>
      <c r="L17" s="123" t="n"/>
      <c r="M17" s="123" t="n"/>
      <c r="N17" s="123" t="n"/>
      <c r="O17" s="124" t="n"/>
      <c r="P17" s="51" t="n"/>
      <c r="Q17" s="30" t="inlineStr">
        <is>
          <t>着</t>
        </is>
      </c>
      <c r="R17" s="31" t="n"/>
      <c r="S17" s="48" t="n"/>
      <c r="T17" s="69" t="n"/>
      <c r="U17" s="39" t="n"/>
      <c r="V17" s="125" t="n"/>
      <c r="W17" s="44" t="n"/>
      <c r="X17" s="39" t="n"/>
      <c r="Y17" s="123" t="n"/>
      <c r="Z17" s="123" t="n"/>
      <c r="AA17" s="123" t="n"/>
      <c r="AB17" s="123" t="n"/>
      <c r="AC17" s="126" t="n"/>
    </row>
    <row r="18" ht="17.1" customHeight="1" s="107" thickTop="1">
      <c r="A18" s="110" t="inlineStr">
        <is>
          <t>27-5204</t>
        </is>
      </c>
      <c r="B18" s="26" t="n">
        <v>46196</v>
      </c>
      <c r="C18" s="111" t="n">
        <v>1946</v>
      </c>
      <c r="D18" s="49" t="inlineStr">
        <is>
          <t>3/5</t>
        </is>
      </c>
      <c r="E18" s="112" t="n"/>
      <c r="F18" s="43" t="inlineStr">
        <is>
          <t>ﾜｺﾞﾝR　ﾊｲﾌﾞﾘｯﾄﾞFX</t>
        </is>
      </c>
      <c r="G18" s="34" t="n"/>
      <c r="H18" s="113" t="n">
        <v>4.5</v>
      </c>
      <c r="I18" s="114" t="n">
        <v>508000</v>
      </c>
      <c r="J18" s="114">
        <f>I18*0.1</f>
        <v/>
      </c>
      <c r="K18" s="114" t="n">
        <v>0</v>
      </c>
      <c r="L18" s="114" t="n">
        <v>6470</v>
      </c>
      <c r="M18" s="114" t="n">
        <v>15950</v>
      </c>
      <c r="N18" s="114">
        <f>SUM(I18:M19)</f>
        <v/>
      </c>
      <c r="O18" s="115" t="n"/>
      <c r="P18" s="50" t="inlineStr">
        <is>
          <t>鳥取 580 め 3038</t>
        </is>
      </c>
      <c r="Q18" s="27" t="inlineStr">
        <is>
          <t>予定</t>
        </is>
      </c>
      <c r="R18" s="47" t="n"/>
      <c r="S18" s="71" t="n"/>
      <c r="T18" s="40" t="n"/>
      <c r="U18" s="41" t="n"/>
      <c r="V18" s="116" t="n"/>
      <c r="W18" s="45" t="n">
        <v>46200</v>
      </c>
      <c r="X18" s="117" t="n">
        <v>1306</v>
      </c>
      <c r="Y18" s="114" t="n">
        <v>555000</v>
      </c>
      <c r="Z18" s="114">
        <f>Y18*0.1</f>
        <v/>
      </c>
      <c r="AA18" s="114" t="n">
        <v>6470</v>
      </c>
      <c r="AB18" s="114">
        <f>SUM(Y18:AA18)</f>
        <v/>
      </c>
      <c r="AC18" s="118" t="n"/>
    </row>
    <row r="19" ht="17.1" customHeight="1" s="107" thickBot="1">
      <c r="A19" s="119" t="n"/>
      <c r="B19" s="29" t="inlineStr">
        <is>
          <t>TAA近畿</t>
        </is>
      </c>
      <c r="C19" s="29" t="n">
        <v>3197</v>
      </c>
      <c r="D19" s="73" t="inlineStr">
        <is>
          <t>ﾐｽﾞｲﾛ</t>
        </is>
      </c>
      <c r="E19" s="120" t="n"/>
      <c r="F19" s="38" t="inlineStr">
        <is>
          <t>MH95S-164545</t>
        </is>
      </c>
      <c r="G19" s="121" t="n">
        <v>50318</v>
      </c>
      <c r="H19" s="122" t="n"/>
      <c r="I19" s="123" t="n"/>
      <c r="J19" s="123" t="n"/>
      <c r="K19" s="123" t="n"/>
      <c r="L19" s="123" t="n"/>
      <c r="M19" s="123" t="n"/>
      <c r="N19" s="123" t="n"/>
      <c r="O19" s="124" t="n"/>
      <c r="P19" s="51" t="inlineStr">
        <is>
          <t>株式会社ﾄﾖﾀﾚﾝﾘｰｽ鳥取</t>
        </is>
      </c>
      <c r="Q19" s="30" t="inlineStr">
        <is>
          <t>着</t>
        </is>
      </c>
      <c r="R19" s="31" t="inlineStr">
        <is>
          <t>6/27</t>
        </is>
      </c>
      <c r="S19" s="48" t="n"/>
      <c r="T19" s="69" t="n"/>
      <c r="U19" s="39" t="n"/>
      <c r="V19" s="125" t="n"/>
      <c r="W19" s="44" t="inlineStr">
        <is>
          <t>HAA神戸</t>
        </is>
      </c>
      <c r="X19" s="39" t="n">
        <v>60360</v>
      </c>
      <c r="Y19" s="123" t="n"/>
      <c r="Z19" s="123" t="n"/>
      <c r="AA19" s="123" t="n"/>
      <c r="AB19" s="123" t="n"/>
      <c r="AC19" s="126" t="n"/>
    </row>
    <row r="20" ht="17.1" customHeight="1" s="107" thickTop="1">
      <c r="A20" s="110" t="inlineStr">
        <is>
          <t>27-5205</t>
        </is>
      </c>
      <c r="B20" s="26" t="n">
        <v>46196</v>
      </c>
      <c r="C20" s="111" t="n">
        <v>1946</v>
      </c>
      <c r="D20" s="49" t="inlineStr">
        <is>
          <t>28/6</t>
        </is>
      </c>
      <c r="E20" s="112" t="n"/>
      <c r="F20" s="43" t="inlineStr">
        <is>
          <t>BMWﾐﾆｸｰﾊﾟｰD　ｸﾗﾌﾞﾏﾝ</t>
        </is>
      </c>
      <c r="G20" s="34" t="n"/>
      <c r="H20" s="113" t="n">
        <v>4</v>
      </c>
      <c r="I20" s="114" t="n">
        <v>952000</v>
      </c>
      <c r="J20" s="114">
        <f>I20*0.1</f>
        <v/>
      </c>
      <c r="K20" s="114" t="n">
        <v>0</v>
      </c>
      <c r="L20" s="114" t="n">
        <v>19440</v>
      </c>
      <c r="M20" s="114" t="n">
        <v>15950</v>
      </c>
      <c r="N20" s="114">
        <f>SUM(I20:M21)</f>
        <v/>
      </c>
      <c r="O20" s="115" t="n"/>
      <c r="P20" s="50" t="n"/>
      <c r="Q20" s="27" t="inlineStr">
        <is>
          <t>予定</t>
        </is>
      </c>
      <c r="R20" s="47" t="n"/>
      <c r="S20" s="71" t="n"/>
      <c r="T20" s="40" t="n"/>
      <c r="U20" s="41" t="n"/>
      <c r="V20" s="116" t="n"/>
      <c r="W20" s="45" t="n"/>
      <c r="X20" s="117" t="n"/>
      <c r="Y20" s="114" t="n"/>
      <c r="Z20" s="114">
        <f>Y20*0.1</f>
        <v/>
      </c>
      <c r="AA20" s="114" t="n"/>
      <c r="AB20" s="114">
        <f>SUM(Y20:AA20)</f>
        <v/>
      </c>
      <c r="AC20" s="118" t="n"/>
    </row>
    <row r="21" ht="17.1" customHeight="1" s="107" thickBot="1">
      <c r="A21" s="119" t="n"/>
      <c r="B21" s="29" t="inlineStr">
        <is>
          <t>TAA近畿</t>
        </is>
      </c>
      <c r="C21" s="29" t="n">
        <v>5015</v>
      </c>
      <c r="D21" s="73" t="inlineStr">
        <is>
          <t>ｸﾞﾚｰ</t>
        </is>
      </c>
      <c r="E21" s="120" t="n"/>
      <c r="F21" s="38" t="inlineStr">
        <is>
          <t>WMWLR920702E72043</t>
        </is>
      </c>
      <c r="G21" s="121" t="n">
        <v>46034</v>
      </c>
      <c r="H21" s="122" t="n"/>
      <c r="I21" s="123" t="n"/>
      <c r="J21" s="123" t="n"/>
      <c r="K21" s="123" t="n"/>
      <c r="L21" s="123" t="n"/>
      <c r="M21" s="123" t="n"/>
      <c r="N21" s="123" t="n"/>
      <c r="O21" s="124" t="n"/>
      <c r="P21" s="51" t="n"/>
      <c r="Q21" s="30" t="inlineStr">
        <is>
          <t>着</t>
        </is>
      </c>
      <c r="R21" s="31" t="n"/>
      <c r="S21" s="48" t="inlineStr">
        <is>
          <t>ｷｰﾚｽ(車内)</t>
        </is>
      </c>
      <c r="T21" s="69" t="n"/>
      <c r="U21" s="39" t="n"/>
      <c r="V21" s="125" t="n"/>
      <c r="W21" s="44" t="n"/>
      <c r="X21" s="39" t="n"/>
      <c r="Y21" s="123" t="n"/>
      <c r="Z21" s="123" t="n"/>
      <c r="AA21" s="123" t="n"/>
      <c r="AB21" s="123" t="n"/>
      <c r="AC21" s="126" t="n"/>
    </row>
    <row r="22" ht="17.1" customHeight="1" s="107" thickTop="1">
      <c r="A22" s="110" t="inlineStr">
        <is>
          <t>27-5206</t>
        </is>
      </c>
      <c r="B22" s="26" t="n">
        <v>46196</v>
      </c>
      <c r="C22" s="111" t="n">
        <v>1946</v>
      </c>
      <c r="D22" s="49" t="inlineStr">
        <is>
          <t>30/9</t>
        </is>
      </c>
      <c r="E22" s="112" t="n"/>
      <c r="F22" s="43" t="inlineStr">
        <is>
          <t>BMWﾐﾆｸｰﾊﾟｰD</t>
        </is>
      </c>
      <c r="G22" s="34" t="inlineStr">
        <is>
          <t>9/9</t>
        </is>
      </c>
      <c r="H22" s="113" t="n">
        <v>4</v>
      </c>
      <c r="I22" s="114" t="n">
        <v>1038000</v>
      </c>
      <c r="J22" s="114">
        <f>I22*0.1</f>
        <v/>
      </c>
      <c r="K22" s="114" t="n">
        <v>28380</v>
      </c>
      <c r="L22" s="114" t="n">
        <v>16240</v>
      </c>
      <c r="M22" s="114" t="n">
        <v>15950</v>
      </c>
      <c r="N22" s="114">
        <f>SUM(I22:M23)</f>
        <v/>
      </c>
      <c r="O22" s="115" t="n"/>
      <c r="P22" s="50" t="inlineStr">
        <is>
          <t>大阪　331　ろ　3155</t>
        </is>
      </c>
      <c r="Q22" s="27" t="inlineStr">
        <is>
          <t>予定</t>
        </is>
      </c>
      <c r="R22" s="47" t="n"/>
      <c r="S22" s="71" t="inlineStr">
        <is>
          <t>ｷｰﾚｽ</t>
        </is>
      </c>
      <c r="T22" s="40" t="n"/>
      <c r="U22" s="41" t="n"/>
      <c r="V22" s="116" t="n"/>
      <c r="W22" s="45" t="n"/>
      <c r="X22" s="117" t="n"/>
      <c r="Y22" s="114" t="n"/>
      <c r="Z22" s="114">
        <f>Y22*0.1</f>
        <v/>
      </c>
      <c r="AA22" s="114" t="n"/>
      <c r="AB22" s="114">
        <f>SUM(Y22:AA22)</f>
        <v/>
      </c>
      <c r="AC22" s="118" t="n"/>
    </row>
    <row r="23" ht="17.1" customHeight="1" s="107" thickBot="1">
      <c r="A23" s="119" t="n"/>
      <c r="B23" s="29" t="inlineStr">
        <is>
          <t>TAA近畿</t>
        </is>
      </c>
      <c r="C23" s="29" t="n">
        <v>5027</v>
      </c>
      <c r="D23" s="73" t="inlineStr">
        <is>
          <t>ｸﾞﾘｰﾝ</t>
        </is>
      </c>
      <c r="E23" s="120" t="n"/>
      <c r="F23" s="38" t="inlineStr">
        <is>
          <t>WMWXN320802H82079</t>
        </is>
      </c>
      <c r="G23" s="121" t="n">
        <v>38750</v>
      </c>
      <c r="H23" s="122" t="n"/>
      <c r="I23" s="123" t="n"/>
      <c r="J23" s="123" t="n"/>
      <c r="K23" s="123" t="n"/>
      <c r="L23" s="123" t="n"/>
      <c r="M23" s="123" t="n"/>
      <c r="N23" s="123" t="n"/>
      <c r="O23" s="124" t="n"/>
      <c r="P23" s="51" t="n"/>
      <c r="Q23" s="30" t="inlineStr">
        <is>
          <t>着</t>
        </is>
      </c>
      <c r="R23" s="31" t="n"/>
      <c r="S23" s="48" t="n"/>
      <c r="T23" s="69" t="n"/>
      <c r="U23" s="39" t="n"/>
      <c r="V23" s="125" t="n"/>
      <c r="W23" s="44" t="n"/>
      <c r="X23" s="39" t="n"/>
      <c r="Y23" s="123" t="n"/>
      <c r="Z23" s="123" t="n"/>
      <c r="AA23" s="123" t="n"/>
      <c r="AB23" s="123" t="n"/>
      <c r="AC23" s="126" t="n"/>
    </row>
    <row r="24" ht="17.1" customHeight="1" s="107" thickTop="1">
      <c r="A24" s="110" t="inlineStr">
        <is>
          <t>27-5207</t>
        </is>
      </c>
      <c r="B24" s="26" t="n">
        <v>46196</v>
      </c>
      <c r="C24" s="111" t="n">
        <v>1946</v>
      </c>
      <c r="D24" s="49" t="inlineStr">
        <is>
          <t>26/10</t>
        </is>
      </c>
      <c r="E24" s="112" t="n"/>
      <c r="F24" s="43" t="inlineStr">
        <is>
          <t>ｼﾞﾑﾆｰﾗﾝﾄﾞﾍﾞﾝﾁｬｰ</t>
        </is>
      </c>
      <c r="G24" s="34" t="inlineStr">
        <is>
          <t>9/10</t>
        </is>
      </c>
      <c r="H24" s="113" t="n">
        <v>4</v>
      </c>
      <c r="I24" s="114" t="n">
        <v>865000</v>
      </c>
      <c r="J24" s="114">
        <f>I24*0.1</f>
        <v/>
      </c>
      <c r="K24" s="114" t="n">
        <v>0</v>
      </c>
      <c r="L24" s="114" t="n">
        <v>9010</v>
      </c>
      <c r="M24" s="114" t="n">
        <v>15950</v>
      </c>
      <c r="N24" s="114">
        <f>SUM(I24:M25)</f>
        <v/>
      </c>
      <c r="O24" s="115" t="n"/>
      <c r="P24" s="50" t="inlineStr">
        <is>
          <t>滋賀　589　な　1177</t>
        </is>
      </c>
      <c r="Q24" s="27" t="inlineStr">
        <is>
          <t>予定</t>
        </is>
      </c>
      <c r="R24" s="47" t="n"/>
      <c r="S24" s="71" t="n"/>
      <c r="T24" s="40" t="n"/>
      <c r="U24" s="41" t="n"/>
      <c r="V24" s="116" t="n"/>
      <c r="W24" s="45" t="n">
        <v>46200</v>
      </c>
      <c r="X24" s="117" t="n">
        <v>1306</v>
      </c>
      <c r="Y24" s="114" t="n">
        <v>930000</v>
      </c>
      <c r="Z24" s="114">
        <f>Y24*0.1</f>
        <v/>
      </c>
      <c r="AA24" s="114" t="n">
        <v>9010</v>
      </c>
      <c r="AB24" s="114">
        <f>SUM(Y24:AA24)</f>
        <v/>
      </c>
      <c r="AC24" s="118" t="n"/>
    </row>
    <row r="25" ht="17.1" customHeight="1" s="107" thickBot="1">
      <c r="A25" s="119" t="n"/>
      <c r="B25" s="29" t="inlineStr">
        <is>
          <t>TAA近畿</t>
        </is>
      </c>
      <c r="C25" s="29" t="n">
        <v>76051</v>
      </c>
      <c r="D25" s="73" t="inlineStr">
        <is>
          <t>ﾊﾟｰﾙ</t>
        </is>
      </c>
      <c r="E25" s="120" t="n"/>
      <c r="F25" s="38" t="inlineStr">
        <is>
          <t>JB23W-732700</t>
        </is>
      </c>
      <c r="G25" s="121" t="n">
        <v>79349</v>
      </c>
      <c r="H25" s="122" t="n"/>
      <c r="I25" s="123" t="n"/>
      <c r="J25" s="123" t="n"/>
      <c r="K25" s="123" t="n"/>
      <c r="L25" s="123" t="n"/>
      <c r="M25" s="123" t="n"/>
      <c r="N25" s="123" t="n"/>
      <c r="O25" s="124" t="n"/>
      <c r="P25" s="51" t="n"/>
      <c r="Q25" s="30" t="inlineStr">
        <is>
          <t>着</t>
        </is>
      </c>
      <c r="R25" s="31" t="n"/>
      <c r="S25" s="48" t="n"/>
      <c r="T25" s="69" t="n"/>
      <c r="U25" s="39" t="n"/>
      <c r="V25" s="125" t="n"/>
      <c r="W25" s="44" t="inlineStr">
        <is>
          <t>HAA神戸</t>
        </is>
      </c>
      <c r="X25" s="39" t="n">
        <v>60388</v>
      </c>
      <c r="Y25" s="123" t="n"/>
      <c r="Z25" s="123" t="n"/>
      <c r="AA25" s="123" t="n"/>
      <c r="AB25" s="123" t="n"/>
      <c r="AC25" s="126" t="n"/>
    </row>
    <row r="26" ht="17.1" customHeight="1" s="107" thickTop="1">
      <c r="A26" s="110" t="inlineStr">
        <is>
          <t>27-5208</t>
        </is>
      </c>
      <c r="B26" s="26" t="n">
        <v>46196</v>
      </c>
      <c r="C26" s="111" t="n">
        <v>824</v>
      </c>
      <c r="D26" s="49" t="inlineStr">
        <is>
          <t>31/1</t>
        </is>
      </c>
      <c r="E26" s="112" t="n"/>
      <c r="F26" s="43" t="inlineStr">
        <is>
          <t>ﾌﾟﾘｳｽ　Aﾂｰﾘﾝｸﾞｾﾚｸｼｮﾝ</t>
        </is>
      </c>
      <c r="G26" s="34" t="n"/>
      <c r="H26" s="113" t="n">
        <v>4.5</v>
      </c>
      <c r="I26" s="114" t="n">
        <v>1194000</v>
      </c>
      <c r="J26" s="114">
        <f>I26*0.1</f>
        <v/>
      </c>
      <c r="K26" s="114" t="n">
        <v>0</v>
      </c>
      <c r="L26" s="114" t="n">
        <v>11480</v>
      </c>
      <c r="M26" s="114" t="n">
        <v>15950</v>
      </c>
      <c r="N26" s="114">
        <f>SUM(I26:M27)</f>
        <v/>
      </c>
      <c r="O26" s="115" t="n"/>
      <c r="P26" s="50" t="inlineStr">
        <is>
          <t>徳島 300 は 2958</t>
        </is>
      </c>
      <c r="Q26" s="27" t="inlineStr">
        <is>
          <t>予定</t>
        </is>
      </c>
      <c r="R26" s="47" t="n"/>
      <c r="S26" s="71" t="n"/>
      <c r="T26" s="40" t="n"/>
      <c r="U26" s="41" t="n"/>
      <c r="V26" s="116" t="n"/>
      <c r="W26" s="45" t="n"/>
      <c r="X26" s="117" t="n"/>
      <c r="Y26" s="114" t="n"/>
      <c r="Z26" s="114">
        <f>Y26*0.1</f>
        <v/>
      </c>
      <c r="AA26" s="114" t="n"/>
      <c r="AB26" s="114">
        <f>SUM(Y26:AA26)</f>
        <v/>
      </c>
      <c r="AC26" s="118" t="n"/>
    </row>
    <row r="27" ht="17.1" customHeight="1" s="107" thickBot="1">
      <c r="A27" s="119" t="n"/>
      <c r="B27" s="29" t="inlineStr">
        <is>
          <t>TAA四国</t>
        </is>
      </c>
      <c r="C27" s="29" t="n">
        <v>40</v>
      </c>
      <c r="D27" s="73" t="inlineStr">
        <is>
          <t>赤</t>
        </is>
      </c>
      <c r="E27" s="120" t="n"/>
      <c r="F27" s="38" t="inlineStr">
        <is>
          <t>ZVW51-8047599</t>
        </is>
      </c>
      <c r="G27" s="121" t="n">
        <v>83108</v>
      </c>
      <c r="H27" s="122" t="n"/>
      <c r="I27" s="123" t="n"/>
      <c r="J27" s="123" t="n"/>
      <c r="K27" s="123" t="n"/>
      <c r="L27" s="123" t="n"/>
      <c r="M27" s="123" t="n"/>
      <c r="N27" s="123" t="n"/>
      <c r="O27" s="124" t="n"/>
      <c r="P27" s="51" t="inlineStr">
        <is>
          <t>ﾄﾖﾀｶﾛｰﾗ徳島株式会社</t>
        </is>
      </c>
      <c r="Q27" s="30" t="inlineStr">
        <is>
          <t>着</t>
        </is>
      </c>
      <c r="R27" s="31" t="inlineStr">
        <is>
          <t>6/26</t>
        </is>
      </c>
      <c r="S27" s="48" t="inlineStr">
        <is>
          <t>保証書</t>
        </is>
      </c>
      <c r="T27" s="69" t="n"/>
      <c r="U27" s="39" t="n"/>
      <c r="V27" s="125" t="n"/>
      <c r="W27" s="44" t="n"/>
      <c r="X27" s="39" t="n"/>
      <c r="Y27" s="123" t="n"/>
      <c r="Z27" s="123" t="n"/>
      <c r="AA27" s="123" t="n"/>
      <c r="AB27" s="123" t="n"/>
      <c r="AC27" s="126" t="n"/>
    </row>
    <row r="28" ht="17.1" customHeight="1" s="107" thickTop="1">
      <c r="A28" s="110" t="inlineStr">
        <is>
          <t>27-5209</t>
        </is>
      </c>
      <c r="B28" s="26" t="n">
        <v>46196</v>
      </c>
      <c r="C28" s="111" t="n">
        <v>824</v>
      </c>
      <c r="D28" s="49" t="inlineStr">
        <is>
          <t>3/1</t>
        </is>
      </c>
      <c r="E28" s="112" t="n"/>
      <c r="F28" s="43" t="inlineStr">
        <is>
          <t>ｶﾛｰﾗﾌｨｰﾙﾀﾞｰ　ﾊｲﾌﾞﾘｯﾄﾞEX</t>
        </is>
      </c>
      <c r="G28" s="34" t="n"/>
      <c r="H28" s="113" t="n">
        <v>4</v>
      </c>
      <c r="I28" s="114" t="n">
        <v>1023000</v>
      </c>
      <c r="J28" s="114">
        <f>I28*0.1</f>
        <v/>
      </c>
      <c r="K28" s="114" t="n">
        <v>0</v>
      </c>
      <c r="L28" s="114" t="n">
        <v>9810</v>
      </c>
      <c r="M28" s="114" t="n">
        <v>15950</v>
      </c>
      <c r="N28" s="114">
        <f>SUM(I28:M29)</f>
        <v/>
      </c>
      <c r="O28" s="115" t="n"/>
      <c r="P28" s="50" t="n"/>
      <c r="Q28" s="27" t="inlineStr">
        <is>
          <t>予定</t>
        </is>
      </c>
      <c r="R28" s="47" t="n"/>
      <c r="S28" s="71" t="n"/>
      <c r="T28" s="40" t="n"/>
      <c r="U28" s="41" t="n"/>
      <c r="V28" s="116" t="n"/>
      <c r="W28" s="45" t="n"/>
      <c r="X28" s="117" t="n"/>
      <c r="Y28" s="114" t="n"/>
      <c r="Z28" s="114">
        <f>Y28*0.1</f>
        <v/>
      </c>
      <c r="AA28" s="114" t="n"/>
      <c r="AB28" s="114">
        <f>SUM(Y28:AA28)</f>
        <v/>
      </c>
      <c r="AC28" s="118" t="n"/>
    </row>
    <row r="29" ht="17.1" customHeight="1" s="107" thickBot="1">
      <c r="A29" s="119" t="n"/>
      <c r="B29" s="29" t="inlineStr">
        <is>
          <t>TAA四国</t>
        </is>
      </c>
      <c r="C29" s="29" t="n">
        <v>2014</v>
      </c>
      <c r="D29" s="73" t="inlineStr">
        <is>
          <t>白</t>
        </is>
      </c>
      <c r="E29" s="120" t="n"/>
      <c r="F29" s="38" t="inlineStr">
        <is>
          <t>NKE165-7241078</t>
        </is>
      </c>
      <c r="G29" s="121" t="n">
        <v>54476</v>
      </c>
      <c r="H29" s="122" t="n"/>
      <c r="I29" s="123" t="n"/>
      <c r="J29" s="123" t="n"/>
      <c r="K29" s="123" t="n"/>
      <c r="L29" s="123" t="n"/>
      <c r="M29" s="123" t="n"/>
      <c r="N29" s="123" t="n"/>
      <c r="O29" s="124" t="n"/>
      <c r="P29" s="51" t="n"/>
      <c r="Q29" s="30" t="inlineStr">
        <is>
          <t>着</t>
        </is>
      </c>
      <c r="R29" s="31" t="n"/>
      <c r="S29" s="48" t="n"/>
      <c r="T29" s="69" t="n"/>
      <c r="U29" s="39" t="n"/>
      <c r="V29" s="125" t="n"/>
      <c r="W29" s="44" t="n"/>
      <c r="X29" s="39" t="n"/>
      <c r="Y29" s="123" t="n"/>
      <c r="Z29" s="123" t="n"/>
      <c r="AA29" s="123" t="n"/>
      <c r="AB29" s="123" t="n"/>
      <c r="AC29" s="126" t="n"/>
    </row>
    <row r="30" ht="17.1" customHeight="1" s="107" thickTop="1">
      <c r="A30" s="110" t="inlineStr">
        <is>
          <t>27-5210</t>
        </is>
      </c>
      <c r="B30" s="26" t="n">
        <v>46196</v>
      </c>
      <c r="C30" s="111" t="n">
        <v>824</v>
      </c>
      <c r="D30" s="49" t="inlineStr">
        <is>
          <t>3/7</t>
        </is>
      </c>
      <c r="E30" s="112" t="n"/>
      <c r="F30" s="43" t="inlineStr">
        <is>
          <t>ｴﾌﾞﾘｨﾜｺﾞﾝ　PZﾀｰﾎﾞ</t>
        </is>
      </c>
      <c r="G30" s="34" t="n"/>
      <c r="H30" s="113" t="n">
        <v>4.5</v>
      </c>
      <c r="I30" s="114" t="n">
        <v>1095000</v>
      </c>
      <c r="J30" s="114">
        <f>I30*0.1</f>
        <v/>
      </c>
      <c r="K30" s="114" t="n">
        <v>0</v>
      </c>
      <c r="L30" s="114" t="n">
        <v>8390</v>
      </c>
      <c r="M30" s="114" t="n">
        <v>15950</v>
      </c>
      <c r="N30" s="114">
        <f>SUM(I30:M31)</f>
        <v/>
      </c>
      <c r="O30" s="115" t="n"/>
      <c r="P30" s="50" t="n"/>
      <c r="Q30" s="27" t="inlineStr">
        <is>
          <t>予定</t>
        </is>
      </c>
      <c r="R30" s="47" t="n"/>
      <c r="S30" s="71" t="inlineStr">
        <is>
          <t>保証書　取説　ﾅﾋﾞ取</t>
        </is>
      </c>
      <c r="T30" s="40" t="n"/>
      <c r="U30" s="41" t="n"/>
      <c r="V30" s="116" t="n"/>
      <c r="W30" s="45" t="n"/>
      <c r="X30" s="117" t="n"/>
      <c r="Y30" s="114" t="n"/>
      <c r="Z30" s="114">
        <f>Y30*0.1</f>
        <v/>
      </c>
      <c r="AA30" s="114" t="n"/>
      <c r="AB30" s="114">
        <f>SUM(Y30:AA30)</f>
        <v/>
      </c>
      <c r="AC30" s="118" t="n"/>
    </row>
    <row r="31" ht="17.1" customHeight="1" s="107" thickBot="1">
      <c r="A31" s="119" t="n"/>
      <c r="B31" s="29" t="inlineStr">
        <is>
          <t>TAA四国</t>
        </is>
      </c>
      <c r="C31" s="29" t="n">
        <v>3052</v>
      </c>
      <c r="D31" s="73" t="inlineStr">
        <is>
          <t>黒</t>
        </is>
      </c>
      <c r="E31" s="120" t="n"/>
      <c r="F31" s="38" t="inlineStr">
        <is>
          <t>DA17W-270044</t>
        </is>
      </c>
      <c r="G31" s="121" t="n">
        <v>22517</v>
      </c>
      <c r="H31" s="122" t="n"/>
      <c r="I31" s="123" t="n"/>
      <c r="J31" s="123" t="n"/>
      <c r="K31" s="123" t="n"/>
      <c r="L31" s="123" t="n"/>
      <c r="M31" s="123" t="n"/>
      <c r="N31" s="123" t="n"/>
      <c r="O31" s="124" t="n"/>
      <c r="P31" s="51" t="n"/>
      <c r="Q31" s="30" t="inlineStr">
        <is>
          <t>着</t>
        </is>
      </c>
      <c r="R31" s="31" t="n"/>
      <c r="S31" s="48" t="n"/>
      <c r="T31" s="69" t="n"/>
      <c r="U31" s="39" t="n"/>
      <c r="V31" s="125" t="n"/>
      <c r="W31" s="44" t="n"/>
      <c r="X31" s="39" t="n"/>
      <c r="Y31" s="123" t="n"/>
      <c r="Z31" s="123" t="n"/>
      <c r="AA31" s="123" t="n"/>
      <c r="AB31" s="123" t="n"/>
      <c r="AC31" s="126" t="n"/>
    </row>
    <row r="32" ht="17.1" customHeight="1" s="107" thickTop="1">
      <c r="A32" s="110" t="inlineStr">
        <is>
          <t>27-5211</t>
        </is>
      </c>
      <c r="B32" s="26" t="n">
        <v>46196</v>
      </c>
      <c r="C32" s="111" t="n">
        <v>824</v>
      </c>
      <c r="D32" s="49" t="inlineStr">
        <is>
          <t>1/5</t>
        </is>
      </c>
      <c r="E32" s="112" t="n"/>
      <c r="F32" s="43" t="inlineStr">
        <is>
          <t>BMW　X2</t>
        </is>
      </c>
      <c r="G32" s="34" t="n"/>
      <c r="H32" s="113" t="n">
        <v>4</v>
      </c>
      <c r="I32" s="114" t="n">
        <v>1031000</v>
      </c>
      <c r="J32" s="114">
        <f>I32*0.1</f>
        <v/>
      </c>
      <c r="K32" s="114" t="n">
        <v>0</v>
      </c>
      <c r="L32" s="114" t="n">
        <v>18980</v>
      </c>
      <c r="M32" s="114" t="n">
        <v>15950</v>
      </c>
      <c r="N32" s="114">
        <f>SUM(I32:M33)</f>
        <v/>
      </c>
      <c r="O32" s="115" t="n"/>
      <c r="P32" s="50" t="inlineStr">
        <is>
          <t>香川 300 も 8678</t>
        </is>
      </c>
      <c r="Q32" s="27" t="inlineStr">
        <is>
          <t>予定</t>
        </is>
      </c>
      <c r="R32" s="47" t="n"/>
      <c r="S32" s="71" t="n"/>
      <c r="T32" s="40" t="n"/>
      <c r="U32" s="41" t="n"/>
      <c r="V32" s="116" t="n"/>
      <c r="W32" s="45" t="n"/>
      <c r="X32" s="117" t="n"/>
      <c r="Y32" s="114" t="n"/>
      <c r="Z32" s="114">
        <f>Y32*0.1</f>
        <v/>
      </c>
      <c r="AA32" s="114" t="n"/>
      <c r="AB32" s="114">
        <f>SUM(Y32:AA32)</f>
        <v/>
      </c>
      <c r="AC32" s="118" t="n"/>
    </row>
    <row r="33" ht="17.1" customHeight="1" s="107" thickBot="1">
      <c r="A33" s="119" t="n"/>
      <c r="B33" s="29" t="inlineStr">
        <is>
          <t>TAA四国</t>
        </is>
      </c>
      <c r="C33" s="29" t="n">
        <v>5010</v>
      </c>
      <c r="D33" s="73" t="inlineStr">
        <is>
          <t>ﾊﾟｰﾙ</t>
        </is>
      </c>
      <c r="E33" s="120" t="n"/>
      <c r="F33" s="38" t="inlineStr">
        <is>
          <t>WBAYH52010EK62809</t>
        </is>
      </c>
      <c r="G33" s="121" t="n">
        <v>54744</v>
      </c>
      <c r="H33" s="122" t="n"/>
      <c r="I33" s="123" t="n"/>
      <c r="J33" s="123" t="n"/>
      <c r="K33" s="123" t="n"/>
      <c r="L33" s="123" t="n"/>
      <c r="M33" s="123" t="n"/>
      <c r="N33" s="123" t="n"/>
      <c r="O33" s="124" t="n"/>
      <c r="P33" s="51" t="inlineStr">
        <is>
          <t>株式会社ﾔﾏｳﾁ</t>
        </is>
      </c>
      <c r="Q33" s="30" t="inlineStr">
        <is>
          <t>着</t>
        </is>
      </c>
      <c r="R33" s="31" t="inlineStr">
        <is>
          <t>6/26</t>
        </is>
      </c>
      <c r="S33" s="48" t="n"/>
      <c r="T33" s="69" t="n"/>
      <c r="U33" s="39" t="n"/>
      <c r="V33" s="125" t="n"/>
      <c r="W33" s="44" t="n"/>
      <c r="X33" s="39" t="n"/>
      <c r="Y33" s="123" t="n"/>
      <c r="Z33" s="123" t="n"/>
      <c r="AA33" s="123" t="n"/>
      <c r="AB33" s="123" t="n"/>
      <c r="AC33" s="126" t="n"/>
    </row>
    <row r="34" ht="17.1" customHeight="1" s="107" thickTop="1">
      <c r="A34" s="110" t="inlineStr">
        <is>
          <t>27-5212</t>
        </is>
      </c>
      <c r="B34" s="26" t="n">
        <v>46196</v>
      </c>
      <c r="C34" s="111" t="n">
        <v>824</v>
      </c>
      <c r="D34" s="49" t="inlineStr">
        <is>
          <t>30/2</t>
        </is>
      </c>
      <c r="E34" s="112" t="n"/>
      <c r="F34" s="43" t="inlineStr">
        <is>
          <t>ｶﾛｰﾗﾌｨｰﾙﾀﾞｰ　HV　G　WXB</t>
        </is>
      </c>
      <c r="G34" s="34" t="n"/>
      <c r="H34" s="113" t="n">
        <v>4</v>
      </c>
      <c r="I34" s="114" t="n">
        <v>1010000</v>
      </c>
      <c r="J34" s="114">
        <f>I34*0.1</f>
        <v/>
      </c>
      <c r="K34" s="114" t="n">
        <v>0</v>
      </c>
      <c r="L34" s="114" t="n">
        <v>9810</v>
      </c>
      <c r="M34" s="114" t="n">
        <v>15950</v>
      </c>
      <c r="N34" s="114">
        <f>SUM(I34:M35)</f>
        <v/>
      </c>
      <c r="O34" s="115" t="n"/>
      <c r="P34" s="50" t="inlineStr">
        <is>
          <t>愛媛 534 に 701</t>
        </is>
      </c>
      <c r="Q34" s="27" t="inlineStr">
        <is>
          <t>予定</t>
        </is>
      </c>
      <c r="R34" s="47" t="n"/>
      <c r="S34" s="71" t="n"/>
      <c r="T34" s="40" t="n"/>
      <c r="U34" s="41" t="n"/>
      <c r="V34" s="116" t="n"/>
      <c r="W34" s="45" t="n"/>
      <c r="X34" s="117" t="n"/>
      <c r="Y34" s="114" t="n"/>
      <c r="Z34" s="114">
        <f>Y34*0.1</f>
        <v/>
      </c>
      <c r="AA34" s="114" t="n"/>
      <c r="AB34" s="114">
        <f>SUM(Y34:AA34)</f>
        <v/>
      </c>
      <c r="AC34" s="118" t="n"/>
    </row>
    <row r="35" ht="17.1" customHeight="1" s="107" thickBot="1">
      <c r="A35" s="119" t="n"/>
      <c r="B35" s="29" t="inlineStr">
        <is>
          <t>TAA四国</t>
        </is>
      </c>
      <c r="C35" s="29" t="n">
        <v>72042</v>
      </c>
      <c r="D35" s="73" t="inlineStr">
        <is>
          <t>ﾊﾟｰﾌﾟﾙ</t>
        </is>
      </c>
      <c r="E35" s="120" t="n"/>
      <c r="F35" s="38" t="inlineStr">
        <is>
          <t>NKE165-7160679</t>
        </is>
      </c>
      <c r="G35" s="121" t="n">
        <v>42570</v>
      </c>
      <c r="H35" s="122" t="n"/>
      <c r="I35" s="123" t="n"/>
      <c r="J35" s="123" t="n"/>
      <c r="K35" s="123" t="n"/>
      <c r="L35" s="123" t="n"/>
      <c r="M35" s="123" t="n"/>
      <c r="N35" s="123" t="n"/>
      <c r="O35" s="124" t="n"/>
      <c r="P35" s="51" t="inlineStr">
        <is>
          <t>ﾄﾖﾀｶﾛｰﾗ愛知株式会社</t>
        </is>
      </c>
      <c r="Q35" s="30" t="inlineStr">
        <is>
          <t>着</t>
        </is>
      </c>
      <c r="R35" s="31" t="inlineStr">
        <is>
          <t>6/26</t>
        </is>
      </c>
      <c r="S35" s="48" t="n"/>
      <c r="T35" s="69" t="n"/>
      <c r="U35" s="39" t="n"/>
      <c r="V35" s="125" t="n"/>
      <c r="W35" s="44" t="n"/>
      <c r="X35" s="39" t="n"/>
      <c r="Y35" s="123" t="n"/>
      <c r="Z35" s="123" t="n"/>
      <c r="AA35" s="123" t="n"/>
      <c r="AB35" s="123" t="n"/>
      <c r="AC35" s="126" t="n"/>
    </row>
    <row r="36" ht="17.1" customHeight="1" s="107" thickTop="1">
      <c r="A36" s="110" t="inlineStr">
        <is>
          <t>27-5213</t>
        </is>
      </c>
      <c r="B36" s="26" t="n">
        <v>46196</v>
      </c>
      <c r="C36" s="111" t="n">
        <v>944</v>
      </c>
      <c r="D36" s="49" t="inlineStr">
        <is>
          <t>29/9</t>
        </is>
      </c>
      <c r="E36" s="112" t="n"/>
      <c r="F36" s="43" t="inlineStr">
        <is>
          <t>CX-3　20S　Lﾊﾟｯｹｰｼﾞ</t>
        </is>
      </c>
      <c r="G36" s="34" t="n"/>
      <c r="H36" s="113" t="n">
        <v>4.5</v>
      </c>
      <c r="I36" s="114" t="n">
        <v>1070000</v>
      </c>
      <c r="J36" s="114">
        <f>I36*0.1</f>
        <v/>
      </c>
      <c r="K36" s="114" t="n">
        <v>0</v>
      </c>
      <c r="L36" s="114" t="n">
        <v>11010</v>
      </c>
      <c r="M36" s="114" t="n">
        <v>15950</v>
      </c>
      <c r="N36" s="114">
        <f>SUM(I36:M37)</f>
        <v/>
      </c>
      <c r="O36" s="115" t="n"/>
      <c r="P36" s="50" t="inlineStr">
        <is>
          <t>広島 301 み 4823</t>
        </is>
      </c>
      <c r="Q36" s="27" t="inlineStr">
        <is>
          <t>予定</t>
        </is>
      </c>
      <c r="R36" s="47" t="n"/>
      <c r="S36" s="71" t="n"/>
      <c r="T36" s="40" t="n"/>
      <c r="U36" s="41" t="n"/>
      <c r="V36" s="116" t="n"/>
      <c r="W36" s="45" t="n"/>
      <c r="X36" s="117" t="n"/>
      <c r="Y36" s="114" t="n"/>
      <c r="Z36" s="114">
        <f>Y36*0.1</f>
        <v/>
      </c>
      <c r="AA36" s="114" t="n"/>
      <c r="AB36" s="114">
        <f>SUM(Y36:AA36)</f>
        <v/>
      </c>
      <c r="AC36" s="118" t="n"/>
    </row>
    <row r="37" ht="17.1" customHeight="1" s="107" thickBot="1">
      <c r="A37" s="119" t="n"/>
      <c r="B37" s="29" t="inlineStr">
        <is>
          <t>TAA広島</t>
        </is>
      </c>
      <c r="C37" s="29" t="n">
        <v>298</v>
      </c>
      <c r="D37" s="73" t="inlineStr">
        <is>
          <t>ｼﾙﾊﾞｰ</t>
        </is>
      </c>
      <c r="E37" s="120" t="n"/>
      <c r="F37" s="38" t="inlineStr">
        <is>
          <t>DKEFW-102051</t>
        </is>
      </c>
      <c r="G37" s="121" t="n">
        <v>49945</v>
      </c>
      <c r="H37" s="122" t="n"/>
      <c r="I37" s="123" t="n"/>
      <c r="J37" s="123" t="n"/>
      <c r="K37" s="123" t="n"/>
      <c r="L37" s="123" t="n"/>
      <c r="M37" s="123" t="n"/>
      <c r="N37" s="123" t="n"/>
      <c r="O37" s="124" t="n"/>
      <c r="P37" s="51" t="inlineStr">
        <is>
          <t>ﾄﾖﾀｶﾛｰﾗ広島株式会社</t>
        </is>
      </c>
      <c r="Q37" s="30" t="inlineStr">
        <is>
          <t>着</t>
        </is>
      </c>
      <c r="R37" s="31" t="inlineStr">
        <is>
          <t>6/27</t>
        </is>
      </c>
      <c r="S37" s="48" t="n"/>
      <c r="T37" s="69" t="n"/>
      <c r="U37" s="39" t="n"/>
      <c r="V37" s="125" t="n"/>
      <c r="W37" s="44" t="n"/>
      <c r="X37" s="39" t="n"/>
      <c r="Y37" s="123" t="n"/>
      <c r="Z37" s="123" t="n"/>
      <c r="AA37" s="123" t="n"/>
      <c r="AB37" s="123" t="n"/>
      <c r="AC37" s="126" t="n"/>
    </row>
    <row r="38" ht="17.1" customHeight="1" s="107" thickTop="1">
      <c r="A38" s="110" t="inlineStr">
        <is>
          <t>27-5214</t>
        </is>
      </c>
      <c r="B38" s="26" t="n">
        <v>46196</v>
      </c>
      <c r="C38" s="111" t="n">
        <v>944</v>
      </c>
      <c r="D38" s="49" t="inlineStr">
        <is>
          <t>4/5</t>
        </is>
      </c>
      <c r="E38" s="112" t="n"/>
      <c r="F38" s="43" t="inlineStr">
        <is>
          <t>ﾊｽﾗｰ　ﾊｲﾌﾞﾘｯﾄﾞG</t>
        </is>
      </c>
      <c r="G38" s="34" t="n"/>
      <c r="H38" s="113" t="n">
        <v>4</v>
      </c>
      <c r="I38" s="114" t="n">
        <v>984000</v>
      </c>
      <c r="J38" s="114">
        <f>I38*0.1</f>
        <v/>
      </c>
      <c r="K38" s="114" t="n">
        <v>0</v>
      </c>
      <c r="L38" s="114" t="n">
        <v>6830</v>
      </c>
      <c r="M38" s="114" t="n">
        <v>15950</v>
      </c>
      <c r="N38" s="114">
        <f>SUM(I38:M39)</f>
        <v/>
      </c>
      <c r="O38" s="115" t="n"/>
      <c r="P38" s="50" t="inlineStr">
        <is>
          <t>広島 587 ろ 1752</t>
        </is>
      </c>
      <c r="Q38" s="27" t="inlineStr">
        <is>
          <t>予定</t>
        </is>
      </c>
      <c r="R38" s="47" t="n"/>
      <c r="S38" s="71" t="inlineStr">
        <is>
          <t>保証書　取説　予備ｷｰ　ﾚﾝﾀｶｰ</t>
        </is>
      </c>
      <c r="T38" s="40" t="n"/>
      <c r="U38" s="41" t="n"/>
      <c r="V38" s="116" t="n"/>
      <c r="W38" s="45" t="n"/>
      <c r="X38" s="117" t="n"/>
      <c r="Y38" s="114" t="n"/>
      <c r="Z38" s="114">
        <f>Y38*0.1</f>
        <v/>
      </c>
      <c r="AA38" s="114" t="n"/>
      <c r="AB38" s="114">
        <f>SUM(Y38:AA38)</f>
        <v/>
      </c>
      <c r="AC38" s="118" t="n"/>
    </row>
    <row r="39" ht="17.1" customHeight="1" s="107" thickBot="1">
      <c r="A39" s="119" t="n"/>
      <c r="B39" s="29" t="inlineStr">
        <is>
          <t>TAA広島</t>
        </is>
      </c>
      <c r="C39" s="29" t="n">
        <v>3023</v>
      </c>
      <c r="D39" s="73" t="inlineStr">
        <is>
          <t>ﾃﾞﾆﾑﾌﾞﾙｰ</t>
        </is>
      </c>
      <c r="E39" s="120" t="n"/>
      <c r="F39" s="38" t="inlineStr">
        <is>
          <t>MR92S-232157</t>
        </is>
      </c>
      <c r="G39" s="121" t="n">
        <v>51488</v>
      </c>
      <c r="H39" s="122" t="n"/>
      <c r="I39" s="123" t="n"/>
      <c r="J39" s="123" t="n"/>
      <c r="K39" s="123" t="n"/>
      <c r="L39" s="123" t="n"/>
      <c r="M39" s="123" t="n"/>
      <c r="N39" s="123" t="n"/>
      <c r="O39" s="124" t="n"/>
      <c r="P39" s="51" t="inlineStr">
        <is>
          <t>ﾀｲﾑｽﾞﾓﾋﾞﾘﾃｨ株式会社</t>
        </is>
      </c>
      <c r="Q39" s="30" t="inlineStr">
        <is>
          <t>着</t>
        </is>
      </c>
      <c r="R39" s="31" t="inlineStr">
        <is>
          <t>6/26</t>
        </is>
      </c>
      <c r="S39" s="48" t="inlineStr">
        <is>
          <t>保証書 取説 ｷｰﾚｽ ﾚﾝﾀ</t>
        </is>
      </c>
      <c r="T39" s="69" t="n"/>
      <c r="U39" s="39" t="n"/>
      <c r="V39" s="125" t="n"/>
      <c r="W39" s="44" t="n"/>
      <c r="X39" s="39" t="n"/>
      <c r="Y39" s="123" t="n"/>
      <c r="Z39" s="123" t="n"/>
      <c r="AA39" s="123" t="n"/>
      <c r="AB39" s="123" t="n"/>
      <c r="AC39" s="126" t="n"/>
    </row>
    <row r="40" ht="17.1" customHeight="1" s="107" thickTop="1">
      <c r="A40" s="110" t="inlineStr">
        <is>
          <t>27-5215</t>
        </is>
      </c>
      <c r="B40" s="26" t="n">
        <v>46196</v>
      </c>
      <c r="C40" s="111" t="n">
        <v>944</v>
      </c>
      <c r="D40" s="49" t="inlineStr">
        <is>
          <t>5/5</t>
        </is>
      </c>
      <c r="E40" s="112" t="n"/>
      <c r="F40" s="43" t="inlineStr">
        <is>
          <t>ﾐﾗｲｰｽ　X　SaⅢ</t>
        </is>
      </c>
      <c r="G40" s="34" t="n"/>
      <c r="H40" s="113" t="n">
        <v>4.5</v>
      </c>
      <c r="I40" s="114" t="n">
        <v>529000</v>
      </c>
      <c r="J40" s="114">
        <f>I40*0.1</f>
        <v/>
      </c>
      <c r="K40" s="114" t="n">
        <v>0</v>
      </c>
      <c r="L40" s="114" t="n">
        <v>6550</v>
      </c>
      <c r="M40" s="114" t="n">
        <v>15950</v>
      </c>
      <c r="N40" s="114">
        <f>SUM(I40:M41)</f>
        <v/>
      </c>
      <c r="O40" s="115" t="n"/>
      <c r="P40" s="50" t="n"/>
      <c r="Q40" s="27" t="inlineStr">
        <is>
          <t>予定</t>
        </is>
      </c>
      <c r="R40" s="47" t="n"/>
      <c r="S40" s="71" t="inlineStr">
        <is>
          <t>保証書</t>
        </is>
      </c>
      <c r="T40" s="40" t="n"/>
      <c r="U40" s="41" t="n"/>
      <c r="V40" s="116" t="n"/>
      <c r="W40" s="45" t="n"/>
      <c r="X40" s="117" t="n"/>
      <c r="Y40" s="114" t="n"/>
      <c r="Z40" s="114">
        <f>Y40*0.1</f>
        <v/>
      </c>
      <c r="AA40" s="114" t="n"/>
      <c r="AB40" s="114">
        <f>SUM(Y40:AA40)</f>
        <v/>
      </c>
      <c r="AC40" s="118" t="n"/>
    </row>
    <row r="41" ht="17.1" customHeight="1" s="107" thickBot="1">
      <c r="A41" s="119" t="n"/>
      <c r="B41" s="29" t="inlineStr">
        <is>
          <t>TAA広島</t>
        </is>
      </c>
      <c r="C41" s="29" t="n">
        <v>3027</v>
      </c>
      <c r="D41" s="73" t="inlineStr">
        <is>
          <t>ｼﾙﾊﾞｰ</t>
        </is>
      </c>
      <c r="E41" s="120" t="n"/>
      <c r="F41" s="38" t="inlineStr">
        <is>
          <t>LA350S-0344285</t>
        </is>
      </c>
      <c r="G41" s="121" t="n">
        <v>45612</v>
      </c>
      <c r="H41" s="122" t="n"/>
      <c r="I41" s="123" t="n"/>
      <c r="J41" s="123" t="n"/>
      <c r="K41" s="123" t="n"/>
      <c r="L41" s="123" t="n"/>
      <c r="M41" s="123" t="n"/>
      <c r="N41" s="123" t="n"/>
      <c r="O41" s="124" t="n"/>
      <c r="P41" s="51" t="n"/>
      <c r="Q41" s="30" t="inlineStr">
        <is>
          <t>着</t>
        </is>
      </c>
      <c r="R41" s="31" t="n"/>
      <c r="S41" s="48" t="inlineStr">
        <is>
          <t>取説 ｽﾍﾟｱｷｰ(車内)</t>
        </is>
      </c>
      <c r="T41" s="69" t="n"/>
      <c r="U41" s="39" t="n"/>
      <c r="V41" s="125" t="n"/>
      <c r="W41" s="44" t="n"/>
      <c r="X41" s="39" t="n"/>
      <c r="Y41" s="123" t="n"/>
      <c r="Z41" s="123" t="n"/>
      <c r="AA41" s="123" t="n"/>
      <c r="AB41" s="123" t="n"/>
      <c r="AC41" s="126" t="n"/>
    </row>
    <row r="42" ht="17.1" customHeight="1" s="107" thickTop="1">
      <c r="A42" s="110" t="inlineStr">
        <is>
          <t>27-5216</t>
        </is>
      </c>
      <c r="B42" s="26" t="n">
        <v>46196</v>
      </c>
      <c r="C42" s="111" t="n">
        <v>944</v>
      </c>
      <c r="D42" s="49" t="inlineStr">
        <is>
          <t>8/4</t>
        </is>
      </c>
      <c r="E42" s="112" t="n"/>
      <c r="F42" s="43" t="inlineStr">
        <is>
          <t>ｴﾌﾞﾘｨﾜｺﾞﾝ　PZﾀｰﾎﾞ</t>
        </is>
      </c>
      <c r="G42" s="34" t="inlineStr">
        <is>
          <t>11/4</t>
        </is>
      </c>
      <c r="H42" s="127" t="inlineStr">
        <is>
          <t>S</t>
        </is>
      </c>
      <c r="I42" s="114" t="n">
        <v>1651000</v>
      </c>
      <c r="J42" s="114">
        <f>I42*0.1</f>
        <v/>
      </c>
      <c r="K42" s="114" t="n">
        <v>0</v>
      </c>
      <c r="L42" s="114" t="n">
        <v>7150</v>
      </c>
      <c r="M42" s="114" t="n">
        <v>15950</v>
      </c>
      <c r="N42" s="114">
        <f>SUM(I42:M43)</f>
        <v/>
      </c>
      <c r="O42" s="115" t="n"/>
      <c r="P42" s="50" t="inlineStr">
        <is>
          <t>福山 581 せ 5281</t>
        </is>
      </c>
      <c r="Q42" s="27" t="inlineStr">
        <is>
          <t>予定</t>
        </is>
      </c>
      <c r="R42" s="47" t="n"/>
      <c r="S42" s="71" t="inlineStr">
        <is>
          <t>保証書　取説　ｷｰﾚｽ　ﾅﾝﾊﾞｰ</t>
        </is>
      </c>
      <c r="T42" s="40" t="n"/>
      <c r="U42" s="41" t="n"/>
      <c r="V42" s="116" t="n"/>
      <c r="W42" s="45" t="n"/>
      <c r="X42" s="117" t="n"/>
      <c r="Y42" s="114" t="n"/>
      <c r="Z42" s="114">
        <f>Y42*0.1</f>
        <v/>
      </c>
      <c r="AA42" s="114" t="n"/>
      <c r="AB42" s="114">
        <f>SUM(Y42:AA42)</f>
        <v/>
      </c>
      <c r="AC42" s="118" t="n"/>
    </row>
    <row r="43" ht="17.1" customHeight="1" s="107" thickBot="1">
      <c r="A43" s="119" t="n"/>
      <c r="B43" s="29" t="inlineStr">
        <is>
          <t>TAA広島</t>
        </is>
      </c>
      <c r="C43" s="29" t="n">
        <v>3043</v>
      </c>
      <c r="D43" s="73" t="inlineStr">
        <is>
          <t>黒</t>
        </is>
      </c>
      <c r="E43" s="120" t="n"/>
      <c r="F43" s="38" t="inlineStr">
        <is>
          <t>DA17W-378233</t>
        </is>
      </c>
      <c r="G43" s="121" t="n">
        <v>33</v>
      </c>
      <c r="H43" s="122" t="n"/>
      <c r="I43" s="123" t="n"/>
      <c r="J43" s="123" t="n"/>
      <c r="K43" s="123" t="n"/>
      <c r="L43" s="123" t="n"/>
      <c r="M43" s="123" t="n"/>
      <c r="N43" s="123" t="n"/>
      <c r="O43" s="124" t="n"/>
      <c r="P43" s="51" t="inlineStr">
        <is>
          <t>藤川 充文</t>
        </is>
      </c>
      <c r="Q43" s="30" t="inlineStr">
        <is>
          <t>着</t>
        </is>
      </c>
      <c r="R43" s="31" t="inlineStr">
        <is>
          <t>6/27</t>
        </is>
      </c>
      <c r="S43" s="48" t="inlineStr">
        <is>
          <t>保証書 取説 ｷｰﾚｽ ﾅﾝﾊﾞｰ</t>
        </is>
      </c>
      <c r="T43" s="69" t="n"/>
      <c r="U43" s="39" t="n"/>
      <c r="V43" s="125" t="n"/>
      <c r="W43" s="44" t="n"/>
      <c r="X43" s="39" t="n"/>
      <c r="Y43" s="123" t="n"/>
      <c r="Z43" s="123" t="n"/>
      <c r="AA43" s="123" t="n"/>
      <c r="AB43" s="123" t="n"/>
      <c r="AC43" s="126" t="n"/>
    </row>
    <row r="44" ht="17.1" customHeight="1" s="107" thickTop="1">
      <c r="A44" s="110" t="inlineStr">
        <is>
          <t>27-5217</t>
        </is>
      </c>
      <c r="B44" s="26" t="n">
        <v>46196</v>
      </c>
      <c r="C44" s="111" t="n">
        <v>944</v>
      </c>
      <c r="D44" s="49" t="inlineStr">
        <is>
          <t>30/11</t>
        </is>
      </c>
      <c r="E44" s="112" t="n"/>
      <c r="F44" s="43" t="inlineStr">
        <is>
          <t>ｱﾙﾄﾗﾊﾟﾝ　Sｾﾚｸｼｮﾝ</t>
        </is>
      </c>
      <c r="G44" s="34" t="n"/>
      <c r="H44" s="113" t="n">
        <v>3.5</v>
      </c>
      <c r="I44" s="114" t="n">
        <v>721000</v>
      </c>
      <c r="J44" s="114">
        <f>I44*0.1</f>
        <v/>
      </c>
      <c r="K44" s="114" t="n">
        <v>0</v>
      </c>
      <c r="L44" s="114" t="n">
        <v>7950</v>
      </c>
      <c r="M44" s="114" t="n">
        <v>15950</v>
      </c>
      <c r="N44" s="114">
        <f>SUM(I44:M45)</f>
        <v/>
      </c>
      <c r="O44" s="115" t="n"/>
      <c r="P44" s="50" t="inlineStr">
        <is>
          <t>福山 583 ろ 1728</t>
        </is>
      </c>
      <c r="Q44" s="27" t="inlineStr">
        <is>
          <t>予定</t>
        </is>
      </c>
      <c r="R44" s="47" t="n"/>
      <c r="S44" s="71" t="n"/>
      <c r="T44" s="40" t="n"/>
      <c r="U44" s="41" t="n"/>
      <c r="V44" s="116" t="n"/>
      <c r="W44" s="45" t="n"/>
      <c r="X44" s="117" t="n"/>
      <c r="Y44" s="114" t="n"/>
      <c r="Z44" s="114">
        <f>Y44*0.1</f>
        <v/>
      </c>
      <c r="AA44" s="114" t="n"/>
      <c r="AB44" s="114">
        <f>SUM(Y44:AA44)</f>
        <v/>
      </c>
      <c r="AC44" s="118" t="n"/>
    </row>
    <row r="45" ht="17.1" customHeight="1" s="107" thickBot="1">
      <c r="A45" s="119" t="n"/>
      <c r="B45" s="29" t="inlineStr">
        <is>
          <t>TAA広島</t>
        </is>
      </c>
      <c r="C45" s="29" t="n">
        <v>3095</v>
      </c>
      <c r="D45" s="73" t="inlineStr">
        <is>
          <t>ﾍﾞｰｼﾞｭ</t>
        </is>
      </c>
      <c r="E45" s="120" t="n"/>
      <c r="F45" s="38" t="inlineStr">
        <is>
          <t>HE33S-211506</t>
        </is>
      </c>
      <c r="G45" s="121" t="n">
        <v>50529</v>
      </c>
      <c r="H45" s="122" t="n"/>
      <c r="I45" s="123" t="n"/>
      <c r="J45" s="123" t="n"/>
      <c r="K45" s="123" t="n"/>
      <c r="L45" s="123" t="n"/>
      <c r="M45" s="123" t="n"/>
      <c r="N45" s="123" t="n"/>
      <c r="O45" s="124" t="n"/>
      <c r="P45" s="51" t="inlineStr">
        <is>
          <t>ｽﾊﾞﾙ中四国株式会社</t>
        </is>
      </c>
      <c r="Q45" s="30" t="inlineStr">
        <is>
          <t>着</t>
        </is>
      </c>
      <c r="R45" s="31" t="inlineStr">
        <is>
          <t>6/27</t>
        </is>
      </c>
      <c r="S45" s="48" t="n"/>
      <c r="T45" s="69" t="n"/>
      <c r="U45" s="39" t="n"/>
      <c r="V45" s="125" t="n"/>
      <c r="W45" s="44" t="n"/>
      <c r="X45" s="39" t="n"/>
      <c r="Y45" s="123" t="n"/>
      <c r="Z45" s="123" t="n"/>
      <c r="AA45" s="123" t="n"/>
      <c r="AB45" s="123" t="n"/>
      <c r="AC45" s="126" t="n"/>
    </row>
    <row r="46" ht="17.1" customHeight="1" s="107" thickTop="1">
      <c r="A46" s="110" t="inlineStr">
        <is>
          <t>27-5218</t>
        </is>
      </c>
      <c r="B46" s="26" t="n">
        <v>46196</v>
      </c>
      <c r="C46" s="111" t="n">
        <v>944</v>
      </c>
      <c r="D46" s="49" t="inlineStr">
        <is>
          <t>1/6</t>
        </is>
      </c>
      <c r="E46" s="112" t="n"/>
      <c r="F46" s="43" t="inlineStr">
        <is>
          <t>ｳｪｲｸ　Gﾀｰﾎﾞﾘﾐﾃｯﾄﾞ　SaⅢ</t>
        </is>
      </c>
      <c r="G46" s="34" t="n"/>
      <c r="H46" s="113" t="n">
        <v>4</v>
      </c>
      <c r="I46" s="114" t="n">
        <v>995000</v>
      </c>
      <c r="J46" s="114">
        <f>I46*0.1</f>
        <v/>
      </c>
      <c r="K46" s="114" t="n">
        <v>0</v>
      </c>
      <c r="L46" s="114" t="n">
        <v>9140</v>
      </c>
      <c r="M46" s="114" t="n">
        <v>15950</v>
      </c>
      <c r="N46" s="114">
        <f>SUM(I46:M47)</f>
        <v/>
      </c>
      <c r="O46" s="115" t="n"/>
      <c r="P46" s="50" t="inlineStr">
        <is>
          <t>広島 583 た 5611</t>
        </is>
      </c>
      <c r="Q46" s="27" t="inlineStr">
        <is>
          <t>予定</t>
        </is>
      </c>
      <c r="R46" s="47" t="n"/>
      <c r="S46" s="71" t="n"/>
      <c r="T46" s="40" t="n"/>
      <c r="U46" s="41" t="n"/>
      <c r="V46" s="116" t="n"/>
      <c r="W46" s="45" t="n"/>
      <c r="X46" s="117" t="n"/>
      <c r="Y46" s="114" t="n"/>
      <c r="Z46" s="114">
        <f>Y46*0.1</f>
        <v/>
      </c>
      <c r="AA46" s="114" t="n"/>
      <c r="AB46" s="114">
        <f>SUM(Y46:AA46)</f>
        <v/>
      </c>
      <c r="AC46" s="118" t="n"/>
    </row>
    <row r="47" ht="17.1" customHeight="1" s="107" thickBot="1">
      <c r="A47" s="119" t="n"/>
      <c r="B47" s="29" t="inlineStr">
        <is>
          <t>TAA広島</t>
        </is>
      </c>
      <c r="C47" s="29" t="n">
        <v>3104</v>
      </c>
      <c r="D47" s="73" t="inlineStr">
        <is>
          <t>黒</t>
        </is>
      </c>
      <c r="E47" s="120" t="n"/>
      <c r="F47" s="38" t="inlineStr">
        <is>
          <t>LA700S-0140889</t>
        </is>
      </c>
      <c r="G47" s="121" t="n">
        <v>24409</v>
      </c>
      <c r="H47" s="122" t="n"/>
      <c r="I47" s="123" t="n"/>
      <c r="J47" s="123" t="n"/>
      <c r="K47" s="123" t="n"/>
      <c r="L47" s="123" t="n"/>
      <c r="M47" s="123" t="n"/>
      <c r="N47" s="123" t="n"/>
      <c r="O47" s="124" t="n"/>
      <c r="P47" s="51" t="inlineStr">
        <is>
          <t>ﾄﾖﾀｶﾛｰﾗ広島株式会社</t>
        </is>
      </c>
      <c r="Q47" s="30" t="inlineStr">
        <is>
          <t>着</t>
        </is>
      </c>
      <c r="R47" s="31" t="inlineStr">
        <is>
          <t>6/27</t>
        </is>
      </c>
      <c r="S47" s="48" t="inlineStr">
        <is>
          <t>地図SD(車内)</t>
        </is>
      </c>
      <c r="T47" s="69" t="n"/>
      <c r="U47" s="39" t="n"/>
      <c r="V47" s="125" t="n"/>
      <c r="W47" s="44" t="n"/>
      <c r="X47" s="39" t="n"/>
      <c r="Y47" s="123" t="n"/>
      <c r="Z47" s="123" t="n"/>
      <c r="AA47" s="123" t="n"/>
      <c r="AB47" s="123" t="n"/>
      <c r="AC47" s="126" t="n"/>
    </row>
    <row r="48" ht="17.1" customHeight="1" s="107" thickTop="1">
      <c r="A48" s="110" t="inlineStr">
        <is>
          <t>27-5219</t>
        </is>
      </c>
      <c r="B48" s="26" t="n">
        <v>46196</v>
      </c>
      <c r="C48" s="111" t="n">
        <v>944</v>
      </c>
      <c r="D48" s="74" t="inlineStr">
        <is>
          <t>1/6</t>
        </is>
      </c>
      <c r="E48" s="128" t="n"/>
      <c r="F48" s="76" t="inlineStr">
        <is>
          <t>ﾀﾝﾄ　X　VS　SaⅢ</t>
        </is>
      </c>
      <c r="G48" s="77" t="n"/>
      <c r="H48" s="129" t="n">
        <v>3.5</v>
      </c>
      <c r="I48" s="130" t="n">
        <v>535000</v>
      </c>
      <c r="J48" s="130">
        <f>I48*0.1</f>
        <v/>
      </c>
      <c r="K48" s="130" t="n">
        <v>0</v>
      </c>
      <c r="L48" s="130" t="n">
        <v>9200</v>
      </c>
      <c r="M48" s="114" t="n">
        <v>15950</v>
      </c>
      <c r="N48" s="130">
        <f>SUM(I48:M49)</f>
        <v/>
      </c>
      <c r="O48" s="131" t="n"/>
      <c r="P48" s="81" t="inlineStr">
        <is>
          <t>なにわ 5X2 ろ 5879</t>
        </is>
      </c>
      <c r="Q48" s="82" t="inlineStr">
        <is>
          <t>予定</t>
        </is>
      </c>
      <c r="R48" s="83" t="n"/>
      <c r="S48" s="84" t="n"/>
      <c r="T48" s="85" t="n"/>
      <c r="U48" s="86" t="n"/>
      <c r="V48" s="132" t="n"/>
      <c r="W48" s="88" t="n"/>
      <c r="X48" s="133" t="n"/>
      <c r="Y48" s="130" t="n"/>
      <c r="Z48" s="130">
        <f>Y48*0.1</f>
        <v/>
      </c>
      <c r="AA48" s="130" t="n"/>
      <c r="AB48" s="130">
        <f>SUM(Y48:AA48)</f>
        <v/>
      </c>
      <c r="AC48" s="134" t="n"/>
    </row>
    <row r="49" ht="17.1" customHeight="1" s="107" thickBot="1">
      <c r="A49" s="119" t="n"/>
      <c r="B49" s="29" t="inlineStr">
        <is>
          <t>TAA広島</t>
        </is>
      </c>
      <c r="C49" s="29" t="n">
        <v>3139</v>
      </c>
      <c r="D49" s="91" t="inlineStr">
        <is>
          <t>赤</t>
        </is>
      </c>
      <c r="E49" s="120" t="n"/>
      <c r="F49" s="93" t="inlineStr">
        <is>
          <t>LA600S-0793092</t>
        </is>
      </c>
      <c r="G49" s="135" t="n">
        <v>55533</v>
      </c>
      <c r="H49" s="122" t="n"/>
      <c r="I49" s="123" t="n"/>
      <c r="J49" s="123" t="n"/>
      <c r="K49" s="123" t="n"/>
      <c r="L49" s="123" t="n"/>
      <c r="M49" s="123" t="n"/>
      <c r="N49" s="123" t="n"/>
      <c r="O49" s="124" t="n"/>
      <c r="P49" s="98" t="inlineStr">
        <is>
          <t>株式会社ｶｰﾈｸｽﾄ</t>
        </is>
      </c>
      <c r="Q49" s="99" t="inlineStr">
        <is>
          <t>着</t>
        </is>
      </c>
      <c r="R49" s="100" t="inlineStr">
        <is>
          <t>6/27</t>
        </is>
      </c>
      <c r="S49" s="101" t="inlineStr">
        <is>
          <t>保証書 取説 ｷｰﾚｽ 地図SD(車内)</t>
        </is>
      </c>
      <c r="T49" s="102" t="n"/>
      <c r="U49" s="103" t="n"/>
      <c r="V49" s="136" t="n"/>
      <c r="W49" s="105" t="n"/>
      <c r="X49" s="103" t="n"/>
      <c r="Y49" s="123" t="n"/>
      <c r="Z49" s="123" t="n"/>
      <c r="AA49" s="123" t="n"/>
      <c r="AB49" s="123" t="n"/>
      <c r="AC49" s="126" t="n"/>
    </row>
    <row r="50" ht="17.1" customHeight="1" s="107" thickTop="1">
      <c r="A50" s="110" t="inlineStr">
        <is>
          <t>27-5220</t>
        </is>
      </c>
      <c r="B50" s="26" t="n">
        <v>46196</v>
      </c>
      <c r="C50" s="111" t="n">
        <v>944</v>
      </c>
      <c r="D50" s="49" t="inlineStr">
        <is>
          <t>23/7</t>
        </is>
      </c>
      <c r="E50" s="112" t="n"/>
      <c r="F50" s="43" t="inlineStr">
        <is>
          <t>ﾜｺﾞﾝR　FXﾘﾐﾃｯﾄﾞ</t>
        </is>
      </c>
      <c r="G50" s="34" t="n"/>
      <c r="H50" s="113" t="n">
        <v>4</v>
      </c>
      <c r="I50" s="114" t="n">
        <v>168000</v>
      </c>
      <c r="J50" s="114">
        <f>I50*0.1</f>
        <v/>
      </c>
      <c r="K50" s="114" t="n">
        <v>0</v>
      </c>
      <c r="L50" s="114" t="n">
        <v>9880</v>
      </c>
      <c r="M50" s="114" t="n">
        <v>15950</v>
      </c>
      <c r="N50" s="114">
        <f>SUM(I50:M51)</f>
        <v/>
      </c>
      <c r="O50" s="115" t="n"/>
      <c r="P50" s="50" t="n"/>
      <c r="Q50" s="27" t="inlineStr">
        <is>
          <t>予定</t>
        </is>
      </c>
      <c r="R50" s="47" t="n"/>
      <c r="S50" s="71" t="n"/>
      <c r="T50" s="40" t="n"/>
      <c r="U50" s="41" t="n"/>
      <c r="V50" s="116" t="n"/>
      <c r="W50" s="45" t="n">
        <v>46200</v>
      </c>
      <c r="X50" s="117" t="n">
        <v>1306</v>
      </c>
      <c r="Y50" s="114" t="n">
        <v>270000</v>
      </c>
      <c r="Z50" s="114">
        <f>Y50*0.1</f>
        <v/>
      </c>
      <c r="AA50" s="114" t="n">
        <v>9880</v>
      </c>
      <c r="AB50" s="114">
        <f>SUM(Y50:AA50)</f>
        <v/>
      </c>
      <c r="AC50" s="118" t="n"/>
    </row>
    <row r="51" ht="17.1" customHeight="1" s="107" thickBot="1">
      <c r="A51" s="119" t="n"/>
      <c r="B51" s="29" t="inlineStr">
        <is>
          <t>TAA広島</t>
        </is>
      </c>
      <c r="C51" s="29" t="n">
        <v>4136</v>
      </c>
      <c r="D51" s="73" t="inlineStr">
        <is>
          <t>ｼﾙﾊﾞｰ</t>
        </is>
      </c>
      <c r="E51" s="120" t="n"/>
      <c r="F51" s="38" t="inlineStr">
        <is>
          <t>MH23S-761518</t>
        </is>
      </c>
      <c r="G51" s="121" t="n">
        <v>22388</v>
      </c>
      <c r="H51" s="122" t="n"/>
      <c r="I51" s="123" t="n"/>
      <c r="J51" s="123" t="n"/>
      <c r="K51" s="123" t="n"/>
      <c r="L51" s="123" t="n"/>
      <c r="M51" s="123" t="n"/>
      <c r="N51" s="123" t="n"/>
      <c r="O51" s="124" t="n"/>
      <c r="P51" s="51" t="n"/>
      <c r="Q51" s="30" t="inlineStr">
        <is>
          <t>着</t>
        </is>
      </c>
      <c r="R51" s="31" t="n"/>
      <c r="S51" s="48" t="n"/>
      <c r="T51" s="69" t="n"/>
      <c r="U51" s="39" t="n"/>
      <c r="V51" s="125" t="n"/>
      <c r="W51" s="44" t="inlineStr">
        <is>
          <t>HAA神戸</t>
        </is>
      </c>
      <c r="X51" s="39" t="n">
        <v>60346</v>
      </c>
      <c r="Y51" s="123" t="n"/>
      <c r="Z51" s="123" t="n"/>
      <c r="AA51" s="123" t="n"/>
      <c r="AB51" s="123" t="n"/>
      <c r="AC51" s="126" t="n"/>
    </row>
    <row r="52" ht="17.1" customHeight="1" s="107" thickTop="1">
      <c r="A52" s="110" t="inlineStr">
        <is>
          <t>27-5221</t>
        </is>
      </c>
      <c r="B52" s="26" t="n">
        <v>46196</v>
      </c>
      <c r="C52" s="111" t="n">
        <v>944</v>
      </c>
      <c r="D52" s="49" t="inlineStr">
        <is>
          <t>3/7</t>
        </is>
      </c>
      <c r="E52" s="112" t="n"/>
      <c r="F52" s="43" t="inlineStr">
        <is>
          <t>BMWﾐﾆｸｰﾊﾟｰD</t>
        </is>
      </c>
      <c r="G52" s="34" t="n"/>
      <c r="H52" s="113" t="n">
        <v>4.5</v>
      </c>
      <c r="I52" s="114" t="n">
        <v>1097000</v>
      </c>
      <c r="J52" s="114">
        <f>I52*0.1</f>
        <v/>
      </c>
      <c r="K52" s="114" t="n">
        <v>0</v>
      </c>
      <c r="L52" s="114" t="n">
        <v>17600</v>
      </c>
      <c r="M52" s="114" t="n">
        <v>15950</v>
      </c>
      <c r="N52" s="114">
        <f>SUM(I52:M53)</f>
        <v/>
      </c>
      <c r="O52" s="115" t="n"/>
      <c r="P52" s="50" t="inlineStr">
        <is>
          <t>山口 332 そ 3298</t>
        </is>
      </c>
      <c r="Q52" s="27" t="inlineStr">
        <is>
          <t>予定</t>
        </is>
      </c>
      <c r="R52" s="47" t="n"/>
      <c r="S52" s="71" t="inlineStr">
        <is>
          <t>保証書</t>
        </is>
      </c>
      <c r="T52" s="40" t="n"/>
      <c r="U52" s="41" t="n"/>
      <c r="V52" s="116" t="n"/>
      <c r="W52" s="45" t="n"/>
      <c r="X52" s="117" t="n"/>
      <c r="Y52" s="114" t="n"/>
      <c r="Z52" s="114">
        <f>Y52*0.1</f>
        <v/>
      </c>
      <c r="AA52" s="114" t="n"/>
      <c r="AB52" s="114">
        <f>SUM(Y52:AA52)</f>
        <v/>
      </c>
      <c r="AC52" s="118" t="n"/>
    </row>
    <row r="53" ht="17.1" customHeight="1" s="107" thickBot="1">
      <c r="A53" s="119" t="n"/>
      <c r="B53" s="29" t="inlineStr">
        <is>
          <t>TAA広島</t>
        </is>
      </c>
      <c r="C53" s="29" t="n">
        <v>30018</v>
      </c>
      <c r="D53" s="73" t="inlineStr">
        <is>
          <t>白</t>
        </is>
      </c>
      <c r="E53" s="120" t="n"/>
      <c r="F53" s="38" t="inlineStr">
        <is>
          <t>WMW12DV0402P84926</t>
        </is>
      </c>
      <c r="G53" s="121" t="n">
        <v>85768</v>
      </c>
      <c r="H53" s="122" t="n"/>
      <c r="I53" s="123" t="n"/>
      <c r="J53" s="123" t="n"/>
      <c r="K53" s="123" t="n"/>
      <c r="L53" s="123" t="n"/>
      <c r="M53" s="123" t="n"/>
      <c r="N53" s="123" t="n"/>
      <c r="O53" s="124" t="n"/>
      <c r="P53" s="51" t="inlineStr">
        <is>
          <t>山口ﾏﾂﾀﾞ株式会社</t>
        </is>
      </c>
      <c r="Q53" s="30" t="inlineStr">
        <is>
          <t>着</t>
        </is>
      </c>
      <c r="R53" s="31" t="inlineStr">
        <is>
          <t>6/26</t>
        </is>
      </c>
      <c r="S53" s="48" t="inlineStr">
        <is>
          <t>取説 ｷｰﾚｽ(車内)保証書</t>
        </is>
      </c>
      <c r="T53" s="69" t="n"/>
      <c r="U53" s="39" t="n"/>
      <c r="V53" s="125" t="n"/>
      <c r="W53" s="44" t="n"/>
      <c r="X53" s="39" t="n"/>
      <c r="Y53" s="123" t="n"/>
      <c r="Z53" s="123" t="n"/>
      <c r="AA53" s="123" t="n"/>
      <c r="AB53" s="123" t="n"/>
      <c r="AC53" s="126" t="n"/>
    </row>
    <row r="54" ht="17.1" customHeight="1" s="107" thickTop="1">
      <c r="A54" s="110" t="inlineStr">
        <is>
          <t>27-5222</t>
        </is>
      </c>
      <c r="B54" s="26" t="n">
        <v>46196</v>
      </c>
      <c r="C54" s="111" t="n">
        <v>1245</v>
      </c>
      <c r="D54" s="49" t="inlineStr">
        <is>
          <t>1/6</t>
        </is>
      </c>
      <c r="E54" s="112" t="n"/>
      <c r="F54" s="43" t="inlineStr">
        <is>
          <t>VWｻﾞﾋﾞｰﾄﾙ</t>
        </is>
      </c>
      <c r="G54" s="34" t="n"/>
      <c r="H54" s="113" t="n">
        <v>4</v>
      </c>
      <c r="I54" s="114" t="n">
        <v>1265000</v>
      </c>
      <c r="J54" s="114">
        <f>I54*0.1</f>
        <v/>
      </c>
      <c r="K54" s="114" t="n">
        <v>0</v>
      </c>
      <c r="L54" s="114" t="n">
        <v>12450</v>
      </c>
      <c r="M54" s="114" t="n">
        <v>15950</v>
      </c>
      <c r="N54" s="114">
        <f>SUM(I54:M55)</f>
        <v/>
      </c>
      <c r="O54" s="115" t="n"/>
      <c r="P54" s="50" t="inlineStr">
        <is>
          <t>福岡 302 め 2098</t>
        </is>
      </c>
      <c r="Q54" s="27" t="inlineStr">
        <is>
          <t>予定</t>
        </is>
      </c>
      <c r="R54" s="47" t="n"/>
      <c r="S54" s="71" t="n"/>
      <c r="T54" s="40" t="n"/>
      <c r="U54" s="41" t="n"/>
      <c r="V54" s="116" t="n"/>
      <c r="W54" s="45" t="n">
        <v>46200</v>
      </c>
      <c r="X54" s="117" t="n">
        <v>1306</v>
      </c>
      <c r="Y54" s="114" t="n">
        <v>1505000</v>
      </c>
      <c r="Z54" s="114">
        <f>Y54*0.1</f>
        <v/>
      </c>
      <c r="AA54" s="114" t="n">
        <v>12450</v>
      </c>
      <c r="AB54" s="114">
        <f>SUM(Y54:AA54)</f>
        <v/>
      </c>
      <c r="AC54" s="118" t="n"/>
    </row>
    <row r="55" ht="17.1" customHeight="1" s="107" thickBot="1">
      <c r="A55" s="119" t="n"/>
      <c r="B55" s="29" t="inlineStr">
        <is>
          <t>TAA九州</t>
        </is>
      </c>
      <c r="C55" s="29" t="n">
        <v>5046</v>
      </c>
      <c r="D55" s="73" t="inlineStr">
        <is>
          <t>赤</t>
        </is>
      </c>
      <c r="E55" s="120" t="n"/>
      <c r="F55" s="38" t="inlineStr">
        <is>
          <t>WVWZZZ16ZKM712926</t>
        </is>
      </c>
      <c r="G55" s="121" t="n">
        <v>36799</v>
      </c>
      <c r="H55" s="122" t="n"/>
      <c r="I55" s="123" t="n"/>
      <c r="J55" s="123" t="n"/>
      <c r="K55" s="123" t="n"/>
      <c r="L55" s="123" t="n"/>
      <c r="M55" s="123" t="n"/>
      <c r="N55" s="123" t="n"/>
      <c r="O55" s="124" t="n"/>
      <c r="P55" s="51" t="inlineStr">
        <is>
          <t>福岡ﾄﾖﾀ自動車株式会社</t>
        </is>
      </c>
      <c r="Q55" s="30" t="inlineStr">
        <is>
          <t>着</t>
        </is>
      </c>
      <c r="R55" s="31" t="inlineStr">
        <is>
          <t>6/26</t>
        </is>
      </c>
      <c r="S55" s="48" t="inlineStr">
        <is>
          <t>車内取説・ｷｰﾚｽ写メあり</t>
        </is>
      </c>
      <c r="T55" s="69" t="n"/>
      <c r="U55" s="39" t="n"/>
      <c r="V55" s="125" t="n"/>
      <c r="W55" s="44" t="inlineStr">
        <is>
          <t>HAA神戸</t>
        </is>
      </c>
      <c r="X55" s="39" t="n">
        <v>80468</v>
      </c>
      <c r="Y55" s="123" t="n"/>
      <c r="Z55" s="123" t="n"/>
      <c r="AA55" s="123" t="n"/>
      <c r="AB55" s="123" t="n"/>
      <c r="AC55" s="126" t="n"/>
    </row>
    <row r="56" ht="17.1" customHeight="1" s="107" thickTop="1">
      <c r="A56" s="110" t="inlineStr">
        <is>
          <t>27-5223</t>
        </is>
      </c>
      <c r="B56" s="26" t="n">
        <v>46196</v>
      </c>
      <c r="C56" s="111" t="n">
        <v>1245</v>
      </c>
      <c r="D56" s="49" t="inlineStr">
        <is>
          <t>29/12</t>
        </is>
      </c>
      <c r="E56" s="112" t="n"/>
      <c r="F56" s="43" t="inlineStr">
        <is>
          <t>ﾎﾞﾙﾎﾞ S60</t>
        </is>
      </c>
      <c r="G56" s="34" t="n"/>
      <c r="H56" s="113" t="n">
        <v>4</v>
      </c>
      <c r="I56" s="114" t="n">
        <v>821000</v>
      </c>
      <c r="J56" s="114">
        <f>I56*0.1</f>
        <v/>
      </c>
      <c r="K56" s="114" t="n">
        <v>0</v>
      </c>
      <c r="L56" s="114" t="n">
        <v>22050</v>
      </c>
      <c r="M56" s="114" t="n">
        <v>15950</v>
      </c>
      <c r="N56" s="114">
        <f>SUM(I56:M57)</f>
        <v/>
      </c>
      <c r="O56" s="115" t="n"/>
      <c r="P56" s="50" t="inlineStr">
        <is>
          <t>福岡 331 た 1084</t>
        </is>
      </c>
      <c r="Q56" s="27" t="inlineStr">
        <is>
          <t>予定</t>
        </is>
      </c>
      <c r="R56" s="47" t="n"/>
      <c r="S56" s="71" t="n"/>
      <c r="T56" s="40" t="n"/>
      <c r="U56" s="41" t="n"/>
      <c r="V56" s="116" t="n"/>
      <c r="W56" s="45" t="n"/>
      <c r="X56" s="117" t="n"/>
      <c r="Y56" s="114" t="n"/>
      <c r="Z56" s="114">
        <f>Y56*0.1</f>
        <v/>
      </c>
      <c r="AA56" s="114" t="n"/>
      <c r="AB56" s="114">
        <f>SUM(Y56:AA56)</f>
        <v/>
      </c>
      <c r="AC56" s="118" t="n"/>
    </row>
    <row r="57" ht="17.1" customHeight="1" s="107" thickBot="1">
      <c r="A57" s="119" t="n"/>
      <c r="B57" s="29" t="inlineStr">
        <is>
          <t>TAA九州</t>
        </is>
      </c>
      <c r="C57" s="29" t="n">
        <v>5056</v>
      </c>
      <c r="D57" s="73" t="inlineStr">
        <is>
          <t>白</t>
        </is>
      </c>
      <c r="E57" s="120" t="n"/>
      <c r="F57" s="38" t="inlineStr">
        <is>
          <t>YV1FS40MDJ2456403</t>
        </is>
      </c>
      <c r="G57" s="121" t="n">
        <v>37019</v>
      </c>
      <c r="H57" s="122" t="n"/>
      <c r="I57" s="123" t="n"/>
      <c r="J57" s="123" t="n"/>
      <c r="K57" s="123" t="n"/>
      <c r="L57" s="123" t="n"/>
      <c r="M57" s="123" t="n"/>
      <c r="N57" s="123" t="n"/>
      <c r="O57" s="124" t="n"/>
      <c r="P57" s="51" t="inlineStr">
        <is>
          <t>ﾄﾖﾀｶﾛｰﾗ福岡株式会社</t>
        </is>
      </c>
      <c r="Q57" s="30" t="inlineStr">
        <is>
          <t>着</t>
        </is>
      </c>
      <c r="R57" s="31" t="inlineStr">
        <is>
          <t>6/27</t>
        </is>
      </c>
      <c r="S57" s="48" t="n"/>
      <c r="T57" s="69" t="n"/>
      <c r="U57" s="39" t="n"/>
      <c r="V57" s="125" t="n"/>
      <c r="W57" s="44" t="n"/>
      <c r="X57" s="39" t="n"/>
      <c r="Y57" s="123" t="n"/>
      <c r="Z57" s="123" t="n"/>
      <c r="AA57" s="123" t="n"/>
      <c r="AB57" s="123" t="n"/>
      <c r="AC57" s="126" t="n"/>
    </row>
    <row r="58" ht="17.1" customHeight="1" s="107" thickTop="1">
      <c r="A58" s="110" t="inlineStr">
        <is>
          <t>27-5224</t>
        </is>
      </c>
      <c r="B58" s="26" t="n">
        <v>46196</v>
      </c>
      <c r="C58" s="111" t="n">
        <v>1098</v>
      </c>
      <c r="D58" s="49" t="inlineStr">
        <is>
          <t>4/9</t>
        </is>
      </c>
      <c r="E58" s="112" t="n"/>
      <c r="F58" s="43" t="inlineStr">
        <is>
          <t>ﾌﾟｼﾞｮｰ3008　GT</t>
        </is>
      </c>
      <c r="G58" s="34" t="inlineStr">
        <is>
          <t>9/9/29</t>
        </is>
      </c>
      <c r="H58" s="113" t="n">
        <v>4.5</v>
      </c>
      <c r="I58" s="114" t="n">
        <v>1975000</v>
      </c>
      <c r="J58" s="114">
        <f>I58*0.1</f>
        <v/>
      </c>
      <c r="K58" s="114" t="n">
        <v>29700</v>
      </c>
      <c r="L58" s="114" t="n">
        <v>18930</v>
      </c>
      <c r="M58" s="114" t="n">
        <v>16500</v>
      </c>
      <c r="N58" s="114">
        <f>SUM(I58:M59)</f>
        <v/>
      </c>
      <c r="O58" s="115" t="n"/>
      <c r="P58" s="50" t="inlineStr">
        <is>
          <t>横浜　306　に　5461</t>
        </is>
      </c>
      <c r="Q58" s="27" t="inlineStr">
        <is>
          <t>予定</t>
        </is>
      </c>
      <c r="R58" s="47" t="n"/>
      <c r="S58" s="71" t="inlineStr">
        <is>
          <t>保証書　取説　ｽﾍﾟｱｷｰ</t>
        </is>
      </c>
      <c r="T58" s="40" t="n"/>
      <c r="U58" s="41" t="n"/>
      <c r="V58" s="116" t="n"/>
      <c r="W58" s="45" t="n"/>
      <c r="X58" s="117" t="n"/>
      <c r="Y58" s="114" t="n"/>
      <c r="Z58" s="114">
        <f>Y58*0.1</f>
        <v/>
      </c>
      <c r="AA58" s="114" t="n"/>
      <c r="AB58" s="114">
        <f>SUM(Y58:AA58)</f>
        <v/>
      </c>
      <c r="AC58" s="118" t="n"/>
    </row>
    <row r="59" ht="17.1" customHeight="1" s="107" thickBot="1">
      <c r="A59" s="119" t="n"/>
      <c r="B59" s="29" t="inlineStr">
        <is>
          <t>USS横浜</t>
        </is>
      </c>
      <c r="C59" s="29" t="n">
        <v>82092</v>
      </c>
      <c r="D59" s="73" t="inlineStr">
        <is>
          <t>ｸﾞﾘｰﾝ</t>
        </is>
      </c>
      <c r="E59" s="120" t="n"/>
      <c r="F59" s="38" t="inlineStr">
        <is>
          <t>VF3M45GFUNS066359</t>
        </is>
      </c>
      <c r="G59" s="121" t="n">
        <v>20048</v>
      </c>
      <c r="H59" s="122" t="n"/>
      <c r="I59" s="123" t="n"/>
      <c r="J59" s="123" t="n"/>
      <c r="K59" s="123" t="n"/>
      <c r="L59" s="123" t="n"/>
      <c r="M59" s="123" t="n"/>
      <c r="N59" s="123" t="n"/>
      <c r="O59" s="124" t="n"/>
      <c r="P59" s="51" t="n"/>
      <c r="Q59" s="30" t="inlineStr">
        <is>
          <t>着</t>
        </is>
      </c>
      <c r="R59" s="31" t="n"/>
      <c r="S59" s="48" t="n"/>
      <c r="T59" s="69" t="n"/>
      <c r="U59" s="39" t="n"/>
      <c r="V59" s="125" t="n"/>
      <c r="W59" s="44" t="n"/>
      <c r="X59" s="39" t="n"/>
      <c r="Y59" s="123" t="n"/>
      <c r="Z59" s="123" t="n"/>
      <c r="AA59" s="123" t="n"/>
      <c r="AB59" s="123" t="n"/>
      <c r="AC59" s="126" t="n"/>
    </row>
    <row r="60" ht="17.1" customHeight="1" s="107" thickTop="1">
      <c r="A60" s="110" t="inlineStr">
        <is>
          <t>27-5225</t>
        </is>
      </c>
      <c r="B60" s="26" t="n">
        <v>46196</v>
      </c>
      <c r="C60" s="111" t="n">
        <v>1098</v>
      </c>
      <c r="D60" s="74" t="inlineStr">
        <is>
          <t>30/9</t>
        </is>
      </c>
      <c r="E60" s="128" t="n"/>
      <c r="F60" s="76" t="inlineStr">
        <is>
          <t>BMWﾐﾆｸｰﾊﾟｰ　ｸﾗﾌﾞﾏﾝ　ﾍﾟｯﾊﾟｰP</t>
        </is>
      </c>
      <c r="G60" s="77" t="inlineStr">
        <is>
          <t>9/9/26</t>
        </is>
      </c>
      <c r="H60" s="129" t="n">
        <v>4.5</v>
      </c>
      <c r="I60" s="130" t="n">
        <v>1063000</v>
      </c>
      <c r="J60" s="130">
        <f>I60*0.1</f>
        <v/>
      </c>
      <c r="K60" s="130" t="n">
        <v>58080.00000000001</v>
      </c>
      <c r="L60" s="130" t="n">
        <v>38370</v>
      </c>
      <c r="M60" s="130" t="n">
        <v>33000</v>
      </c>
      <c r="N60" s="130">
        <f>SUM(I60:M61)</f>
        <v/>
      </c>
      <c r="O60" s="131" t="n"/>
      <c r="P60" s="81" t="inlineStr">
        <is>
          <t>湘南　302　に　4975</t>
        </is>
      </c>
      <c r="Q60" s="82" t="inlineStr">
        <is>
          <t>予定</t>
        </is>
      </c>
      <c r="R60" s="83" t="n"/>
      <c r="S60" s="84" t="n"/>
      <c r="T60" s="85" t="n"/>
      <c r="U60" s="86" t="n"/>
      <c r="V60" s="132" t="n"/>
      <c r="W60" s="88" t="n"/>
      <c r="X60" s="133" t="n"/>
      <c r="Y60" s="130" t="n"/>
      <c r="Z60" s="130">
        <f>Y60*0.1</f>
        <v/>
      </c>
      <c r="AA60" s="130" t="n"/>
      <c r="AB60" s="130">
        <f>SUM(Y60:AA60)</f>
        <v/>
      </c>
      <c r="AC60" s="134" t="n"/>
    </row>
    <row r="61" ht="17.1" customHeight="1" s="107" thickBot="1">
      <c r="A61" s="119" t="n"/>
      <c r="B61" s="29" t="inlineStr">
        <is>
          <t>USS横浜</t>
        </is>
      </c>
      <c r="C61" s="29" t="n">
        <v>84221</v>
      </c>
      <c r="D61" s="91" t="inlineStr">
        <is>
          <t>ｸﾞﾚｰ</t>
        </is>
      </c>
      <c r="E61" s="120" t="n"/>
      <c r="F61" s="93" t="inlineStr">
        <is>
          <t>WMWLN320302H09281</t>
        </is>
      </c>
      <c r="G61" s="135" t="n">
        <v>53593</v>
      </c>
      <c r="H61" s="122" t="n"/>
      <c r="I61" s="123" t="n"/>
      <c r="J61" s="123" t="n"/>
      <c r="K61" s="123" t="n"/>
      <c r="L61" s="123" t="n"/>
      <c r="M61" s="123" t="n"/>
      <c r="N61" s="123" t="n"/>
      <c r="O61" s="124" t="n"/>
      <c r="P61" s="98" t="inlineStr">
        <is>
          <t>株式会社ｴｺﾆﾐｰ湘南</t>
        </is>
      </c>
      <c r="Q61" s="99" t="inlineStr">
        <is>
          <t>着</t>
        </is>
      </c>
      <c r="R61" s="100" t="inlineStr">
        <is>
          <t>6/26</t>
        </is>
      </c>
      <c r="S61" s="101" t="inlineStr">
        <is>
          <t>記録紙1枚 ｷｰﾚｽ</t>
        </is>
      </c>
      <c r="T61" s="102" t="n"/>
      <c r="U61" s="103" t="n"/>
      <c r="V61" s="136" t="n"/>
      <c r="W61" s="105" t="n"/>
      <c r="X61" s="103" t="n"/>
      <c r="Y61" s="123" t="n"/>
      <c r="Z61" s="123" t="n"/>
      <c r="AA61" s="123" t="n"/>
      <c r="AB61" s="123" t="n"/>
      <c r="AC61" s="126" t="n"/>
    </row>
    <row r="62" ht="17.1" customHeight="1" s="107" thickTop="1">
      <c r="A62" s="110" t="inlineStr">
        <is>
          <t>27-5226</t>
        </is>
      </c>
      <c r="B62" s="26" t="n">
        <v>46196</v>
      </c>
      <c r="C62" s="111" t="n">
        <v>995</v>
      </c>
      <c r="D62" s="49" t="inlineStr">
        <is>
          <t>4/6</t>
        </is>
      </c>
      <c r="E62" s="112" t="n"/>
      <c r="F62" s="43" t="inlineStr">
        <is>
          <t>ｽﾍﾟｰｼｱ　ﾊｲﾌﾞﾘｯﾄﾞX</t>
        </is>
      </c>
      <c r="G62" s="34" t="n"/>
      <c r="H62" s="113" t="n">
        <v>4</v>
      </c>
      <c r="I62" s="114" t="n">
        <v>863000</v>
      </c>
      <c r="J62" s="114">
        <f>I62*0.1</f>
        <v/>
      </c>
      <c r="K62" s="114" t="n">
        <v>0</v>
      </c>
      <c r="L62" s="114" t="n">
        <v>7040</v>
      </c>
      <c r="M62" s="114" t="n">
        <v>22000</v>
      </c>
      <c r="N62" s="114">
        <f>SUM(I62:M63)</f>
        <v/>
      </c>
      <c r="O62" s="115" t="n"/>
      <c r="P62" s="50" t="n"/>
      <c r="Q62" s="27" t="inlineStr">
        <is>
          <t>予定</t>
        </is>
      </c>
      <c r="R62" s="47" t="n"/>
      <c r="S62" s="71" t="inlineStr">
        <is>
          <t>保証書　ﾚﾝﾀｶｰ</t>
        </is>
      </c>
      <c r="T62" s="40" t="n"/>
      <c r="U62" s="41" t="n"/>
      <c r="V62" s="116" t="n"/>
      <c r="W62" s="45" t="n"/>
      <c r="X62" s="117" t="n"/>
      <c r="Y62" s="114" t="n"/>
      <c r="Z62" s="114">
        <f>Y62*0.1</f>
        <v/>
      </c>
      <c r="AA62" s="114" t="n"/>
      <c r="AB62" s="114">
        <f>SUM(Y62:AA62)</f>
        <v/>
      </c>
      <c r="AC62" s="118" t="n"/>
    </row>
    <row r="63" ht="17.1" customHeight="1" s="107" thickBot="1">
      <c r="A63" s="119" t="n"/>
      <c r="B63" s="29" t="inlineStr">
        <is>
          <t>ｵﾘｯｸｽ神戸</t>
        </is>
      </c>
      <c r="C63" s="29" t="n">
        <v>60</v>
      </c>
      <c r="D63" s="73" t="inlineStr">
        <is>
          <t>ｼﾙﾊﾞｰ</t>
        </is>
      </c>
      <c r="E63" s="120" t="n"/>
      <c r="F63" s="38" t="inlineStr">
        <is>
          <t>MK53S-410561</t>
        </is>
      </c>
      <c r="G63" s="121" t="n">
        <v>47420</v>
      </c>
      <c r="H63" s="122" t="n"/>
      <c r="I63" s="123" t="n"/>
      <c r="J63" s="123" t="n"/>
      <c r="K63" s="123" t="n"/>
      <c r="L63" s="123" t="n"/>
      <c r="M63" s="123" t="n"/>
      <c r="N63" s="123" t="n"/>
      <c r="O63" s="124" t="n"/>
      <c r="P63" s="51" t="n"/>
      <c r="Q63" s="30" t="inlineStr">
        <is>
          <t>着</t>
        </is>
      </c>
      <c r="R63" s="31" t="n"/>
      <c r="S63" s="48" t="inlineStr">
        <is>
          <t>保証書 ﾚﾝﾀｶｰ</t>
        </is>
      </c>
      <c r="T63" s="69" t="n"/>
      <c r="U63" s="39" t="n"/>
      <c r="V63" s="125" t="n"/>
      <c r="W63" s="44" t="n"/>
      <c r="X63" s="39" t="n"/>
      <c r="Y63" s="123" t="n"/>
      <c r="Z63" s="123" t="n"/>
      <c r="AA63" s="123" t="n"/>
      <c r="AB63" s="123" t="n"/>
      <c r="AC63" s="126" t="n"/>
    </row>
    <row r="64" ht="17.1" customHeight="1" s="107" thickTop="1">
      <c r="A64" s="110" t="inlineStr">
        <is>
          <t>27-5227</t>
        </is>
      </c>
      <c r="B64" s="26" t="n">
        <v>46196</v>
      </c>
      <c r="C64" s="111" t="n">
        <v>995</v>
      </c>
      <c r="D64" s="49" t="inlineStr">
        <is>
          <t>2/6</t>
        </is>
      </c>
      <c r="E64" s="112" t="n"/>
      <c r="F64" s="43" t="inlineStr">
        <is>
          <t>ﾐﾗｲｰｽ　B　SaⅢ</t>
        </is>
      </c>
      <c r="G64" s="34" t="n"/>
      <c r="H64" s="113" t="n">
        <v>4</v>
      </c>
      <c r="I64" s="114" t="n">
        <v>273000</v>
      </c>
      <c r="J64" s="114">
        <f>I64*0.1</f>
        <v/>
      </c>
      <c r="K64" s="114" t="n">
        <v>0</v>
      </c>
      <c r="L64" s="114" t="n">
        <v>7140</v>
      </c>
      <c r="M64" s="114" t="n">
        <v>22000</v>
      </c>
      <c r="N64" s="114">
        <f>SUM(I64:M65)</f>
        <v/>
      </c>
      <c r="O64" s="115" t="n"/>
      <c r="P64" s="50" t="n"/>
      <c r="Q64" s="27" t="inlineStr">
        <is>
          <t>予定</t>
        </is>
      </c>
      <c r="R64" s="47" t="n"/>
      <c r="S64" s="71" t="inlineStr">
        <is>
          <t>整備手帳</t>
        </is>
      </c>
      <c r="T64" s="40" t="n"/>
      <c r="U64" s="41" t="n"/>
      <c r="V64" s="116" t="n"/>
      <c r="W64" s="45" t="n">
        <v>46200</v>
      </c>
      <c r="X64" s="117" t="n">
        <v>1306</v>
      </c>
      <c r="Y64" s="114" t="n">
        <v>370000</v>
      </c>
      <c r="Z64" s="114">
        <f>Y64*0.1</f>
        <v/>
      </c>
      <c r="AA64" s="114" t="n">
        <v>7140</v>
      </c>
      <c r="AB64" s="114">
        <f>SUM(Y64:AA64)</f>
        <v/>
      </c>
      <c r="AC64" s="118" t="n"/>
    </row>
    <row r="65" ht="17.1" customHeight="1" s="107" thickBot="1">
      <c r="A65" s="119" t="n"/>
      <c r="B65" s="29" t="inlineStr">
        <is>
          <t>ｵﾘｯｸｽ神戸</t>
        </is>
      </c>
      <c r="C65" s="29" t="n">
        <v>94</v>
      </c>
      <c r="D65" s="73" t="inlineStr">
        <is>
          <t>ｼﾙﾊﾞｰ</t>
        </is>
      </c>
      <c r="E65" s="120" t="n"/>
      <c r="F65" s="38" t="inlineStr">
        <is>
          <t>LA350S-0216172</t>
        </is>
      </c>
      <c r="G65" s="121" t="n">
        <v>49104</v>
      </c>
      <c r="H65" s="122" t="n"/>
      <c r="I65" s="123" t="n"/>
      <c r="J65" s="123" t="n"/>
      <c r="K65" s="123" t="n"/>
      <c r="L65" s="123" t="n"/>
      <c r="M65" s="123" t="n"/>
      <c r="N65" s="123" t="n"/>
      <c r="O65" s="124" t="n"/>
      <c r="P65" s="51" t="n"/>
      <c r="Q65" s="30" t="inlineStr">
        <is>
          <t>着</t>
        </is>
      </c>
      <c r="R65" s="31" t="n"/>
      <c r="S65" s="48" t="inlineStr">
        <is>
          <t>保証書</t>
        </is>
      </c>
      <c r="T65" s="69" t="n"/>
      <c r="U65" s="39" t="n"/>
      <c r="V65" s="125" t="n"/>
      <c r="W65" s="44" t="inlineStr">
        <is>
          <t>HAA神戸</t>
        </is>
      </c>
      <c r="X65" s="39" t="n">
        <v>62096</v>
      </c>
      <c r="Y65" s="123" t="n"/>
      <c r="Z65" s="123" t="n"/>
      <c r="AA65" s="123" t="n"/>
      <c r="AB65" s="123" t="n"/>
      <c r="AC65" s="126" t="n"/>
    </row>
    <row r="66" ht="17.1" customHeight="1" s="107" thickTop="1">
      <c r="A66" s="110" t="inlineStr">
        <is>
          <t>27-5228</t>
        </is>
      </c>
      <c r="B66" s="26" t="n">
        <v>46196</v>
      </c>
      <c r="C66" s="111" t="n">
        <v>995</v>
      </c>
      <c r="D66" s="49" t="inlineStr">
        <is>
          <t>2/6</t>
        </is>
      </c>
      <c r="E66" s="112" t="n"/>
      <c r="F66" s="43" t="inlineStr">
        <is>
          <t>ﾐﾗｲｰｽ　B　SaⅢ</t>
        </is>
      </c>
      <c r="G66" s="34" t="n"/>
      <c r="H66" s="113" t="n">
        <v>4</v>
      </c>
      <c r="I66" s="114" t="n">
        <v>273000</v>
      </c>
      <c r="J66" s="114">
        <f>I66*0.1</f>
        <v/>
      </c>
      <c r="K66" s="114" t="n">
        <v>0</v>
      </c>
      <c r="L66" s="114" t="n">
        <v>7140</v>
      </c>
      <c r="M66" s="114" t="n">
        <v>22000</v>
      </c>
      <c r="N66" s="114">
        <f>SUM(I66:M67)</f>
        <v/>
      </c>
      <c r="O66" s="115" t="n"/>
      <c r="P66" s="50" t="n"/>
      <c r="Q66" s="27" t="inlineStr">
        <is>
          <t>予定</t>
        </is>
      </c>
      <c r="R66" s="47" t="n"/>
      <c r="S66" s="71" t="inlineStr">
        <is>
          <t>整備手帳</t>
        </is>
      </c>
      <c r="T66" s="40" t="n"/>
      <c r="U66" s="41" t="n"/>
      <c r="V66" s="116" t="n"/>
      <c r="W66" s="45" t="n">
        <v>46200</v>
      </c>
      <c r="X66" s="117" t="n">
        <v>1306</v>
      </c>
      <c r="Y66" s="114" t="n">
        <v>350000</v>
      </c>
      <c r="Z66" s="114">
        <f>Y66*0.1</f>
        <v/>
      </c>
      <c r="AA66" s="114" t="n">
        <v>7140</v>
      </c>
      <c r="AB66" s="114">
        <f>SUM(Y66:AA66)</f>
        <v/>
      </c>
      <c r="AC66" s="118" t="n"/>
    </row>
    <row r="67" ht="17.1" customHeight="1" s="107" thickBot="1">
      <c r="A67" s="119" t="n"/>
      <c r="B67" s="29" t="inlineStr">
        <is>
          <t>ｵﾘｯｸｽ神戸</t>
        </is>
      </c>
      <c r="C67" s="29" t="n">
        <v>223</v>
      </c>
      <c r="D67" s="73" t="inlineStr">
        <is>
          <t>ｼﾙﾊﾞｰ</t>
        </is>
      </c>
      <c r="E67" s="120" t="n"/>
      <c r="F67" s="38" t="inlineStr">
        <is>
          <t>LA350S-0214484</t>
        </is>
      </c>
      <c r="G67" s="121" t="n">
        <v>48061</v>
      </c>
      <c r="H67" s="122" t="n"/>
      <c r="I67" s="123" t="n"/>
      <c r="J67" s="123" t="n"/>
      <c r="K67" s="123" t="n"/>
      <c r="L67" s="123" t="n"/>
      <c r="M67" s="123" t="n"/>
      <c r="N67" s="123" t="n"/>
      <c r="O67" s="124" t="n"/>
      <c r="P67" s="51" t="n"/>
      <c r="Q67" s="30" t="inlineStr">
        <is>
          <t>着</t>
        </is>
      </c>
      <c r="R67" s="31" t="n"/>
      <c r="S67" s="48" t="inlineStr">
        <is>
          <t>保証書</t>
        </is>
      </c>
      <c r="T67" s="69" t="n"/>
      <c r="U67" s="39" t="n"/>
      <c r="V67" s="125" t="n"/>
      <c r="W67" s="44" t="inlineStr">
        <is>
          <t>HAA神戸</t>
        </is>
      </c>
      <c r="X67" s="39" t="n">
        <v>62105</v>
      </c>
      <c r="Y67" s="123" t="n"/>
      <c r="Z67" s="123" t="n"/>
      <c r="AA67" s="123" t="n"/>
      <c r="AB67" s="123" t="n"/>
      <c r="AC67" s="126" t="n"/>
    </row>
    <row r="68" ht="17.1" customHeight="1" s="107" thickTop="1">
      <c r="A68" s="110" t="inlineStr">
        <is>
          <t>27-5229</t>
        </is>
      </c>
      <c r="B68" s="26" t="n">
        <v>46196</v>
      </c>
      <c r="C68" s="111" t="n">
        <v>995</v>
      </c>
      <c r="D68" s="74" t="inlineStr">
        <is>
          <t>25/9</t>
        </is>
      </c>
      <c r="E68" s="128" t="n"/>
      <c r="F68" s="76" t="inlineStr">
        <is>
          <t>ﾀﾝﾄ　L</t>
        </is>
      </c>
      <c r="G68" s="77" t="n"/>
      <c r="H68" s="129" t="n">
        <v>3.5</v>
      </c>
      <c r="I68" s="130" t="n">
        <v>153000</v>
      </c>
      <c r="J68" s="130">
        <f>I68*0.1</f>
        <v/>
      </c>
      <c r="K68" s="130" t="n">
        <v>0</v>
      </c>
      <c r="L68" s="130" t="n">
        <v>9200</v>
      </c>
      <c r="M68" s="114" t="n">
        <v>22000</v>
      </c>
      <c r="N68" s="130">
        <f>SUM(I68:M69)</f>
        <v/>
      </c>
      <c r="O68" s="131" t="n"/>
      <c r="P68" s="81" t="n"/>
      <c r="Q68" s="82" t="inlineStr">
        <is>
          <t>予定</t>
        </is>
      </c>
      <c r="R68" s="83" t="n"/>
      <c r="S68" s="84" t="inlineStr">
        <is>
          <t>整備手帳</t>
        </is>
      </c>
      <c r="T68" s="85" t="n"/>
      <c r="U68" s="86" t="n"/>
      <c r="V68" s="132" t="n"/>
      <c r="W68" s="88" t="n">
        <v>46200</v>
      </c>
      <c r="X68" s="133" t="n">
        <v>1306</v>
      </c>
      <c r="Y68" s="130" t="n">
        <v>195000</v>
      </c>
      <c r="Z68" s="130">
        <f>Y68*0.1</f>
        <v/>
      </c>
      <c r="AA68" s="130" t="n">
        <v>9200</v>
      </c>
      <c r="AB68" s="130">
        <f>SUM(Y68:AA68)</f>
        <v/>
      </c>
      <c r="AC68" s="134" t="n"/>
    </row>
    <row r="69" ht="17.1" customHeight="1" s="107" thickBot="1">
      <c r="A69" s="119" t="n"/>
      <c r="B69" s="29" t="inlineStr">
        <is>
          <t>ｵﾘｯｸｽ神戸</t>
        </is>
      </c>
      <c r="C69" s="29" t="n">
        <v>1032</v>
      </c>
      <c r="D69" s="91" t="inlineStr">
        <is>
          <t>白</t>
        </is>
      </c>
      <c r="E69" s="120" t="n"/>
      <c r="F69" s="93" t="inlineStr">
        <is>
          <t>L375S-0688903</t>
        </is>
      </c>
      <c r="G69" s="135" t="n">
        <v>54972</v>
      </c>
      <c r="H69" s="122" t="n"/>
      <c r="I69" s="123" t="n"/>
      <c r="J69" s="123" t="n"/>
      <c r="K69" s="123" t="n"/>
      <c r="L69" s="123" t="n"/>
      <c r="M69" s="123" t="n"/>
      <c r="N69" s="123" t="n"/>
      <c r="O69" s="124" t="n"/>
      <c r="P69" s="98" t="n"/>
      <c r="Q69" s="99" t="inlineStr">
        <is>
          <t>着</t>
        </is>
      </c>
      <c r="R69" s="100" t="n"/>
      <c r="S69" s="101" t="inlineStr">
        <is>
          <t>保証書</t>
        </is>
      </c>
      <c r="T69" s="102" t="n"/>
      <c r="U69" s="103" t="n"/>
      <c r="V69" s="136" t="n"/>
      <c r="W69" s="105" t="inlineStr">
        <is>
          <t>HAA神戸</t>
        </is>
      </c>
      <c r="X69" s="103" t="n">
        <v>62106</v>
      </c>
      <c r="Y69" s="123" t="n"/>
      <c r="Z69" s="123" t="n"/>
      <c r="AA69" s="123" t="n"/>
      <c r="AB69" s="123" t="n"/>
      <c r="AC69" s="126" t="n"/>
    </row>
    <row r="70" ht="17.1" customHeight="1" s="107" thickTop="1">
      <c r="A70" s="110" t="inlineStr">
        <is>
          <t>27-5230</t>
        </is>
      </c>
      <c r="B70" s="26" t="n">
        <v>46196</v>
      </c>
      <c r="C70" s="111" t="n">
        <v>995</v>
      </c>
      <c r="D70" s="49" t="inlineStr">
        <is>
          <t>2/6</t>
        </is>
      </c>
      <c r="E70" s="112" t="n"/>
      <c r="F70" s="43" t="inlineStr">
        <is>
          <t>ﾊｽﾗｰ　ﾊｲﾌﾞﾘｯﾄﾞG</t>
        </is>
      </c>
      <c r="G70" s="34" t="n"/>
      <c r="H70" s="113" t="n">
        <v>4</v>
      </c>
      <c r="I70" s="114" t="n">
        <v>1003000</v>
      </c>
      <c r="J70" s="114">
        <f>I70*0.1</f>
        <v/>
      </c>
      <c r="K70" s="114" t="n">
        <v>0</v>
      </c>
      <c r="L70" s="114" t="n">
        <v>6830</v>
      </c>
      <c r="M70" s="114" t="n">
        <v>22000</v>
      </c>
      <c r="N70" s="114">
        <f>SUM(I70:M71)</f>
        <v/>
      </c>
      <c r="O70" s="115" t="n"/>
      <c r="P70" s="50" t="n"/>
      <c r="Q70" s="27" t="inlineStr">
        <is>
          <t>予定</t>
        </is>
      </c>
      <c r="R70" s="47" t="n"/>
      <c r="S70" s="71" t="inlineStr">
        <is>
          <t>整備手帳 ﾚﾝﾀｶｰ</t>
        </is>
      </c>
      <c r="T70" s="40" t="n"/>
      <c r="U70" s="41" t="n"/>
      <c r="V70" s="116" t="n"/>
      <c r="W70" s="45" t="n"/>
      <c r="X70" s="117" t="n"/>
      <c r="Y70" s="114" t="n"/>
      <c r="Z70" s="114">
        <f>Y70*0.1</f>
        <v/>
      </c>
      <c r="AA70" s="114" t="n"/>
      <c r="AB70" s="114">
        <f>SUM(Y70:AA70)</f>
        <v/>
      </c>
      <c r="AC70" s="118" t="n"/>
    </row>
    <row r="71" ht="17.1" customHeight="1" s="107" thickBot="1">
      <c r="A71" s="119" t="n"/>
      <c r="B71" s="29" t="inlineStr">
        <is>
          <t>ｵﾘｯｸｽ神戸</t>
        </is>
      </c>
      <c r="C71" s="29" t="n">
        <v>1059</v>
      </c>
      <c r="D71" s="73" t="inlineStr">
        <is>
          <t>ﾊﾟｰﾙ</t>
        </is>
      </c>
      <c r="E71" s="120" t="n"/>
      <c r="F71" s="38" t="inlineStr">
        <is>
          <t>MR92S-124256</t>
        </is>
      </c>
      <c r="G71" s="121" t="n">
        <v>52731</v>
      </c>
      <c r="H71" s="122" t="n"/>
      <c r="I71" s="123" t="n"/>
      <c r="J71" s="123" t="n"/>
      <c r="K71" s="123" t="n"/>
      <c r="L71" s="123" t="n"/>
      <c r="M71" s="123" t="n"/>
      <c r="N71" s="123" t="n"/>
      <c r="O71" s="124" t="n"/>
      <c r="P71" s="51" t="n"/>
      <c r="Q71" s="30" t="inlineStr">
        <is>
          <t>着</t>
        </is>
      </c>
      <c r="R71" s="31" t="n"/>
      <c r="S71" s="48" t="inlineStr">
        <is>
          <t>保証書 ﾚﾝﾀｶｰ</t>
        </is>
      </c>
      <c r="T71" s="69" t="n"/>
      <c r="U71" s="39" t="n"/>
      <c r="V71" s="125" t="n"/>
      <c r="W71" s="44" t="n"/>
      <c r="X71" s="39" t="n"/>
      <c r="Y71" s="123" t="n"/>
      <c r="Z71" s="123" t="n"/>
      <c r="AA71" s="123" t="n"/>
      <c r="AB71" s="123" t="n"/>
      <c r="AC71" s="126" t="n"/>
    </row>
    <row r="72" ht="17.1" customHeight="1" s="107" thickTop="1">
      <c r="A72" s="110" t="inlineStr">
        <is>
          <t>27-5231</t>
        </is>
      </c>
      <c r="B72" s="26" t="n">
        <v>46197</v>
      </c>
      <c r="C72" s="111" t="n">
        <v>2360</v>
      </c>
      <c r="D72" s="49" t="inlineStr">
        <is>
          <t>27/8</t>
        </is>
      </c>
      <c r="E72" s="112" t="n"/>
      <c r="F72" s="43" t="inlineStr">
        <is>
          <t>ﾌﾟﾘｳｽｱﾙﾌｧS</t>
        </is>
      </c>
      <c r="G72" s="34" t="inlineStr">
        <is>
          <t>8/8/26</t>
        </is>
      </c>
      <c r="H72" s="113" t="n">
        <v>4</v>
      </c>
      <c r="I72" s="114" t="n">
        <v>1105000</v>
      </c>
      <c r="J72" s="114">
        <f>I72*0.1</f>
        <v/>
      </c>
      <c r="K72" s="114" t="n">
        <v>32560</v>
      </c>
      <c r="L72" s="114" t="n">
        <v>12030</v>
      </c>
      <c r="M72" s="114" t="n">
        <v>16500</v>
      </c>
      <c r="N72" s="114">
        <f>SUM(I72:M73)</f>
        <v/>
      </c>
      <c r="O72" s="115" t="n"/>
      <c r="P72" s="50" t="inlineStr">
        <is>
          <t>和泉 336 ほ 168</t>
        </is>
      </c>
      <c r="Q72" s="27" t="inlineStr">
        <is>
          <t>予定</t>
        </is>
      </c>
      <c r="R72" s="47" t="n"/>
      <c r="S72" s="71" t="inlineStr">
        <is>
          <t>ｽﾍﾟｱｷｰ</t>
        </is>
      </c>
      <c r="T72" s="40" t="n"/>
      <c r="U72" s="41" t="n"/>
      <c r="V72" s="116" t="n"/>
      <c r="W72" s="45" t="n"/>
      <c r="X72" s="117" t="n"/>
      <c r="Y72" s="114" t="n"/>
      <c r="Z72" s="114">
        <f>Y72*0.1</f>
        <v/>
      </c>
      <c r="AA72" s="114" t="n"/>
      <c r="AB72" s="114">
        <f>SUM(Y72:AA72)</f>
        <v/>
      </c>
      <c r="AC72" s="118" t="n"/>
    </row>
    <row r="73" ht="17.1" customHeight="1" s="107" thickBot="1">
      <c r="A73" s="119" t="n"/>
      <c r="B73" s="29" t="inlineStr">
        <is>
          <t>ﾍﾞｲｵｰｸ</t>
        </is>
      </c>
      <c r="C73" s="29" t="n">
        <v>60362</v>
      </c>
      <c r="D73" s="73" t="inlineStr">
        <is>
          <t>ﾊﾟｰﾙ</t>
        </is>
      </c>
      <c r="E73" s="120" t="n"/>
      <c r="F73" s="38" t="inlineStr">
        <is>
          <t>ZVW40-0016450</t>
        </is>
      </c>
      <c r="G73" s="121" t="n">
        <v>77088</v>
      </c>
      <c r="H73" s="122" t="n"/>
      <c r="I73" s="123" t="n"/>
      <c r="J73" s="123" t="n"/>
      <c r="K73" s="123" t="n"/>
      <c r="L73" s="123" t="n"/>
      <c r="M73" s="123" t="n"/>
      <c r="N73" s="123" t="n"/>
      <c r="O73" s="124" t="n"/>
      <c r="P73" s="51" t="inlineStr">
        <is>
          <t>橋野 佳苗</t>
        </is>
      </c>
      <c r="Q73" s="30" t="inlineStr">
        <is>
          <t>着</t>
        </is>
      </c>
      <c r="R73" s="31" t="inlineStr">
        <is>
          <t>6/27</t>
        </is>
      </c>
      <c r="S73" s="48" t="inlineStr">
        <is>
          <t>取説 ｷｰﾚｽ ﾘﾓｺﾝ ﾅﾋﾞ取</t>
        </is>
      </c>
      <c r="T73" s="69" t="n"/>
      <c r="U73" s="39" t="n"/>
      <c r="V73" s="125" t="n"/>
      <c r="W73" s="44" t="n"/>
      <c r="X73" s="39" t="n"/>
      <c r="Y73" s="123" t="n"/>
      <c r="Z73" s="123" t="n"/>
      <c r="AA73" s="123" t="n"/>
      <c r="AB73" s="123" t="n"/>
      <c r="AC73" s="126" t="n"/>
    </row>
    <row r="74" ht="17.1" customHeight="1" s="107" thickTop="1">
      <c r="A74" s="110" t="inlineStr">
        <is>
          <t>27-5232</t>
        </is>
      </c>
      <c r="B74" s="26" t="n">
        <v>46197</v>
      </c>
      <c r="C74" s="111" t="n">
        <v>2360</v>
      </c>
      <c r="D74" s="49" t="inlineStr">
        <is>
          <t>30/8</t>
        </is>
      </c>
      <c r="E74" s="112" t="n"/>
      <c r="F74" s="43" t="inlineStr">
        <is>
          <t>ﾒﾙｾﾃﾞｽﾍﾞﾝﾂ CLAｸﾗｽ 180</t>
        </is>
      </c>
      <c r="G74" s="34" t="n"/>
      <c r="H74" s="113" t="n">
        <v>4</v>
      </c>
      <c r="I74" s="114" t="n">
        <v>1245000</v>
      </c>
      <c r="J74" s="114">
        <f>I74*0.1</f>
        <v/>
      </c>
      <c r="K74" s="114" t="n">
        <v>0</v>
      </c>
      <c r="L74" s="114" t="n">
        <v>19390</v>
      </c>
      <c r="M74" s="114" t="n">
        <v>18150</v>
      </c>
      <c r="N74" s="114">
        <f>SUM(I74:M75)</f>
        <v/>
      </c>
      <c r="O74" s="115" t="n"/>
      <c r="P74" s="50" t="inlineStr">
        <is>
          <t>大阪 303 む 8306</t>
        </is>
      </c>
      <c r="Q74" s="27" t="inlineStr">
        <is>
          <t>予定</t>
        </is>
      </c>
      <c r="R74" s="47" t="n"/>
      <c r="S74" s="71" t="inlineStr">
        <is>
          <t xml:space="preserve">保証書 取説 </t>
        </is>
      </c>
      <c r="T74" s="40" t="n"/>
      <c r="U74" s="41" t="n"/>
      <c r="V74" s="116" t="n"/>
      <c r="W74" s="45" t="n"/>
      <c r="X74" s="117" t="n"/>
      <c r="Y74" s="114" t="n"/>
      <c r="Z74" s="114">
        <f>Y74*0.1</f>
        <v/>
      </c>
      <c r="AA74" s="114" t="n"/>
      <c r="AB74" s="114">
        <f>SUM(Y74:AA74)</f>
        <v/>
      </c>
      <c r="AC74" s="118" t="n"/>
    </row>
    <row r="75" ht="17.1" customHeight="1" s="107" thickBot="1">
      <c r="A75" s="119" t="n"/>
      <c r="B75" s="29" t="inlineStr">
        <is>
          <t>ﾍﾞｲｵｰｸ</t>
        </is>
      </c>
      <c r="C75" s="29" t="n">
        <v>60482</v>
      </c>
      <c r="D75" s="73" t="inlineStr">
        <is>
          <t>茶色</t>
        </is>
      </c>
      <c r="E75" s="120" t="n"/>
      <c r="F75" s="38" t="inlineStr">
        <is>
          <t>WDD1179422N659922</t>
        </is>
      </c>
      <c r="G75" s="121" t="n">
        <v>53199</v>
      </c>
      <c r="H75" s="122" t="n"/>
      <c r="I75" s="123" t="n"/>
      <c r="J75" s="123" t="n"/>
      <c r="K75" s="123" t="n"/>
      <c r="L75" s="123" t="n"/>
      <c r="M75" s="123" t="n"/>
      <c r="N75" s="123" t="n"/>
      <c r="O75" s="124" t="n"/>
      <c r="P75" s="51" t="inlineStr">
        <is>
          <t>ﾀｲｶﾞｰ石油株式会社</t>
        </is>
      </c>
      <c r="Q75" s="30" t="inlineStr">
        <is>
          <t>着</t>
        </is>
      </c>
      <c r="R75" s="31" t="inlineStr">
        <is>
          <t>6/27</t>
        </is>
      </c>
      <c r="S75" s="48" t="inlineStr">
        <is>
          <t>保証書 取説</t>
        </is>
      </c>
      <c r="T75" s="69" t="n"/>
      <c r="U75" s="39" t="n"/>
      <c r="V75" s="125" t="n"/>
      <c r="W75" s="44" t="n"/>
      <c r="X75" s="39" t="n"/>
      <c r="Y75" s="123" t="n"/>
      <c r="Z75" s="123" t="n"/>
      <c r="AA75" s="123" t="n"/>
      <c r="AB75" s="123" t="n"/>
      <c r="AC75" s="126" t="n"/>
    </row>
    <row r="76" ht="17.1" customHeight="1" s="107" thickTop="1">
      <c r="A76" s="110" t="inlineStr">
        <is>
          <t>27-5233</t>
        </is>
      </c>
      <c r="B76" s="26" t="n">
        <v>46197</v>
      </c>
      <c r="C76" s="111" t="n">
        <v>1843</v>
      </c>
      <c r="D76" s="49" t="inlineStr">
        <is>
          <t>7/4</t>
        </is>
      </c>
      <c r="E76" s="112" t="n"/>
      <c r="F76" s="43" t="inlineStr">
        <is>
          <t>ｴﾌﾞﾘｲ PAﾘﾐﾃｯﾄﾞ</t>
        </is>
      </c>
      <c r="G76" s="34" t="inlineStr">
        <is>
          <t>9/4</t>
        </is>
      </c>
      <c r="H76" s="113" t="n">
        <v>5</v>
      </c>
      <c r="I76" s="114" t="n">
        <v>954000</v>
      </c>
      <c r="J76" s="114">
        <f>I76*0.1</f>
        <v/>
      </c>
      <c r="K76" s="114" t="n">
        <v>0</v>
      </c>
      <c r="L76" s="114" t="n">
        <v>8200</v>
      </c>
      <c r="M76" s="114" t="n">
        <v>20350</v>
      </c>
      <c r="N76" s="114">
        <f>SUM(I76:M77)</f>
        <v/>
      </c>
      <c r="O76" s="115" t="n"/>
      <c r="P76" s="50" t="inlineStr">
        <is>
          <t>岡崎 480 か 5237</t>
        </is>
      </c>
      <c r="Q76" s="27" t="inlineStr">
        <is>
          <t>予定</t>
        </is>
      </c>
      <c r="R76" s="47" t="n"/>
      <c r="S76" s="71" t="n"/>
      <c r="T76" s="40" t="n"/>
      <c r="U76" s="41" t="n"/>
      <c r="V76" s="116" t="n"/>
      <c r="W76" s="45" t="n">
        <v>46200</v>
      </c>
      <c r="X76" s="117" t="n">
        <v>1306</v>
      </c>
      <c r="Y76" s="114" t="n">
        <v>1080000</v>
      </c>
      <c r="Z76" s="114">
        <f>Y76*0.1</f>
        <v/>
      </c>
      <c r="AA76" s="114" t="n">
        <v>8200</v>
      </c>
      <c r="AB76" s="114">
        <f>SUM(Y76:AA76)</f>
        <v/>
      </c>
      <c r="AC76" s="118" t="n"/>
    </row>
    <row r="77" ht="17.1" customHeight="1" s="107" thickBot="1">
      <c r="A77" s="119" t="n"/>
      <c r="B77" s="29" t="inlineStr">
        <is>
          <t>CAA中部(まとめ)</t>
        </is>
      </c>
      <c r="C77" s="29" t="n">
        <v>3176</v>
      </c>
      <c r="D77" s="73" t="inlineStr">
        <is>
          <t>青</t>
        </is>
      </c>
      <c r="E77" s="120" t="n"/>
      <c r="F77" s="38" t="inlineStr">
        <is>
          <t>DA17V-920945</t>
        </is>
      </c>
      <c r="G77" s="121" t="n">
        <v>7828</v>
      </c>
      <c r="H77" s="122" t="n"/>
      <c r="I77" s="123" t="n"/>
      <c r="J77" s="123" t="n"/>
      <c r="K77" s="123" t="n"/>
      <c r="L77" s="123" t="n"/>
      <c r="M77" s="123" t="n"/>
      <c r="N77" s="123" t="n"/>
      <c r="O77" s="124" t="n"/>
      <c r="P77" s="51" t="n"/>
      <c r="Q77" s="30" t="inlineStr">
        <is>
          <t>着</t>
        </is>
      </c>
      <c r="R77" s="31" t="n"/>
      <c r="S77" s="48" t="n"/>
      <c r="T77" s="69" t="n"/>
      <c r="U77" s="39" t="n"/>
      <c r="V77" s="125" t="n"/>
      <c r="W77" s="44" t="inlineStr">
        <is>
          <t>HAA神戸</t>
        </is>
      </c>
      <c r="X77" s="39" t="n">
        <v>60365</v>
      </c>
      <c r="Y77" s="123" t="n"/>
      <c r="Z77" s="123" t="n"/>
      <c r="AA77" s="123" t="n"/>
      <c r="AB77" s="123" t="n"/>
      <c r="AC77" s="126" t="n"/>
    </row>
    <row r="78" ht="17.1" customHeight="1" s="107" thickTop="1">
      <c r="A78" s="110" t="inlineStr">
        <is>
          <t>27-5234</t>
        </is>
      </c>
      <c r="B78" s="26" t="n">
        <v>46197</v>
      </c>
      <c r="C78" s="111" t="n">
        <v>1843</v>
      </c>
      <c r="D78" s="49" t="inlineStr">
        <is>
          <t>30/8</t>
        </is>
      </c>
      <c r="E78" s="112" t="n"/>
      <c r="F78" s="43" t="inlineStr">
        <is>
          <t>CX3- XDﾌﾟﾛｱｸﾃｨﾌﾞSﾊﾟｯｹｰｼﾞ</t>
        </is>
      </c>
      <c r="G78" s="34" t="inlineStr">
        <is>
          <t>9/8</t>
        </is>
      </c>
      <c r="H78" s="113" t="n">
        <v>4.5</v>
      </c>
      <c r="I78" s="114" t="n">
        <v>1130000</v>
      </c>
      <c r="J78" s="114">
        <f>I78*0.1</f>
        <v/>
      </c>
      <c r="K78" s="114" t="n">
        <v>32560</v>
      </c>
      <c r="L78" s="114" t="n">
        <v>10830</v>
      </c>
      <c r="M78" s="114" t="n">
        <v>20350</v>
      </c>
      <c r="N78" s="114">
        <f>SUM(I78:M79)</f>
        <v/>
      </c>
      <c r="O78" s="115" t="n"/>
      <c r="P78" s="50" t="inlineStr">
        <is>
          <t>浜松 330 り 1631</t>
        </is>
      </c>
      <c r="Q78" s="27" t="inlineStr">
        <is>
          <t>予定</t>
        </is>
      </c>
      <c r="R78" s="47" t="n"/>
      <c r="S78" s="71" t="inlineStr">
        <is>
          <t>保証書 取説 予備ｷｰ ﾅﾋﾞ取 ﾜﾝｵｰﾅｰ</t>
        </is>
      </c>
      <c r="T78" s="40" t="n"/>
      <c r="U78" s="41" t="n"/>
      <c r="V78" s="116" t="n"/>
      <c r="W78" s="45" t="n">
        <v>46200</v>
      </c>
      <c r="X78" s="117" t="n">
        <v>1306</v>
      </c>
      <c r="Y78" s="114" t="n">
        <v>1220000</v>
      </c>
      <c r="Z78" s="114">
        <f>Y78*0.1</f>
        <v/>
      </c>
      <c r="AA78" s="114" t="n">
        <v>10830</v>
      </c>
      <c r="AB78" s="114">
        <f>SUM(Y78:AA78)</f>
        <v/>
      </c>
      <c r="AC78" s="118" t="n"/>
    </row>
    <row r="79" ht="17.1" customHeight="1" s="107" thickBot="1">
      <c r="A79" s="119" t="n"/>
      <c r="B79" s="29" t="inlineStr">
        <is>
          <t>CAA中部(まとめ)</t>
        </is>
      </c>
      <c r="C79" s="29" t="n">
        <v>30583</v>
      </c>
      <c r="D79" s="73" t="inlineStr">
        <is>
          <t>ﾊﾟｰﾙ</t>
        </is>
      </c>
      <c r="E79" s="120" t="n"/>
      <c r="F79" s="38" t="inlineStr">
        <is>
          <t>DK8FW-101033</t>
        </is>
      </c>
      <c r="G79" s="121" t="n">
        <v>68323</v>
      </c>
      <c r="H79" s="122" t="n"/>
      <c r="I79" s="123" t="n"/>
      <c r="J79" s="123" t="n"/>
      <c r="K79" s="123" t="n"/>
      <c r="L79" s="123" t="n"/>
      <c r="M79" s="123" t="n"/>
      <c r="N79" s="123" t="n"/>
      <c r="O79" s="124" t="n"/>
      <c r="P79" s="51" t="inlineStr">
        <is>
          <t>株式会社ﾋﾞｯｸﾞｳｪｰﾌﾞ</t>
        </is>
      </c>
      <c r="Q79" s="30" t="inlineStr">
        <is>
          <t>着</t>
        </is>
      </c>
      <c r="R79" s="31" t="inlineStr">
        <is>
          <t>6/27</t>
        </is>
      </c>
      <c r="S79" s="48" t="inlineStr">
        <is>
          <t>付属品後日発送</t>
        </is>
      </c>
      <c r="T79" s="69" t="n"/>
      <c r="U79" s="39" t="n"/>
      <c r="V79" s="125" t="n"/>
      <c r="W79" s="44" t="inlineStr">
        <is>
          <t>HAA神戸</t>
        </is>
      </c>
      <c r="X79" s="39" t="n">
        <v>156</v>
      </c>
      <c r="Y79" s="123" t="n"/>
      <c r="Z79" s="123" t="n"/>
      <c r="AA79" s="123" t="n"/>
      <c r="AB79" s="123" t="n"/>
      <c r="AC79" s="126" t="n"/>
    </row>
    <row r="80" ht="17.1" customHeight="1" s="107" thickTop="1">
      <c r="A80" s="110" t="inlineStr">
        <is>
          <t>27-5235</t>
        </is>
      </c>
      <c r="B80" s="26" t="n">
        <v>46197</v>
      </c>
      <c r="C80" s="111" t="n">
        <v>1843</v>
      </c>
      <c r="D80" s="74" t="inlineStr">
        <is>
          <t>1/8</t>
        </is>
      </c>
      <c r="E80" s="128" t="n"/>
      <c r="F80" s="76" t="inlineStr">
        <is>
          <t>BMWﾐﾆｸｰﾊﾟｰ</t>
        </is>
      </c>
      <c r="G80" s="77" t="n"/>
      <c r="H80" s="129" t="n">
        <v>4.5</v>
      </c>
      <c r="I80" s="130" t="n">
        <v>915000</v>
      </c>
      <c r="J80" s="130">
        <f>I80*0.1</f>
        <v/>
      </c>
      <c r="K80" s="130" t="n">
        <v>0</v>
      </c>
      <c r="L80" s="130" t="n">
        <v>17600</v>
      </c>
      <c r="M80" s="130" t="n">
        <v>20350</v>
      </c>
      <c r="N80" s="130">
        <f>SUM(I80:M81)</f>
        <v/>
      </c>
      <c r="O80" s="131" t="n"/>
      <c r="P80" s="81" t="n"/>
      <c r="Q80" s="82" t="inlineStr">
        <is>
          <t>予定</t>
        </is>
      </c>
      <c r="R80" s="83" t="n"/>
      <c r="S80" s="84" t="n"/>
      <c r="T80" s="85" t="n"/>
      <c r="U80" s="86" t="n"/>
      <c r="V80" s="132" t="n"/>
      <c r="W80" s="88" t="n"/>
      <c r="X80" s="133" t="n"/>
      <c r="Y80" s="130" t="n"/>
      <c r="Z80" s="130">
        <f>Y80*0.1</f>
        <v/>
      </c>
      <c r="AA80" s="130" t="n"/>
      <c r="AB80" s="130">
        <f>SUM(Y80:AA80)</f>
        <v/>
      </c>
      <c r="AC80" s="134" t="n"/>
    </row>
    <row r="81" ht="17.1" customHeight="1" s="107" thickBot="1">
      <c r="A81" s="119" t="n"/>
      <c r="B81" s="29" t="inlineStr">
        <is>
          <t>CAA中部(まとめ)</t>
        </is>
      </c>
      <c r="C81" s="29" t="n">
        <v>38176</v>
      </c>
      <c r="D81" s="91" t="inlineStr">
        <is>
          <t>紺</t>
        </is>
      </c>
      <c r="E81" s="120" t="n"/>
      <c r="F81" s="93" t="inlineStr">
        <is>
          <t>WMWXU720602L29988</t>
        </is>
      </c>
      <c r="G81" s="135" t="n">
        <v>59956</v>
      </c>
      <c r="H81" s="122" t="n"/>
      <c r="I81" s="123" t="n"/>
      <c r="J81" s="123" t="n"/>
      <c r="K81" s="123" t="n"/>
      <c r="L81" s="123" t="n"/>
      <c r="M81" s="123" t="n"/>
      <c r="N81" s="123" t="n"/>
      <c r="O81" s="124" t="n"/>
      <c r="P81" s="98" t="n"/>
      <c r="Q81" s="99" t="inlineStr">
        <is>
          <t>着</t>
        </is>
      </c>
      <c r="R81" s="100" t="n"/>
      <c r="S81" s="101" t="n"/>
      <c r="T81" s="102" t="n"/>
      <c r="U81" s="103" t="n"/>
      <c r="V81" s="136" t="n"/>
      <c r="W81" s="105" t="n"/>
      <c r="X81" s="103" t="n"/>
      <c r="Y81" s="123" t="n"/>
      <c r="Z81" s="123" t="n"/>
      <c r="AA81" s="123" t="n"/>
      <c r="AB81" s="123" t="n"/>
      <c r="AC81" s="126" t="n"/>
    </row>
    <row r="82" ht="17.1" customHeight="1" s="107" thickTop="1">
      <c r="A82" s="110" t="inlineStr">
        <is>
          <t>27-5236</t>
        </is>
      </c>
      <c r="B82" s="26" t="n">
        <v>46198</v>
      </c>
      <c r="C82" s="111" t="n">
        <v>1988</v>
      </c>
      <c r="D82" s="49" t="inlineStr">
        <is>
          <t>3/12</t>
        </is>
      </c>
      <c r="E82" s="112" t="n"/>
      <c r="F82" s="43" t="inlineStr">
        <is>
          <t xml:space="preserve">ｴﾌﾞﾘｲﾜｺﾞﾝ PZﾀｰﾎﾞｽﾍﾟｼｬﾙ </t>
        </is>
      </c>
      <c r="G82" s="34" t="inlineStr">
        <is>
          <t>8/12</t>
        </is>
      </c>
      <c r="H82" s="113" t="n">
        <v>4.5</v>
      </c>
      <c r="I82" s="114" t="n">
        <v>1250000</v>
      </c>
      <c r="J82" s="114">
        <f>I82*0.1</f>
        <v/>
      </c>
      <c r="K82" s="114" t="n">
        <v>0</v>
      </c>
      <c r="L82" s="114" t="n">
        <v>8550</v>
      </c>
      <c r="M82" s="114" t="n">
        <v>15950</v>
      </c>
      <c r="N82" s="114">
        <f>SUM(I82:M83)</f>
        <v/>
      </c>
      <c r="O82" s="115" t="n"/>
      <c r="P82" s="50" t="inlineStr">
        <is>
          <t>名古屋 58A む 1106</t>
        </is>
      </c>
      <c r="Q82" s="27" t="inlineStr">
        <is>
          <t>予定</t>
        </is>
      </c>
      <c r="R82" s="47" t="n"/>
      <c r="S82" s="71" t="n"/>
      <c r="T82" s="40" t="n"/>
      <c r="U82" s="41" t="n"/>
      <c r="V82" s="116" t="n"/>
      <c r="W82" s="45" t="n"/>
      <c r="X82" s="117" t="n"/>
      <c r="Y82" s="114" t="n"/>
      <c r="Z82" s="114">
        <f>Y82*0.1</f>
        <v/>
      </c>
      <c r="AA82" s="114" t="n"/>
      <c r="AB82" s="114">
        <f>SUM(Y82:AA82)</f>
        <v/>
      </c>
      <c r="AC82" s="118" t="n"/>
    </row>
    <row r="83" ht="17.1" customHeight="1" s="107" thickBot="1">
      <c r="A83" s="119" t="n"/>
      <c r="B83" s="29" t="inlineStr">
        <is>
          <t>TAA中部</t>
        </is>
      </c>
      <c r="C83" s="29" t="n">
        <v>3505</v>
      </c>
      <c r="D83" s="73" t="inlineStr">
        <is>
          <t>ﾊﾟｰﾙ</t>
        </is>
      </c>
      <c r="E83" s="120" t="n"/>
      <c r="F83" s="38" t="inlineStr">
        <is>
          <t>DA17W-285063</t>
        </is>
      </c>
      <c r="G83" s="121" t="n">
        <v>31948</v>
      </c>
      <c r="H83" s="122" t="n"/>
      <c r="I83" s="123" t="n"/>
      <c r="J83" s="123" t="n"/>
      <c r="K83" s="123" t="n"/>
      <c r="L83" s="123" t="n"/>
      <c r="M83" s="123" t="n"/>
      <c r="N83" s="123" t="n"/>
      <c r="O83" s="124" t="n"/>
      <c r="P83" s="51" t="n"/>
      <c r="Q83" s="30" t="inlineStr">
        <is>
          <t>着</t>
        </is>
      </c>
      <c r="R83" s="31" t="n"/>
      <c r="S83" s="48" t="n"/>
      <c r="T83" s="69" t="n"/>
      <c r="U83" s="39" t="n"/>
      <c r="V83" s="125" t="n"/>
      <c r="W83" s="44" t="n"/>
      <c r="X83" s="39" t="n"/>
      <c r="Y83" s="123" t="n"/>
      <c r="Z83" s="123" t="n"/>
      <c r="AA83" s="123" t="n"/>
      <c r="AB83" s="123" t="n"/>
      <c r="AC83" s="126" t="n"/>
    </row>
    <row r="84" ht="17.1" customHeight="1" s="107" thickTop="1">
      <c r="A84" s="110" t="inlineStr">
        <is>
          <t>27-5237</t>
        </is>
      </c>
      <c r="B84" s="26" t="n">
        <v>46198</v>
      </c>
      <c r="C84" s="111" t="n">
        <v>1336</v>
      </c>
      <c r="D84" s="49" t="inlineStr">
        <is>
          <t>1/12</t>
        </is>
      </c>
      <c r="E84" s="112" t="n"/>
      <c r="F84" s="43" t="inlineStr">
        <is>
          <t>ﾒﾙｾﾃﾞｽﾍﾞﾝﾂ CLA 200d</t>
        </is>
      </c>
      <c r="G84" s="34" t="inlineStr">
        <is>
          <t>8/12</t>
        </is>
      </c>
      <c r="H84" s="113" t="n">
        <v>4.5</v>
      </c>
      <c r="I84" s="114" t="n">
        <v>2095000</v>
      </c>
      <c r="J84" s="114">
        <f>I84*0.1</f>
        <v/>
      </c>
      <c r="K84" s="114" t="n">
        <v>29700</v>
      </c>
      <c r="L84" s="114" t="n">
        <v>19350</v>
      </c>
      <c r="M84" s="114" t="n">
        <v>16500</v>
      </c>
      <c r="N84" s="114">
        <f>SUM(I84:M85)</f>
        <v/>
      </c>
      <c r="O84" s="115" t="n"/>
      <c r="P84" s="50" t="inlineStr">
        <is>
          <t>神戸 304 ら 2786</t>
        </is>
      </c>
      <c r="Q84" s="27" t="inlineStr">
        <is>
          <t>予定</t>
        </is>
      </c>
      <c r="R84" s="47" t="n"/>
      <c r="S84" s="71" t="inlineStr">
        <is>
          <t>保証書 取説</t>
        </is>
      </c>
      <c r="T84" s="40" t="n"/>
      <c r="U84" s="41" t="n"/>
      <c r="V84" s="116" t="n"/>
      <c r="W84" s="45" t="n"/>
      <c r="X84" s="117" t="n"/>
      <c r="Y84" s="114" t="n"/>
      <c r="Z84" s="114">
        <f>Y84*0.1</f>
        <v/>
      </c>
      <c r="AA84" s="114" t="n"/>
      <c r="AB84" s="114">
        <f>SUM(Y84:AA84)</f>
        <v/>
      </c>
      <c r="AC84" s="118" t="n"/>
    </row>
    <row r="85" ht="17.1" customHeight="1" s="107" thickBot="1">
      <c r="A85" s="119" t="n"/>
      <c r="B85" s="29" t="inlineStr">
        <is>
          <t>ZiP大阪</t>
        </is>
      </c>
      <c r="C85" s="29" t="n">
        <v>35</v>
      </c>
      <c r="D85" s="73" t="inlineStr">
        <is>
          <t>白</t>
        </is>
      </c>
      <c r="E85" s="120" t="n"/>
      <c r="F85" s="38" t="inlineStr">
        <is>
          <t>WDD1186122N076252</t>
        </is>
      </c>
      <c r="G85" s="121" t="n">
        <v>64631</v>
      </c>
      <c r="H85" s="122" t="n"/>
      <c r="I85" s="123" t="n"/>
      <c r="J85" s="123" t="n"/>
      <c r="K85" s="123" t="n"/>
      <c r="L85" s="123" t="n"/>
      <c r="M85" s="123" t="n"/>
      <c r="N85" s="123" t="n"/>
      <c r="O85" s="124" t="n"/>
      <c r="P85" s="51" t="n"/>
      <c r="Q85" s="30" t="inlineStr">
        <is>
          <t>着</t>
        </is>
      </c>
      <c r="R85" s="31" t="n"/>
      <c r="S85" s="48" t="n"/>
      <c r="T85" s="69" t="n"/>
      <c r="U85" s="39" t="n"/>
      <c r="V85" s="125" t="n"/>
      <c r="W85" s="44" t="n"/>
      <c r="X85" s="39" t="n"/>
      <c r="Y85" s="123" t="n"/>
      <c r="Z85" s="123" t="n"/>
      <c r="AA85" s="123" t="n"/>
      <c r="AB85" s="123" t="n"/>
      <c r="AC85" s="126" t="n"/>
    </row>
    <row r="86" ht="17.1" customHeight="1" s="107" thickTop="1">
      <c r="A86" s="110" t="inlineStr">
        <is>
          <t>27-5238</t>
        </is>
      </c>
      <c r="B86" s="26" t="n">
        <v>46198</v>
      </c>
      <c r="C86" s="111" t="n">
        <v>1336</v>
      </c>
      <c r="D86" s="49" t="inlineStr">
        <is>
          <t>28/5</t>
        </is>
      </c>
      <c r="E86" s="112" t="n"/>
      <c r="F86" s="43" t="inlineStr">
        <is>
          <t>ｱｳﾃﾞｨ TTｸｰﾍﾟ 2.0TFSI</t>
        </is>
      </c>
      <c r="G86" s="34" t="inlineStr">
        <is>
          <t>9/5</t>
        </is>
      </c>
      <c r="H86" s="113" t="n">
        <v>4.5</v>
      </c>
      <c r="I86" s="114" t="n">
        <v>1605000</v>
      </c>
      <c r="J86" s="114">
        <f>I86*0.1</f>
        <v/>
      </c>
      <c r="K86" s="114" t="n">
        <v>32560</v>
      </c>
      <c r="L86" s="114" t="n">
        <v>14760</v>
      </c>
      <c r="M86" s="114" t="n">
        <v>16500</v>
      </c>
      <c r="N86" s="114">
        <f>SUM(I86:M87)</f>
        <v/>
      </c>
      <c r="O86" s="115" t="n"/>
      <c r="P86" s="50" t="inlineStr">
        <is>
          <t>奈良 301 の 345</t>
        </is>
      </c>
      <c r="Q86" s="27" t="inlineStr">
        <is>
          <t>予定</t>
        </is>
      </c>
      <c r="R86" s="47" t="n"/>
      <c r="S86" s="71" t="inlineStr">
        <is>
          <t>保証書 ｽﾍﾟｱｷｰ</t>
        </is>
      </c>
      <c r="T86" s="40" t="n"/>
      <c r="U86" s="41" t="n"/>
      <c r="V86" s="116" t="n"/>
      <c r="W86" s="45" t="n"/>
      <c r="X86" s="117" t="n"/>
      <c r="Y86" s="114" t="n"/>
      <c r="Z86" s="114">
        <f>Y86*0.1</f>
        <v/>
      </c>
      <c r="AA86" s="114" t="n"/>
      <c r="AB86" s="114">
        <f>SUM(Y86:AA86)</f>
        <v/>
      </c>
      <c r="AC86" s="118" t="n"/>
    </row>
    <row r="87" ht="17.1" customHeight="1" s="107" thickBot="1">
      <c r="A87" s="119" t="n"/>
      <c r="B87" s="29" t="inlineStr">
        <is>
          <t>ZiP大阪</t>
        </is>
      </c>
      <c r="C87" s="29" t="n">
        <v>79</v>
      </c>
      <c r="D87" s="73" t="inlineStr">
        <is>
          <t>ﾊﾟｰﾙ</t>
        </is>
      </c>
      <c r="E87" s="120" t="n"/>
      <c r="F87" s="38" t="inlineStr">
        <is>
          <t>TRUZZZFV7G1013729</t>
        </is>
      </c>
      <c r="G87" s="121" t="n">
        <v>41982</v>
      </c>
      <c r="H87" s="122" t="n"/>
      <c r="I87" s="123" t="n"/>
      <c r="J87" s="123" t="n"/>
      <c r="K87" s="123" t="n"/>
      <c r="L87" s="123" t="n"/>
      <c r="M87" s="123" t="n"/>
      <c r="N87" s="123" t="n"/>
      <c r="O87" s="124" t="n"/>
      <c r="P87" s="51" t="n"/>
      <c r="Q87" s="30" t="inlineStr">
        <is>
          <t>着</t>
        </is>
      </c>
      <c r="R87" s="31" t="n"/>
      <c r="S87" s="48" t="n"/>
      <c r="T87" s="69" t="n"/>
      <c r="U87" s="39" t="n"/>
      <c r="V87" s="125" t="n"/>
      <c r="W87" s="44" t="n"/>
      <c r="X87" s="39" t="n"/>
      <c r="Y87" s="123" t="n"/>
      <c r="Z87" s="123" t="n"/>
      <c r="AA87" s="123" t="n"/>
      <c r="AB87" s="123" t="n"/>
      <c r="AC87" s="126" t="n"/>
    </row>
    <row r="88" ht="17.1" customHeight="1" s="107" thickTop="1">
      <c r="A88" s="110" t="inlineStr">
        <is>
          <t>27-5239</t>
        </is>
      </c>
      <c r="B88" s="26" t="n">
        <v>46198</v>
      </c>
      <c r="C88" s="111" t="n">
        <v>1336</v>
      </c>
      <c r="D88" s="74" t="inlineStr">
        <is>
          <t>30/5</t>
        </is>
      </c>
      <c r="E88" s="128" t="n"/>
      <c r="F88" s="76" t="inlineStr">
        <is>
          <t>VWｱｯﾌﾟ GTI</t>
        </is>
      </c>
      <c r="G88" s="77" t="n"/>
      <c r="H88" s="129" t="n">
        <v>4.5</v>
      </c>
      <c r="I88" s="130" t="n">
        <v>1095000</v>
      </c>
      <c r="J88" s="130">
        <f>I88*0.1</f>
        <v/>
      </c>
      <c r="K88" s="130" t="n">
        <v>0</v>
      </c>
      <c r="L88" s="130" t="n">
        <v>10890</v>
      </c>
      <c r="M88" s="130" t="n">
        <v>16500</v>
      </c>
      <c r="N88" s="130">
        <f>SUM(I88:M89)</f>
        <v/>
      </c>
      <c r="O88" s="131" t="n"/>
      <c r="P88" s="81" t="n"/>
      <c r="Q88" s="82" t="inlineStr">
        <is>
          <t>予定</t>
        </is>
      </c>
      <c r="R88" s="83" t="n"/>
      <c r="S88" s="84" t="inlineStr">
        <is>
          <t>保証書 ｽﾍﾟｱｷｰ</t>
        </is>
      </c>
      <c r="T88" s="85" t="n"/>
      <c r="U88" s="86" t="n"/>
      <c r="V88" s="132" t="n"/>
      <c r="W88" s="88" t="n"/>
      <c r="X88" s="133" t="n"/>
      <c r="Y88" s="130" t="n"/>
      <c r="Z88" s="130">
        <f>Y88*0.1</f>
        <v/>
      </c>
      <c r="AA88" s="130" t="n"/>
      <c r="AB88" s="130">
        <f>SUM(Y88:AA88)</f>
        <v/>
      </c>
      <c r="AC88" s="134" t="n"/>
    </row>
    <row r="89" ht="17.1" customHeight="1" s="107" thickBot="1">
      <c r="A89" s="119" t="n"/>
      <c r="B89" s="29" t="inlineStr">
        <is>
          <t>ZiP大阪</t>
        </is>
      </c>
      <c r="C89" s="29" t="n">
        <v>121</v>
      </c>
      <c r="D89" s="91" t="inlineStr">
        <is>
          <t>白</t>
        </is>
      </c>
      <c r="E89" s="120" t="n"/>
      <c r="F89" s="93" t="inlineStr">
        <is>
          <t>WVWZZZAAZJD184090</t>
        </is>
      </c>
      <c r="G89" s="135" t="n">
        <v>61893</v>
      </c>
      <c r="H89" s="122" t="n"/>
      <c r="I89" s="123" t="n"/>
      <c r="J89" s="123" t="n"/>
      <c r="K89" s="123" t="n"/>
      <c r="L89" s="123" t="n"/>
      <c r="M89" s="123" t="n"/>
      <c r="N89" s="123" t="n"/>
      <c r="O89" s="124" t="n"/>
      <c r="P89" s="98" t="n"/>
      <c r="Q89" s="99" t="inlineStr">
        <is>
          <t>着</t>
        </is>
      </c>
      <c r="R89" s="100" t="n"/>
      <c r="S89" s="101" t="n"/>
      <c r="T89" s="102" t="n"/>
      <c r="U89" s="103" t="n"/>
      <c r="V89" s="136" t="n"/>
      <c r="W89" s="105" t="n"/>
      <c r="X89" s="103" t="n"/>
      <c r="Y89" s="123" t="n"/>
      <c r="Z89" s="123" t="n"/>
      <c r="AA89" s="123" t="n"/>
      <c r="AB89" s="123" t="n"/>
      <c r="AC89" s="126" t="n"/>
    </row>
    <row r="90" ht="17.1" customHeight="1" s="107" thickTop="1">
      <c r="A90" s="110" t="inlineStr">
        <is>
          <t>27-5240</t>
        </is>
      </c>
      <c r="B90" s="26" t="n">
        <v>46198</v>
      </c>
      <c r="C90" s="111" t="n">
        <v>1336</v>
      </c>
      <c r="D90" s="49" t="inlineStr">
        <is>
          <t>1/8</t>
        </is>
      </c>
      <c r="E90" s="112" t="n"/>
      <c r="F90" s="43" t="inlineStr">
        <is>
          <t>ｱｳﾃﾞｨ A6 55TFSIｸﾜﾄﾛ</t>
        </is>
      </c>
      <c r="G90" s="34" t="inlineStr">
        <is>
          <t>8/8</t>
        </is>
      </c>
      <c r="H90" s="113" t="n">
        <v>4.5</v>
      </c>
      <c r="I90" s="114" t="n">
        <v>2235000</v>
      </c>
      <c r="J90" s="114">
        <f>I90*0.1</f>
        <v/>
      </c>
      <c r="K90" s="114" t="n">
        <v>42020</v>
      </c>
      <c r="L90" s="114" t="n">
        <v>19540</v>
      </c>
      <c r="M90" s="114" t="n">
        <v>16500</v>
      </c>
      <c r="N90" s="114">
        <f>SUM(I90:M91)</f>
        <v/>
      </c>
      <c r="O90" s="115" t="n"/>
      <c r="P90" s="50" t="inlineStr">
        <is>
          <t>神戸 380 な 1112</t>
        </is>
      </c>
      <c r="Q90" s="27" t="inlineStr">
        <is>
          <t>予定</t>
        </is>
      </c>
      <c r="R90" s="47" t="n"/>
      <c r="S90" s="71" t="inlineStr">
        <is>
          <t>保証書 ｽﾍﾟｱｷｰ</t>
        </is>
      </c>
      <c r="T90" s="40" t="n"/>
      <c r="U90" s="41" t="n"/>
      <c r="V90" s="116" t="n"/>
      <c r="W90" s="45" t="n">
        <v>46200</v>
      </c>
      <c r="X90" s="117" t="n">
        <v>1306</v>
      </c>
      <c r="Y90" s="114" t="n">
        <v>2370000</v>
      </c>
      <c r="Z90" s="114">
        <f>Y90*0.1</f>
        <v/>
      </c>
      <c r="AA90" s="114" t="n">
        <v>19540</v>
      </c>
      <c r="AB90" s="114">
        <f>SUM(Y90:AA90)</f>
        <v/>
      </c>
      <c r="AC90" s="118" t="n"/>
    </row>
    <row r="91" ht="17.1" customHeight="1" s="107" thickBot="1">
      <c r="A91" s="119" t="n"/>
      <c r="B91" s="29" t="inlineStr">
        <is>
          <t>ZiP大阪</t>
        </is>
      </c>
      <c r="C91" s="29" t="n">
        <v>133</v>
      </c>
      <c r="D91" s="73" t="inlineStr">
        <is>
          <t>ﾊﾟｰﾙ</t>
        </is>
      </c>
      <c r="E91" s="120" t="n"/>
      <c r="F91" s="38" t="inlineStr">
        <is>
          <t>WAUZZZF2XKU110986</t>
        </is>
      </c>
      <c r="G91" s="121" t="n">
        <v>43419</v>
      </c>
      <c r="H91" s="122" t="n"/>
      <c r="I91" s="123" t="n"/>
      <c r="J91" s="123" t="n"/>
      <c r="K91" s="123" t="n"/>
      <c r="L91" s="123" t="n"/>
      <c r="M91" s="123" t="n"/>
      <c r="N91" s="123" t="n"/>
      <c r="O91" s="124" t="n"/>
      <c r="P91" s="51" t="n"/>
      <c r="Q91" s="30" t="inlineStr">
        <is>
          <t>着</t>
        </is>
      </c>
      <c r="R91" s="31" t="n"/>
      <c r="S91" s="48" t="n"/>
      <c r="T91" s="69" t="n"/>
      <c r="U91" s="39" t="n"/>
      <c r="V91" s="125" t="n"/>
      <c r="W91" s="44" t="inlineStr">
        <is>
          <t>HAA神戸</t>
        </is>
      </c>
      <c r="X91" s="39" t="n">
        <v>80454</v>
      </c>
      <c r="Y91" s="123" t="n"/>
      <c r="Z91" s="123" t="n"/>
      <c r="AA91" s="123" t="n"/>
      <c r="AB91" s="123" t="n"/>
      <c r="AC91" s="126" t="n"/>
    </row>
    <row r="92" ht="17.1" customHeight="1" s="107" thickTop="1">
      <c r="A92" s="110" t="inlineStr">
        <is>
          <t>27-5241</t>
        </is>
      </c>
      <c r="B92" s="26" t="n">
        <v>46198</v>
      </c>
      <c r="C92" s="111" t="n">
        <v>1336</v>
      </c>
      <c r="D92" s="49" t="inlineStr">
        <is>
          <t>1/8</t>
        </is>
      </c>
      <c r="E92" s="112" t="n"/>
      <c r="F92" s="43" t="inlineStr">
        <is>
          <t>BMW X2 xﾄﾞﾗｲﾌﾞ20I</t>
        </is>
      </c>
      <c r="G92" s="34" t="n"/>
      <c r="H92" s="113" t="n">
        <v>4.5</v>
      </c>
      <c r="I92" s="114" t="n">
        <v>1000000</v>
      </c>
      <c r="J92" s="114">
        <f>I92*0.1</f>
        <v/>
      </c>
      <c r="K92" s="114" t="n">
        <v>0</v>
      </c>
      <c r="L92" s="114" t="n">
        <v>18980</v>
      </c>
      <c r="M92" s="114" t="n">
        <v>16500</v>
      </c>
      <c r="N92" s="114">
        <f>SUM(I92:M93)</f>
        <v/>
      </c>
      <c r="O92" s="115" t="n"/>
      <c r="P92" s="50" t="n"/>
      <c r="Q92" s="27" t="inlineStr">
        <is>
          <t>予定</t>
        </is>
      </c>
      <c r="R92" s="47" t="n"/>
      <c r="S92" s="71" t="inlineStr">
        <is>
          <t>ｽﾍﾟｱｷｰ ﾘﾓｺﾝ</t>
        </is>
      </c>
      <c r="T92" s="40" t="n"/>
      <c r="U92" s="41" t="n"/>
      <c r="V92" s="116" t="n"/>
      <c r="W92" s="45" t="n"/>
      <c r="X92" s="117" t="n"/>
      <c r="Y92" s="114" t="n"/>
      <c r="Z92" s="114">
        <f>Y92*0.1</f>
        <v/>
      </c>
      <c r="AA92" s="114" t="n"/>
      <c r="AB92" s="114">
        <f>SUM(Y92:AA92)</f>
        <v/>
      </c>
      <c r="AC92" s="118" t="n"/>
    </row>
    <row r="93" ht="17.1" customHeight="1" s="107" thickBot="1">
      <c r="A93" s="119" t="n"/>
      <c r="B93" s="29" t="inlineStr">
        <is>
          <t>ZiP大阪</t>
        </is>
      </c>
      <c r="C93" s="29" t="n">
        <v>137</v>
      </c>
      <c r="D93" s="73" t="inlineStr">
        <is>
          <t>ｸﾞﾚｰ</t>
        </is>
      </c>
      <c r="E93" s="120" t="n"/>
      <c r="F93" s="38" t="inlineStr">
        <is>
          <t>WBAYH52030EK62603</t>
        </is>
      </c>
      <c r="G93" s="121" t="n">
        <v>46335</v>
      </c>
      <c r="H93" s="122" t="n"/>
      <c r="I93" s="123" t="n"/>
      <c r="J93" s="123" t="n"/>
      <c r="K93" s="123" t="n"/>
      <c r="L93" s="123" t="n"/>
      <c r="M93" s="123" t="n"/>
      <c r="N93" s="123" t="n"/>
      <c r="O93" s="124" t="n"/>
      <c r="P93" s="51" t="n"/>
      <c r="Q93" s="30" t="inlineStr">
        <is>
          <t>着</t>
        </is>
      </c>
      <c r="R93" s="31" t="n"/>
      <c r="S93" s="48" t="n"/>
      <c r="T93" s="69" t="n"/>
      <c r="U93" s="39" t="n"/>
      <c r="V93" s="125" t="n"/>
      <c r="W93" s="44" t="n"/>
      <c r="X93" s="39" t="n"/>
      <c r="Y93" s="123" t="n"/>
      <c r="Z93" s="123" t="n"/>
      <c r="AA93" s="123" t="n"/>
      <c r="AB93" s="123" t="n"/>
      <c r="AC93" s="126" t="n"/>
    </row>
    <row r="94" ht="17.1" customHeight="1" s="107" thickTop="1">
      <c r="A94" s="110" t="inlineStr">
        <is>
          <t>27-5242</t>
        </is>
      </c>
      <c r="B94" s="26" t="n">
        <v>46198</v>
      </c>
      <c r="C94" s="111" t="n">
        <v>1336</v>
      </c>
      <c r="D94" s="49" t="inlineStr">
        <is>
          <t>4/7</t>
        </is>
      </c>
      <c r="E94" s="112" t="n"/>
      <c r="F94" s="43" t="inlineStr">
        <is>
          <t>BMW 118d MSP</t>
        </is>
      </c>
      <c r="G94" s="34" t="inlineStr">
        <is>
          <t>9/7</t>
        </is>
      </c>
      <c r="H94" s="113" t="n">
        <v>4.5</v>
      </c>
      <c r="I94" s="114" t="n">
        <v>1875000</v>
      </c>
      <c r="J94" s="114">
        <f>I94*0.1</f>
        <v/>
      </c>
      <c r="K94" s="114" t="n">
        <v>29700</v>
      </c>
      <c r="L94" s="114" t="n">
        <v>17680</v>
      </c>
      <c r="M94" s="114" t="n">
        <v>16500</v>
      </c>
      <c r="N94" s="114">
        <f>SUM(I94:M95)</f>
        <v/>
      </c>
      <c r="O94" s="115" t="n"/>
      <c r="P94" s="50" t="inlineStr">
        <is>
          <t>大阪 32P せ 6</t>
        </is>
      </c>
      <c r="Q94" s="27" t="inlineStr">
        <is>
          <t>予定</t>
        </is>
      </c>
      <c r="R94" s="47" t="n"/>
      <c r="S94" s="71" t="inlineStr">
        <is>
          <t>保証書 ｽﾍﾟｱｷｰ ﾜﾝｵｰﾅｰ</t>
        </is>
      </c>
      <c r="T94" s="40" t="n"/>
      <c r="U94" s="41" t="n"/>
      <c r="V94" s="116" t="n"/>
      <c r="W94" s="45" t="n"/>
      <c r="X94" s="117" t="n"/>
      <c r="Y94" s="114" t="n"/>
      <c r="Z94" s="114">
        <f>Y94*0.1</f>
        <v/>
      </c>
      <c r="AA94" s="114" t="n"/>
      <c r="AB94" s="114">
        <f>SUM(Y94:AA94)</f>
        <v/>
      </c>
      <c r="AC94" s="118" t="n"/>
    </row>
    <row r="95" ht="17.1" customHeight="1" s="107" thickBot="1">
      <c r="A95" s="119" t="n"/>
      <c r="B95" s="29" t="inlineStr">
        <is>
          <t>ZiP大阪</t>
        </is>
      </c>
      <c r="C95" s="29" t="n">
        <v>502</v>
      </c>
      <c r="D95" s="73" t="inlineStr">
        <is>
          <t>白</t>
        </is>
      </c>
      <c r="E95" s="120" t="n"/>
      <c r="F95" s="38" t="inlineStr">
        <is>
          <t>WBA7M920107K82125</t>
        </is>
      </c>
      <c r="G95" s="121" t="n">
        <v>45540</v>
      </c>
      <c r="H95" s="122" t="n"/>
      <c r="I95" s="123" t="n"/>
      <c r="J95" s="123" t="n"/>
      <c r="K95" s="123" t="n"/>
      <c r="L95" s="123" t="n"/>
      <c r="M95" s="123" t="n"/>
      <c r="N95" s="123" t="n"/>
      <c r="O95" s="124" t="n"/>
      <c r="P95" s="51" t="n"/>
      <c r="Q95" s="30" t="inlineStr">
        <is>
          <t>着</t>
        </is>
      </c>
      <c r="R95" s="31" t="n"/>
      <c r="S95" s="48" t="n"/>
      <c r="T95" s="69" t="n"/>
      <c r="U95" s="39" t="n"/>
      <c r="V95" s="125" t="n"/>
      <c r="W95" s="44" t="n"/>
      <c r="X95" s="39" t="n"/>
      <c r="Y95" s="123" t="n"/>
      <c r="Z95" s="123" t="n"/>
      <c r="AA95" s="123" t="n"/>
      <c r="AB95" s="123" t="n"/>
      <c r="AC95" s="126" t="n"/>
    </row>
    <row r="96" ht="17.1" customHeight="1" s="107" thickTop="1">
      <c r="A96" s="110" t="inlineStr">
        <is>
          <t>27-5243</t>
        </is>
      </c>
      <c r="B96" s="26" t="n">
        <v>46198</v>
      </c>
      <c r="C96" s="111" t="n">
        <v>2163</v>
      </c>
      <c r="D96" s="49" t="inlineStr">
        <is>
          <t>14/11</t>
        </is>
      </c>
      <c r="E96" s="112" t="n"/>
      <c r="F96" s="43" t="inlineStr">
        <is>
          <t>ﾐﾗｼﾞｰﾉ ﾐﾆﾗｲﾄｽﾍﾟｼｬﾙ</t>
        </is>
      </c>
      <c r="G96" s="34" t="inlineStr">
        <is>
          <t>8/12</t>
        </is>
      </c>
      <c r="H96" s="113" t="n">
        <v>3.5</v>
      </c>
      <c r="I96" s="114" t="n">
        <v>136000</v>
      </c>
      <c r="J96" s="114">
        <f>I96*0.1</f>
        <v/>
      </c>
      <c r="K96" s="114" t="n">
        <v>0</v>
      </c>
      <c r="L96" s="114" t="n">
        <v>8570</v>
      </c>
      <c r="M96" s="114" t="n">
        <v>14300</v>
      </c>
      <c r="N96" s="114">
        <f>SUM(I96:M97)</f>
        <v/>
      </c>
      <c r="O96" s="115" t="n"/>
      <c r="P96" s="50" t="inlineStr">
        <is>
          <t>浜松 581 な 7024</t>
        </is>
      </c>
      <c r="Q96" s="27" t="inlineStr">
        <is>
          <t>予定</t>
        </is>
      </c>
      <c r="R96" s="47" t="n"/>
      <c r="S96" s="71" t="n"/>
      <c r="T96" s="40" t="n"/>
      <c r="U96" s="41" t="n"/>
      <c r="V96" s="116" t="n"/>
      <c r="W96" s="45" t="n"/>
      <c r="X96" s="117" t="n"/>
      <c r="Y96" s="114" t="n"/>
      <c r="Z96" s="114">
        <f>Y96*0.1</f>
        <v/>
      </c>
      <c r="AA96" s="114" t="n"/>
      <c r="AB96" s="114">
        <f>SUM(Y96:AA96)</f>
        <v/>
      </c>
      <c r="AC96" s="118" t="n"/>
    </row>
    <row r="97" ht="17.1" customHeight="1" s="107" thickBot="1">
      <c r="A97" s="119" t="n"/>
      <c r="B97" s="29" t="inlineStr">
        <is>
          <t>JU愛知(まとめ)</t>
        </is>
      </c>
      <c r="C97" s="29" t="n">
        <v>62</v>
      </c>
      <c r="D97" s="73" t="inlineStr">
        <is>
          <t>ｼﾙﾊﾞｰ</t>
        </is>
      </c>
      <c r="E97" s="120" t="n"/>
      <c r="F97" s="38" t="inlineStr">
        <is>
          <t>L700S-0296732</t>
        </is>
      </c>
      <c r="G97" s="121" t="n">
        <v>168754</v>
      </c>
      <c r="H97" s="122" t="n"/>
      <c r="I97" s="123" t="n"/>
      <c r="J97" s="123" t="n"/>
      <c r="K97" s="123" t="n"/>
      <c r="L97" s="123" t="n"/>
      <c r="M97" s="123" t="n"/>
      <c r="N97" s="123" t="n"/>
      <c r="O97" s="124" t="n"/>
      <c r="P97" s="51" t="n"/>
      <c r="Q97" s="30" t="inlineStr">
        <is>
          <t>着</t>
        </is>
      </c>
      <c r="R97" s="31" t="n"/>
      <c r="S97" s="48" t="n"/>
      <c r="T97" s="69" t="n"/>
      <c r="U97" s="39" t="n"/>
      <c r="V97" s="125" t="n"/>
      <c r="W97" s="44" t="n"/>
      <c r="X97" s="39" t="n"/>
      <c r="Y97" s="123" t="n"/>
      <c r="Z97" s="123" t="n"/>
      <c r="AA97" s="123" t="n"/>
      <c r="AB97" s="123" t="n"/>
      <c r="AC97" s="126" t="n"/>
    </row>
    <row r="98" ht="17.1" customHeight="1" s="107" thickTop="1">
      <c r="A98" s="110" t="inlineStr">
        <is>
          <t>27-5244</t>
        </is>
      </c>
      <c r="B98" s="26" t="n">
        <v>46198</v>
      </c>
      <c r="C98" s="111" t="n">
        <v>2163</v>
      </c>
      <c r="D98" s="49" t="inlineStr">
        <is>
          <t>25/11</t>
        </is>
      </c>
      <c r="E98" s="112" t="n"/>
      <c r="F98" s="43" t="inlineStr">
        <is>
          <t>ﾜｺﾞﾝR FX ﾘﾐﾃｯﾄﾞ</t>
        </is>
      </c>
      <c r="G98" s="34" t="inlineStr">
        <is>
          <t>8/11/19</t>
        </is>
      </c>
      <c r="H98" s="113" t="n">
        <v>4</v>
      </c>
      <c r="I98" s="114" t="n">
        <v>311000</v>
      </c>
      <c r="J98" s="114">
        <f>I98*0.1</f>
        <v/>
      </c>
      <c r="K98" s="114" t="n">
        <v>0</v>
      </c>
      <c r="L98" s="114" t="n">
        <v>8930</v>
      </c>
      <c r="M98" s="114" t="n">
        <v>14300</v>
      </c>
      <c r="N98" s="114">
        <f>SUM(I98:M99)</f>
        <v/>
      </c>
      <c r="O98" s="115" t="n"/>
      <c r="P98" s="50" t="inlineStr">
        <is>
          <t>岐阜 587 も 1123</t>
        </is>
      </c>
      <c r="Q98" s="27" t="inlineStr">
        <is>
          <t>予定</t>
        </is>
      </c>
      <c r="R98" s="47" t="n"/>
      <c r="S98" s="71" t="n"/>
      <c r="T98" s="40" t="n"/>
      <c r="U98" s="41" t="n"/>
      <c r="V98" s="116" t="n"/>
      <c r="W98" s="45" t="n"/>
      <c r="X98" s="117" t="n"/>
      <c r="Y98" s="114" t="n"/>
      <c r="Z98" s="114">
        <f>Y98*0.1</f>
        <v/>
      </c>
      <c r="AA98" s="114" t="n"/>
      <c r="AB98" s="114">
        <f>SUM(Y98:AA98)</f>
        <v/>
      </c>
      <c r="AC98" s="118" t="n"/>
    </row>
    <row r="99" ht="17.1" customHeight="1" s="107" thickBot="1">
      <c r="A99" s="119" t="n"/>
      <c r="B99" s="29" t="inlineStr">
        <is>
          <t>JU愛知(まとめ)</t>
        </is>
      </c>
      <c r="C99" s="29" t="n">
        <v>218</v>
      </c>
      <c r="D99" s="73" t="inlineStr">
        <is>
          <t>ﾊﾟｰﾙ</t>
        </is>
      </c>
      <c r="E99" s="120" t="n"/>
      <c r="F99" s="38" t="inlineStr">
        <is>
          <t>MH34S-258508</t>
        </is>
      </c>
      <c r="G99" s="121" t="n">
        <v>35268</v>
      </c>
      <c r="H99" s="122" t="n"/>
      <c r="I99" s="123" t="n"/>
      <c r="J99" s="123" t="n"/>
      <c r="K99" s="123" t="n"/>
      <c r="L99" s="123" t="n"/>
      <c r="M99" s="123" t="n"/>
      <c r="N99" s="123" t="n"/>
      <c r="O99" s="124" t="n"/>
      <c r="P99" s="51" t="n"/>
      <c r="Q99" s="30" t="inlineStr">
        <is>
          <t>着</t>
        </is>
      </c>
      <c r="R99" s="31" t="n"/>
      <c r="S99" s="48" t="n"/>
      <c r="T99" s="69" t="n"/>
      <c r="U99" s="39" t="n"/>
      <c r="V99" s="125" t="n"/>
      <c r="W99" s="44" t="n"/>
      <c r="X99" s="39" t="n"/>
      <c r="Y99" s="123" t="n"/>
      <c r="Z99" s="123" t="n"/>
      <c r="AA99" s="123" t="n"/>
      <c r="AB99" s="123" t="n"/>
      <c r="AC99" s="126" t="n"/>
    </row>
    <row r="100" ht="17.1" customHeight="1" s="107" thickTop="1">
      <c r="A100" s="110" t="inlineStr">
        <is>
          <t>27-5245</t>
        </is>
      </c>
      <c r="B100" s="26" t="n">
        <v>46198</v>
      </c>
      <c r="C100" s="111" t="n">
        <v>2163</v>
      </c>
      <c r="D100" s="74" t="inlineStr">
        <is>
          <t>29/6</t>
        </is>
      </c>
      <c r="E100" s="128" t="n"/>
      <c r="F100" s="76" t="inlineStr">
        <is>
          <t xml:space="preserve">ﾊｽﾗｰ　G </t>
        </is>
      </c>
      <c r="G100" s="77" t="inlineStr">
        <is>
          <t>8/6/23</t>
        </is>
      </c>
      <c r="H100" s="129" t="n">
        <v>4.5</v>
      </c>
      <c r="I100" s="130" t="n">
        <v>731000</v>
      </c>
      <c r="J100" s="130">
        <f>I100*0.1</f>
        <v/>
      </c>
      <c r="K100" s="130" t="n">
        <v>0</v>
      </c>
      <c r="L100" s="130" t="n">
        <v>8400</v>
      </c>
      <c r="M100" s="130" t="n">
        <v>14300</v>
      </c>
      <c r="N100" s="130">
        <f>SUM(I100:M101)</f>
        <v/>
      </c>
      <c r="O100" s="131" t="n"/>
      <c r="P100" s="81" t="inlineStr">
        <is>
          <t>松本 580 む 8106</t>
        </is>
      </c>
      <c r="Q100" s="82" t="inlineStr">
        <is>
          <t>予定</t>
        </is>
      </c>
      <c r="R100" s="83" t="n"/>
      <c r="S100" s="84" t="inlineStr">
        <is>
          <t xml:space="preserve">保証書 </t>
        </is>
      </c>
      <c r="T100" s="85" t="n"/>
      <c r="U100" s="86" t="n"/>
      <c r="V100" s="132" t="n"/>
      <c r="W100" s="88" t="n"/>
      <c r="X100" s="133" t="n"/>
      <c r="Y100" s="130" t="n"/>
      <c r="Z100" s="130">
        <f>Y100*0.1</f>
        <v/>
      </c>
      <c r="AA100" s="130" t="n"/>
      <c r="AB100" s="130">
        <f>SUM(Y100:AA100)</f>
        <v/>
      </c>
      <c r="AC100" s="134" t="n"/>
    </row>
    <row r="101" ht="17.1" customHeight="1" s="107" thickBot="1">
      <c r="A101" s="119" t="n"/>
      <c r="B101" s="29" t="inlineStr">
        <is>
          <t>JU愛知(まとめ)</t>
        </is>
      </c>
      <c r="C101" s="29" t="n">
        <v>2131</v>
      </c>
      <c r="D101" s="91" t="inlineStr">
        <is>
          <t>茶色</t>
        </is>
      </c>
      <c r="E101" s="120" t="n"/>
      <c r="F101" s="93" t="inlineStr">
        <is>
          <t>MR41S-263486</t>
        </is>
      </c>
      <c r="G101" s="135" t="n">
        <v>59000</v>
      </c>
      <c r="H101" s="122" t="n"/>
      <c r="I101" s="123" t="n"/>
      <c r="J101" s="123" t="n"/>
      <c r="K101" s="123" t="n"/>
      <c r="L101" s="123" t="n"/>
      <c r="M101" s="123" t="n"/>
      <c r="N101" s="123" t="n"/>
      <c r="O101" s="124" t="n"/>
      <c r="P101" s="98" t="n"/>
      <c r="Q101" s="99" t="inlineStr">
        <is>
          <t>着</t>
        </is>
      </c>
      <c r="R101" s="100" t="n"/>
      <c r="S101" s="101" t="n"/>
      <c r="T101" s="102" t="n"/>
      <c r="U101" s="103" t="n"/>
      <c r="V101" s="136" t="n"/>
      <c r="W101" s="105" t="n"/>
      <c r="X101" s="103" t="n"/>
      <c r="Y101" s="123" t="n"/>
      <c r="Z101" s="123" t="n"/>
      <c r="AA101" s="123" t="n"/>
      <c r="AB101" s="123" t="n"/>
      <c r="AC101" s="126" t="n"/>
    </row>
    <row r="102" ht="17.1" customHeight="1" s="107" thickTop="1">
      <c r="A102" s="110" t="inlineStr">
        <is>
          <t>27-5246</t>
        </is>
      </c>
      <c r="B102" s="26" t="n">
        <v>46198</v>
      </c>
      <c r="C102" s="111" t="n">
        <v>2163</v>
      </c>
      <c r="D102" s="49" t="inlineStr">
        <is>
          <t>1/11</t>
        </is>
      </c>
      <c r="E102" s="112" t="n"/>
      <c r="F102" s="43" t="inlineStr">
        <is>
          <t>ﾀﾝﾄｶｽﾀﾑ X</t>
        </is>
      </c>
      <c r="G102" s="34" t="n"/>
      <c r="H102" s="113" t="n">
        <v>4</v>
      </c>
      <c r="I102" s="114" t="n">
        <v>834000</v>
      </c>
      <c r="J102" s="114">
        <f>I102*0.1</f>
        <v/>
      </c>
      <c r="K102" s="114" t="n">
        <v>0</v>
      </c>
      <c r="L102" s="114" t="n">
        <v>7150</v>
      </c>
      <c r="M102" s="114" t="n">
        <v>14300</v>
      </c>
      <c r="N102" s="114">
        <f>SUM(I102:M103)</f>
        <v/>
      </c>
      <c r="O102" s="115" t="n"/>
      <c r="P102" s="50" t="n"/>
      <c r="Q102" s="27" t="inlineStr">
        <is>
          <t>予定</t>
        </is>
      </c>
      <c r="R102" s="47" t="n"/>
      <c r="S102" s="71" t="inlineStr">
        <is>
          <t>保証書</t>
        </is>
      </c>
      <c r="T102" s="40" t="n"/>
      <c r="U102" s="41" t="n"/>
      <c r="V102" s="116" t="n"/>
      <c r="W102" s="45" t="n"/>
      <c r="X102" s="117" t="n"/>
      <c r="Y102" s="114" t="n"/>
      <c r="Z102" s="114">
        <f>Y102*0.1</f>
        <v/>
      </c>
      <c r="AA102" s="114" t="n"/>
      <c r="AB102" s="114">
        <f>SUM(Y102:AA102)</f>
        <v/>
      </c>
      <c r="AC102" s="118" t="n"/>
    </row>
    <row r="103" ht="17.1" customHeight="1" s="107" thickBot="1">
      <c r="A103" s="119" t="n"/>
      <c r="B103" s="29" t="inlineStr">
        <is>
          <t>JU愛知(まとめ)</t>
        </is>
      </c>
      <c r="C103" s="29" t="n">
        <v>2507</v>
      </c>
      <c r="D103" s="73" t="inlineStr">
        <is>
          <t>ﾊﾟｰﾙ</t>
        </is>
      </c>
      <c r="E103" s="120" t="n"/>
      <c r="F103" s="38" t="inlineStr">
        <is>
          <t>LA650S-0053827</t>
        </is>
      </c>
      <c r="G103" s="121" t="n">
        <v>48122</v>
      </c>
      <c r="H103" s="122" t="n"/>
      <c r="I103" s="123" t="n"/>
      <c r="J103" s="123" t="n"/>
      <c r="K103" s="123" t="n"/>
      <c r="L103" s="123" t="n"/>
      <c r="M103" s="123" t="n"/>
      <c r="N103" s="123" t="n"/>
      <c r="O103" s="124" t="n"/>
      <c r="P103" s="51" t="n"/>
      <c r="Q103" s="30" t="inlineStr">
        <is>
          <t>着</t>
        </is>
      </c>
      <c r="R103" s="31" t="n"/>
      <c r="S103" s="48" t="n"/>
      <c r="T103" s="69" t="n"/>
      <c r="U103" s="39" t="n"/>
      <c r="V103" s="125" t="n"/>
      <c r="W103" s="44" t="n"/>
      <c r="X103" s="39" t="n"/>
      <c r="Y103" s="123" t="n"/>
      <c r="Z103" s="123" t="n"/>
      <c r="AA103" s="123" t="n"/>
      <c r="AB103" s="123" t="n"/>
      <c r="AC103" s="126" t="n"/>
    </row>
    <row r="104" ht="17.1" customHeight="1" s="107" thickTop="1">
      <c r="A104" s="110" t="inlineStr">
        <is>
          <t>27-5247</t>
        </is>
      </c>
      <c r="B104" s="26" t="n">
        <v>46198</v>
      </c>
      <c r="C104" s="111" t="n">
        <v>2163</v>
      </c>
      <c r="D104" s="49" t="inlineStr">
        <is>
          <t>5/6</t>
        </is>
      </c>
      <c r="E104" s="112" t="n"/>
      <c r="F104" s="43" t="inlineStr">
        <is>
          <t>ﾊｽﾗｰ ﾊｲﾌﾞﾘｯﾄﾞX</t>
        </is>
      </c>
      <c r="G104" s="34" t="n"/>
      <c r="H104" s="113" t="n">
        <v>4.5</v>
      </c>
      <c r="I104" s="114" t="n">
        <v>1089000</v>
      </c>
      <c r="J104" s="114">
        <f>I104*0.1</f>
        <v/>
      </c>
      <c r="K104" s="114" t="n">
        <v>0</v>
      </c>
      <c r="L104" s="114" t="n">
        <v>6850</v>
      </c>
      <c r="M104" s="114" t="n">
        <v>14300</v>
      </c>
      <c r="N104" s="114">
        <f>SUM(I104:M105)</f>
        <v/>
      </c>
      <c r="O104" s="115" t="n"/>
      <c r="P104" s="50" t="n"/>
      <c r="Q104" s="27" t="inlineStr">
        <is>
          <t>予定</t>
        </is>
      </c>
      <c r="R104" s="47" t="n"/>
      <c r="S104" s="71" t="inlineStr">
        <is>
          <t>保証書</t>
        </is>
      </c>
      <c r="T104" s="40" t="n"/>
      <c r="U104" s="41" t="n"/>
      <c r="V104" s="116" t="n"/>
      <c r="W104" s="45" t="n"/>
      <c r="X104" s="117" t="n"/>
      <c r="Y104" s="114" t="n"/>
      <c r="Z104" s="114">
        <f>Y104*0.1</f>
        <v/>
      </c>
      <c r="AA104" s="114" t="n"/>
      <c r="AB104" s="114">
        <f>SUM(Y104:AA104)</f>
        <v/>
      </c>
      <c r="AC104" s="118" t="n"/>
    </row>
    <row r="105" ht="17.1" customHeight="1" s="107" thickBot="1">
      <c r="A105" s="119" t="n"/>
      <c r="B105" s="29" t="inlineStr">
        <is>
          <t>JU愛知(まとめ)</t>
        </is>
      </c>
      <c r="C105" s="29" t="n">
        <v>2508</v>
      </c>
      <c r="D105" s="73" t="inlineStr">
        <is>
          <t>青</t>
        </is>
      </c>
      <c r="E105" s="120" t="n"/>
      <c r="F105" s="38" t="inlineStr">
        <is>
          <t>MR92S-353925</t>
        </is>
      </c>
      <c r="G105" s="121" t="n">
        <v>9614</v>
      </c>
      <c r="H105" s="122" t="n"/>
      <c r="I105" s="123" t="n"/>
      <c r="J105" s="123" t="n"/>
      <c r="K105" s="123" t="n"/>
      <c r="L105" s="123" t="n"/>
      <c r="M105" s="123" t="n"/>
      <c r="N105" s="123" t="n"/>
      <c r="O105" s="124" t="n"/>
      <c r="P105" s="51" t="n"/>
      <c r="Q105" s="30" t="inlineStr">
        <is>
          <t>着</t>
        </is>
      </c>
      <c r="R105" s="31" t="n"/>
      <c r="S105" s="48" t="n"/>
      <c r="T105" s="69" t="n"/>
      <c r="U105" s="39" t="n"/>
      <c r="V105" s="125" t="n"/>
      <c r="W105" s="44" t="n"/>
      <c r="X105" s="39" t="n"/>
      <c r="Y105" s="123" t="n"/>
      <c r="Z105" s="123" t="n"/>
      <c r="AA105" s="123" t="n"/>
      <c r="AB105" s="123" t="n"/>
      <c r="AC105" s="126" t="n"/>
    </row>
    <row r="106" ht="17.1" customHeight="1" s="107" thickTop="1">
      <c r="A106" s="110" t="inlineStr">
        <is>
          <t>27-5248</t>
        </is>
      </c>
      <c r="B106" s="26" t="n">
        <v>46198</v>
      </c>
      <c r="C106" s="111" t="n">
        <v>2163</v>
      </c>
      <c r="D106" s="49" t="inlineStr">
        <is>
          <t>31/2</t>
        </is>
      </c>
      <c r="E106" s="112" t="n"/>
      <c r="F106" s="43" t="inlineStr">
        <is>
          <t>ﾊｽﾗｰ 特別仕様車 ﾜﾝﾀﾞｰ</t>
        </is>
      </c>
      <c r="G106" s="34" t="n"/>
      <c r="H106" s="113" t="n">
        <v>4</v>
      </c>
      <c r="I106" s="114" t="n">
        <v>799000</v>
      </c>
      <c r="J106" s="114">
        <f>I106*0.1</f>
        <v/>
      </c>
      <c r="K106" s="114" t="n">
        <v>0</v>
      </c>
      <c r="L106" s="114" t="n">
        <v>8860</v>
      </c>
      <c r="M106" s="114" t="n">
        <v>14300</v>
      </c>
      <c r="N106" s="114">
        <f>SUM(I106:M107)</f>
        <v/>
      </c>
      <c r="O106" s="115" t="n"/>
      <c r="P106" s="50" t="n"/>
      <c r="Q106" s="27" t="inlineStr">
        <is>
          <t>予定</t>
        </is>
      </c>
      <c r="R106" s="47" t="n"/>
      <c r="S106" s="71" t="n"/>
      <c r="T106" s="40" t="n"/>
      <c r="U106" s="41" t="n"/>
      <c r="V106" s="116" t="n"/>
      <c r="W106" s="45" t="n"/>
      <c r="X106" s="117" t="n"/>
      <c r="Y106" s="114" t="n"/>
      <c r="Z106" s="114">
        <f>Y106*0.1</f>
        <v/>
      </c>
      <c r="AA106" s="114" t="n"/>
      <c r="AB106" s="114">
        <f>SUM(Y106:AA106)</f>
        <v/>
      </c>
      <c r="AC106" s="118" t="n"/>
    </row>
    <row r="107" ht="17.1" customHeight="1" s="107" thickBot="1">
      <c r="A107" s="119" t="n"/>
      <c r="B107" s="29" t="inlineStr">
        <is>
          <t>JU愛知(まとめ)</t>
        </is>
      </c>
      <c r="C107" s="29" t="n">
        <v>2510</v>
      </c>
      <c r="D107" s="73" t="inlineStr">
        <is>
          <t>ﾍﾞｰｼﾞｭ</t>
        </is>
      </c>
      <c r="E107" s="120" t="n"/>
      <c r="F107" s="38" t="inlineStr">
        <is>
          <t>MR41S-344764</t>
        </is>
      </c>
      <c r="G107" s="121" t="n">
        <v>65509</v>
      </c>
      <c r="H107" s="122" t="n"/>
      <c r="I107" s="123" t="n"/>
      <c r="J107" s="123" t="n"/>
      <c r="K107" s="123" t="n"/>
      <c r="L107" s="123" t="n"/>
      <c r="M107" s="123" t="n"/>
      <c r="N107" s="123" t="n"/>
      <c r="O107" s="124" t="n"/>
      <c r="P107" s="51" t="n"/>
      <c r="Q107" s="30" t="inlineStr">
        <is>
          <t>着</t>
        </is>
      </c>
      <c r="R107" s="31" t="n"/>
      <c r="S107" s="48" t="n"/>
      <c r="T107" s="69" t="n"/>
      <c r="U107" s="39" t="n"/>
      <c r="V107" s="125" t="n"/>
      <c r="W107" s="44" t="n"/>
      <c r="X107" s="39" t="n"/>
      <c r="Y107" s="123" t="n"/>
      <c r="Z107" s="123" t="n"/>
      <c r="AA107" s="123" t="n"/>
      <c r="AB107" s="123" t="n"/>
      <c r="AC107" s="126" t="n"/>
    </row>
    <row r="108" ht="17.1" customHeight="1" s="107" thickTop="1">
      <c r="A108" s="110" t="inlineStr">
        <is>
          <t>27-5249</t>
        </is>
      </c>
      <c r="B108" s="26" t="n">
        <v>46198</v>
      </c>
      <c r="C108" s="111" t="n">
        <v>2163</v>
      </c>
      <c r="D108" s="74" t="inlineStr">
        <is>
          <t>2/6</t>
        </is>
      </c>
      <c r="E108" s="128" t="n"/>
      <c r="F108" s="76" t="inlineStr">
        <is>
          <t>ﾜｺﾞﾝR ﾊｲﾌﾞﾘｯﾄﾞ FX</t>
        </is>
      </c>
      <c r="G108" s="77" t="n"/>
      <c r="H108" s="129" t="n">
        <v>4</v>
      </c>
      <c r="I108" s="130" t="n">
        <v>531000</v>
      </c>
      <c r="J108" s="130">
        <f>I108*0.1</f>
        <v/>
      </c>
      <c r="K108" s="130" t="n">
        <v>0</v>
      </c>
      <c r="L108" s="130" t="n">
        <v>6470</v>
      </c>
      <c r="M108" s="130" t="n">
        <v>14300</v>
      </c>
      <c r="N108" s="130">
        <f>SUM(I108:M109)</f>
        <v/>
      </c>
      <c r="O108" s="131" t="n"/>
      <c r="P108" s="81" t="n"/>
      <c r="Q108" s="82" t="inlineStr">
        <is>
          <t>予定</t>
        </is>
      </c>
      <c r="R108" s="83" t="n"/>
      <c r="S108" s="84" t="inlineStr">
        <is>
          <t>保証書 取説</t>
        </is>
      </c>
      <c r="T108" s="85" t="n"/>
      <c r="U108" s="86" t="n"/>
      <c r="V108" s="132" t="n"/>
      <c r="W108" s="88" t="n"/>
      <c r="X108" s="133" t="n"/>
      <c r="Y108" s="130" t="n"/>
      <c r="Z108" s="130">
        <f>Y108*0.1</f>
        <v/>
      </c>
      <c r="AA108" s="130" t="n"/>
      <c r="AB108" s="130">
        <f>SUM(Y108:AA108)</f>
        <v/>
      </c>
      <c r="AC108" s="134" t="n"/>
    </row>
    <row r="109" ht="17.1" customHeight="1" s="107" thickBot="1">
      <c r="A109" s="119" t="n"/>
      <c r="B109" s="29" t="inlineStr">
        <is>
          <t>JU愛知(まとめ)</t>
        </is>
      </c>
      <c r="C109" s="29" t="n">
        <v>2512</v>
      </c>
      <c r="D109" s="91" t="inlineStr">
        <is>
          <t>黒</t>
        </is>
      </c>
      <c r="E109" s="120" t="n"/>
      <c r="F109" s="93" t="inlineStr">
        <is>
          <t>MH95S-124513</t>
        </is>
      </c>
      <c r="G109" s="135" t="n">
        <v>26779</v>
      </c>
      <c r="H109" s="122" t="n"/>
      <c r="I109" s="123" t="n"/>
      <c r="J109" s="123" t="n"/>
      <c r="K109" s="123" t="n"/>
      <c r="L109" s="123" t="n"/>
      <c r="M109" s="123" t="n"/>
      <c r="N109" s="123" t="n"/>
      <c r="O109" s="124" t="n"/>
      <c r="P109" s="98" t="n"/>
      <c r="Q109" s="99" t="inlineStr">
        <is>
          <t>着</t>
        </is>
      </c>
      <c r="R109" s="100" t="n"/>
      <c r="S109" s="101" t="n"/>
      <c r="T109" s="102" t="n"/>
      <c r="U109" s="103" t="n"/>
      <c r="V109" s="136" t="n"/>
      <c r="W109" s="105" t="n"/>
      <c r="X109" s="103" t="n"/>
      <c r="Y109" s="123" t="n"/>
      <c r="Z109" s="123" t="n"/>
      <c r="AA109" s="123" t="n"/>
      <c r="AB109" s="123" t="n"/>
      <c r="AC109" s="126" t="n"/>
    </row>
    <row r="110" ht="17.1" customHeight="1" s="107" thickTop="1">
      <c r="A110" s="110" t="inlineStr">
        <is>
          <t>27-5250</t>
        </is>
      </c>
      <c r="B110" s="26" t="n">
        <v>46198</v>
      </c>
      <c r="C110" s="111" t="n">
        <v>2163</v>
      </c>
      <c r="D110" s="49" t="inlineStr">
        <is>
          <t>4/？</t>
        </is>
      </c>
      <c r="E110" s="112" t="n"/>
      <c r="F110" s="43" t="inlineStr">
        <is>
          <t>ｼﾞﾑﾆｰW XL</t>
        </is>
      </c>
      <c r="G110" s="34" t="inlineStr">
        <is>
          <t>9/8</t>
        </is>
      </c>
      <c r="H110" s="113" t="n">
        <v>4.5</v>
      </c>
      <c r="I110" s="114" t="n">
        <v>1394000</v>
      </c>
      <c r="J110" s="114">
        <f>I110*0.1</f>
        <v/>
      </c>
      <c r="K110" s="114" t="n">
        <v>0</v>
      </c>
      <c r="L110" s="114" t="n">
        <v>9080</v>
      </c>
      <c r="M110" s="114" t="n">
        <v>14300</v>
      </c>
      <c r="N110" s="114">
        <f>SUM(I110:M111)</f>
        <v/>
      </c>
      <c r="O110" s="115" t="n"/>
      <c r="P110" s="50" t="inlineStr">
        <is>
          <t>岐阜 586 さ 64</t>
        </is>
      </c>
      <c r="Q110" s="27" t="inlineStr">
        <is>
          <t>予定</t>
        </is>
      </c>
      <c r="R110" s="47" t="n"/>
      <c r="S110" s="71" t="inlineStr">
        <is>
          <t>名変期限7/24</t>
        </is>
      </c>
      <c r="T110" s="40" t="n"/>
      <c r="U110" s="41" t="n"/>
      <c r="V110" s="116" t="n"/>
      <c r="W110" s="45" t="n"/>
      <c r="X110" s="117" t="n"/>
      <c r="Y110" s="114" t="n"/>
      <c r="Z110" s="114">
        <f>Y110*0.1</f>
        <v/>
      </c>
      <c r="AA110" s="114" t="n"/>
      <c r="AB110" s="114">
        <f>SUM(Y110:AA110)</f>
        <v/>
      </c>
      <c r="AC110" s="118" t="n"/>
    </row>
    <row r="111" ht="17.1" customHeight="1" s="107" thickBot="1">
      <c r="A111" s="119" t="n"/>
      <c r="B111" s="29" t="inlineStr">
        <is>
          <t>JU愛知(まとめ)</t>
        </is>
      </c>
      <c r="C111" s="29" t="n">
        <v>2559</v>
      </c>
      <c r="D111" s="73" t="inlineStr">
        <is>
          <t>白</t>
        </is>
      </c>
      <c r="E111" s="120" t="n"/>
      <c r="F111" s="38" t="inlineStr">
        <is>
          <t>JB64W-261615</t>
        </is>
      </c>
      <c r="G111" s="121" t="n">
        <v>54561</v>
      </c>
      <c r="H111" s="122" t="n"/>
      <c r="I111" s="123" t="n"/>
      <c r="J111" s="123" t="n"/>
      <c r="K111" s="123" t="n"/>
      <c r="L111" s="123" t="n"/>
      <c r="M111" s="123" t="n"/>
      <c r="N111" s="123" t="n"/>
      <c r="O111" s="124" t="n"/>
      <c r="P111" s="51" t="n"/>
      <c r="Q111" s="30" t="inlineStr">
        <is>
          <t>着</t>
        </is>
      </c>
      <c r="R111" s="31" t="n"/>
      <c r="S111" s="48" t="n"/>
      <c r="T111" s="69" t="n"/>
      <c r="U111" s="39" t="n"/>
      <c r="V111" s="125" t="n"/>
      <c r="W111" s="44" t="n"/>
      <c r="X111" s="39" t="n"/>
      <c r="Y111" s="123" t="n"/>
      <c r="Z111" s="123" t="n"/>
      <c r="AA111" s="123" t="n"/>
      <c r="AB111" s="123" t="n"/>
      <c r="AC111" s="126" t="n"/>
    </row>
    <row r="112" ht="17.1" customHeight="1" s="107" thickTop="1"/>
    <row r="113" ht="17.1" customHeight="1" s="107"/>
    <row r="114" ht="17.1" customHeight="1" s="107"/>
    <row r="115" ht="17.1" customHeight="1" s="107"/>
    <row r="116" ht="17.1" customHeight="1" s="107"/>
    <row r="117" ht="17.1" customHeight="1" s="107"/>
    <row r="118" ht="17.1" customHeight="1" s="107"/>
    <row r="119" ht="17.1" customHeight="1" s="107"/>
    <row r="120" ht="17.1" customHeight="1" s="107"/>
    <row r="121" ht="17.1" customHeight="1" s="107"/>
    <row r="122" ht="17.1" customHeight="1" s="107"/>
    <row r="123" ht="17.1" customHeight="1" s="107"/>
    <row r="124" ht="17.1" customHeight="1" s="107"/>
    <row r="125" ht="17.1" customHeight="1" s="107"/>
    <row r="126" ht="17.1" customHeight="1" s="107"/>
    <row r="127" ht="17.1" customHeight="1" s="107"/>
    <row r="128" ht="17.1" customHeight="1" s="107"/>
    <row r="129" ht="17.1" customHeight="1" s="107"/>
    <row r="130" ht="17.1" customHeight="1" s="107"/>
    <row r="131" ht="17.1" customHeight="1" s="107"/>
    <row r="132" ht="17.1" customHeight="1" s="107"/>
    <row r="133" ht="17.1" customHeight="1" s="107"/>
    <row r="134" ht="17.1" customHeight="1" s="107"/>
    <row r="135" ht="17.1" customHeight="1" s="107"/>
    <row r="136" ht="17.1" customHeight="1" s="107"/>
    <row r="137" ht="17.1" customHeight="1" s="107"/>
    <row r="138" ht="17.1" customHeight="1" s="107"/>
    <row r="139" ht="17.1" customHeight="1" s="107"/>
    <row r="140" ht="17.1" customHeight="1" s="107"/>
    <row r="141" ht="17.1" customHeight="1" s="107"/>
    <row r="142" ht="17.1" customHeight="1" s="107"/>
    <row r="143" ht="17.1" customHeight="1" s="107"/>
    <row r="144" ht="17.1" customHeight="1" s="107"/>
    <row r="145" ht="17.1" customHeight="1" s="107"/>
    <row r="146" ht="17.1" customHeight="1" s="107"/>
    <row r="147" ht="17.1" customHeight="1" s="107"/>
    <row r="148" ht="17.1" customHeight="1" s="107"/>
    <row r="149" ht="17.1" customHeight="1" s="107"/>
    <row r="150" ht="17.1" customHeight="1" s="107"/>
    <row r="151" ht="17.1" customHeight="1" s="107"/>
    <row r="152" ht="17.1" customHeight="1" s="107"/>
    <row r="153" ht="17.1" customHeight="1" s="107"/>
    <row r="154" ht="17.1" customHeight="1" s="107"/>
    <row r="155" ht="17.1" customHeight="1" s="107"/>
    <row r="156" ht="17.1" customHeight="1" s="107"/>
    <row r="157" ht="17.1" customHeight="1" s="107"/>
    <row r="158" ht="17.1" customHeight="1" s="107"/>
    <row r="159" ht="17.1" customHeight="1" s="107"/>
    <row r="160" ht="17.1" customHeight="1" s="107"/>
    <row r="161" ht="17.1" customHeight="1" s="107"/>
    <row r="162" ht="17.1" customHeight="1" s="107"/>
    <row r="163" ht="17.1" customHeight="1" s="107"/>
    <row r="164" ht="17.1" customHeight="1" s="107"/>
    <row r="165" ht="17.1" customHeight="1" s="107"/>
    <row r="166" ht="17.1" customHeight="1" s="107"/>
    <row r="167" ht="17.1" customHeight="1" s="107"/>
    <row r="168" ht="17.1" customHeight="1" s="107"/>
    <row r="169" ht="17.1" customHeight="1" s="107"/>
    <row r="170" ht="17.1" customHeight="1" s="107"/>
    <row r="171" ht="17.1" customHeight="1" s="107"/>
    <row r="172" ht="17.1" customHeight="1" s="107"/>
    <row r="173" ht="17.1" customHeight="1" s="107"/>
    <row r="174" ht="17.1" customHeight="1" s="107"/>
    <row r="175" ht="17.1" customHeight="1" s="107"/>
    <row r="176" ht="17.1" customHeight="1" s="107"/>
    <row r="177" ht="17.1" customHeight="1" s="107"/>
    <row r="178" ht="17.1" customHeight="1" s="107"/>
    <row r="179" ht="17.1" customHeight="1" s="107"/>
    <row r="180" ht="17.1" customHeight="1" s="107"/>
    <row r="181" ht="17.1" customHeight="1" s="107"/>
    <row r="182" ht="17.1" customHeight="1" s="107"/>
    <row r="183" ht="17.1" customHeight="1" s="107"/>
    <row r="184" ht="17.1" customHeight="1" s="107"/>
    <row r="185" ht="17.1" customHeight="1" s="107"/>
    <row r="186" ht="17.1" customHeight="1" s="107"/>
    <row r="187" ht="17.1" customHeight="1" s="107"/>
    <row r="188" ht="17.1" customHeight="1" s="107"/>
    <row r="189" ht="17.1" customHeight="1" s="107"/>
    <row r="190" ht="17.1" customHeight="1" s="107"/>
    <row r="191" ht="17.1" customHeight="1" s="107"/>
    <row r="192" ht="17.1" customHeight="1" s="107"/>
    <row r="193" ht="17.1" customHeight="1" s="107"/>
    <row r="194" ht="17.1" customHeight="1" s="107"/>
    <row r="195" ht="17.1" customHeight="1" s="107"/>
    <row r="196" ht="17.1" customHeight="1" s="107"/>
    <row r="197" ht="17.1" customHeight="1" s="107"/>
    <row r="198" ht="17.1" customHeight="1" s="107"/>
    <row r="199" ht="17.1" customHeight="1" s="107"/>
    <row r="200" ht="17.1" customHeight="1" s="107"/>
    <row r="201" ht="17.1" customHeight="1" s="107"/>
    <row r="202" ht="17.1" customHeight="1" s="107"/>
    <row r="203" ht="17.1" customHeight="1" s="107"/>
    <row r="204" ht="17.1" customHeight="1" s="107"/>
    <row r="205" ht="17.1" customHeight="1" s="107"/>
    <row r="206" ht="17.1" customHeight="1" s="107"/>
    <row r="207" ht="17.1" customHeight="1" s="107"/>
    <row r="208" ht="17.1" customHeight="1" s="107"/>
    <row r="209" ht="17.1" customHeight="1" s="107"/>
    <row r="210" ht="17.1" customHeight="1" s="107"/>
    <row r="211" ht="17.1" customHeight="1" s="107"/>
    <row r="212" ht="17.1" customHeight="1" s="107"/>
    <row r="213" ht="17.1" customHeight="1" s="107"/>
    <row r="214" ht="17.1" customHeight="1" s="107"/>
    <row r="215" ht="17.1" customHeight="1" s="107"/>
    <row r="216" ht="17.1" customHeight="1" s="107"/>
    <row r="217" ht="17.1" customHeight="1" s="107"/>
    <row r="218" ht="17.1" customHeight="1" s="107"/>
    <row r="219" ht="17.1" customHeight="1" s="107"/>
    <row r="220" ht="17.1" customHeight="1" s="107"/>
    <row r="221" ht="17.1" customHeight="1" s="107"/>
    <row r="222" ht="17.1" customHeight="1" s="107"/>
    <row r="223" ht="17.1" customHeight="1" s="107"/>
    <row r="224" ht="17.1" customHeight="1" s="107"/>
    <row r="225" ht="17.1" customHeight="1" s="107"/>
    <row r="226" ht="17.1" customHeight="1" s="107"/>
    <row r="227" ht="17.1" customHeight="1" s="107"/>
    <row r="228" ht="17.1" customHeight="1" s="107"/>
    <row r="229" ht="17.1" customHeight="1" s="107"/>
    <row r="230" ht="17.1" customHeight="1" s="107"/>
    <row r="231" ht="17.1" customHeight="1" s="107"/>
    <row r="232" ht="17.1" customHeight="1" s="107"/>
    <row r="233" ht="17.1" customHeight="1" s="107"/>
    <row r="234" ht="17.1" customHeight="1" s="107"/>
    <row r="235" ht="17.1" customHeight="1" s="107"/>
    <row r="236" ht="17.1" customHeight="1" s="107"/>
    <row r="237" ht="17.1" customHeight="1" s="107"/>
    <row r="238" ht="17.1" customHeight="1" s="107"/>
    <row r="239" ht="17.1" customHeight="1" s="107"/>
    <row r="240" ht="17.1" customHeight="1" s="107"/>
    <row r="241" ht="17.1" customHeight="1" s="107"/>
    <row r="242" ht="17.1" customHeight="1" s="107"/>
    <row r="243" ht="17.1" customHeight="1" s="107"/>
    <row r="244" ht="17.1" customHeight="1" s="107"/>
    <row r="245" ht="17.1" customHeight="1" s="107"/>
    <row r="246" ht="17.1" customHeight="1" s="107"/>
    <row r="247" ht="17.1" customHeight="1" s="107"/>
    <row r="248" ht="17.1" customHeight="1" s="107"/>
    <row r="249" ht="17.1" customHeight="1" s="107"/>
    <row r="250" ht="17.1" customHeight="1" s="107"/>
    <row r="251" ht="17.1" customHeight="1" s="107"/>
    <row r="252" ht="17.1" customHeight="1" s="107"/>
    <row r="253" ht="17.1" customHeight="1" s="107"/>
    <row r="254" ht="17.1" customHeight="1" s="107"/>
    <row r="255" ht="17.1" customHeight="1" s="107"/>
    <row r="256" ht="17.1" customHeight="1" s="107"/>
    <row r="257" ht="17.1" customHeight="1" s="107"/>
    <row r="258" ht="17.1" customHeight="1" s="107"/>
    <row r="259" ht="17.1" customHeight="1" s="107"/>
    <row r="260" ht="17.1" customHeight="1" s="107"/>
    <row r="261" ht="17.1" customHeight="1" s="107"/>
    <row r="262" ht="17.1" customHeight="1" s="107"/>
    <row r="263" ht="17.1" customHeight="1" s="107"/>
    <row r="264" ht="17.1" customHeight="1" s="107"/>
    <row r="265" ht="17.1" customHeight="1" s="107"/>
    <row r="266" ht="17.1" customHeight="1" s="107"/>
    <row r="267" ht="17.1" customHeight="1" s="107"/>
    <row r="268" ht="17.1" customHeight="1" s="107"/>
    <row r="269" ht="17.1" customHeight="1" s="107"/>
    <row r="270" ht="17.1" customHeight="1" s="107"/>
    <row r="271" ht="17.1" customHeight="1" s="107"/>
    <row r="272" ht="17.1" customHeight="1" s="107"/>
    <row r="273" ht="17.1" customHeight="1" s="107"/>
    <row r="274" ht="17.1" customHeight="1" s="107"/>
    <row r="275" ht="17.1" customHeight="1" s="107"/>
    <row r="276" ht="17.1" customHeight="1" s="107"/>
    <row r="277" ht="17.1" customHeight="1" s="107"/>
    <row r="278" ht="17.1" customHeight="1" s="107"/>
    <row r="279" ht="17.1" customHeight="1" s="107"/>
    <row r="280" ht="17.1" customHeight="1" s="107"/>
    <row r="281" ht="17.1" customHeight="1" s="107"/>
    <row r="282" ht="17.1" customHeight="1" s="107"/>
    <row r="283" ht="17.1" customHeight="1" s="107"/>
    <row r="284" ht="17.1" customHeight="1" s="107"/>
    <row r="285" ht="17.1" customHeight="1" s="107"/>
    <row r="286" ht="17.1" customHeight="1" s="107"/>
    <row r="287" ht="17.1" customHeight="1" s="107"/>
    <row r="288" ht="17.1" customHeight="1" s="107"/>
    <row r="289" ht="17.1" customHeight="1" s="107"/>
    <row r="290" ht="17.1" customHeight="1" s="107"/>
    <row r="291" ht="17.1" customHeight="1" s="107"/>
    <row r="292" ht="17.1" customHeight="1" s="107"/>
    <row r="293" ht="17.1" customHeight="1" s="107"/>
    <row r="294" ht="17.1" customHeight="1" s="107"/>
    <row r="295" ht="17.1" customHeight="1" s="107"/>
    <row r="296" ht="17.1" customHeight="1" s="107"/>
    <row r="297" ht="17.1" customHeight="1" s="107"/>
    <row r="298" ht="17.1" customHeight="1" s="107"/>
    <row r="299" ht="17.1" customHeight="1" s="107"/>
    <row r="300" ht="17.1" customHeight="1" s="107"/>
    <row r="301" ht="17.1" customHeight="1" s="107"/>
    <row r="302" ht="17.1" customHeight="1" s="107"/>
    <row r="303" ht="17.1" customHeight="1" s="107"/>
    <row r="304" ht="17.1" customHeight="1" s="107"/>
    <row r="305" ht="17.1" customHeight="1" s="107"/>
    <row r="306" ht="17.1" customHeight="1" s="107"/>
    <row r="307" ht="17.1" customHeight="1" s="107"/>
    <row r="308" ht="17.1" customHeight="1" s="107"/>
    <row r="309" ht="17.1" customHeight="1" s="107"/>
    <row r="310" ht="17.1" customHeight="1" s="107"/>
    <row r="311" ht="17.1" customHeight="1" s="107"/>
    <row r="312" ht="17.1" customHeight="1" s="107"/>
    <row r="313" ht="17.1" customHeight="1" s="107"/>
    <row r="314" ht="17.1" customHeight="1" s="107"/>
    <row r="315" ht="17.1" customHeight="1" s="107"/>
    <row r="316" ht="17.1" customHeight="1" s="107"/>
    <row r="317" ht="17.1" customHeight="1" s="107"/>
    <row r="318" ht="17.1" customHeight="1" s="107"/>
    <row r="319" ht="17.1" customHeight="1" s="107"/>
    <row r="320" ht="17.1" customHeight="1" s="107"/>
    <row r="321" ht="17.1" customHeight="1" s="107"/>
    <row r="322" ht="17.1" customHeight="1" s="107"/>
    <row r="323" ht="17.1" customHeight="1" s="107"/>
    <row r="324" ht="17.1" customHeight="1" s="107"/>
    <row r="325" ht="17.1" customHeight="1" s="107"/>
    <row r="326" ht="17.1" customHeight="1" s="107"/>
    <row r="327" ht="17.1" customHeight="1" s="107"/>
    <row r="328" ht="17.1" customHeight="1" s="107"/>
    <row r="329" ht="17.1" customHeight="1" s="107"/>
    <row r="330" ht="17.1" customHeight="1" s="107"/>
    <row r="331" ht="17.1" customHeight="1" s="107"/>
    <row r="332" ht="17.1" customHeight="1" s="107"/>
    <row r="333" ht="17.1" customHeight="1" s="107"/>
    <row r="334" ht="17.1" customHeight="1" s="107"/>
    <row r="335" ht="17.1" customHeight="1" s="107"/>
    <row r="336" ht="17.1" customHeight="1" s="107"/>
    <row r="337" ht="17.1" customHeight="1" s="107"/>
    <row r="338" ht="17.1" customHeight="1" s="107"/>
    <row r="339" ht="17.1" customHeight="1" s="107"/>
    <row r="340" ht="17.1" customHeight="1" s="107"/>
    <row r="341" ht="17.1" customHeight="1" s="107"/>
    <row r="342" ht="17.1" customHeight="1" s="107"/>
    <row r="343" ht="17.1" customHeight="1" s="107"/>
    <row r="344" ht="17.1" customHeight="1" s="107"/>
    <row r="345" ht="17.1" customHeight="1" s="107"/>
    <row r="346" ht="17.1" customHeight="1" s="107"/>
    <row r="347" ht="17.1" customHeight="1" s="107"/>
    <row r="348" ht="17.1" customHeight="1" s="107"/>
    <row r="349" ht="17.1" customHeight="1" s="107"/>
    <row r="350" ht="17.1" customHeight="1" s="107"/>
    <row r="351" ht="17.1" customHeight="1" s="107"/>
    <row r="352" ht="17.1" customHeight="1" s="107"/>
    <row r="353" ht="17.1" customHeight="1" s="107"/>
    <row r="354" ht="17.1" customHeight="1" s="107"/>
    <row r="355" ht="17.1" customHeight="1" s="107"/>
    <row r="356" ht="17.1" customHeight="1" s="107"/>
    <row r="357" ht="17.1" customHeight="1" s="107"/>
    <row r="358" ht="17.1" customHeight="1" s="107"/>
    <row r="359" ht="17.1" customHeight="1" s="107"/>
    <row r="360" ht="17.1" customHeight="1" s="107"/>
    <row r="361" ht="17.1" customHeight="1" s="107"/>
    <row r="362" ht="17.1" customHeight="1" s="107"/>
    <row r="363" ht="17.1" customHeight="1" s="107"/>
    <row r="364" ht="17.1" customHeight="1" s="107"/>
    <row r="365" ht="17.1" customHeight="1" s="107"/>
    <row r="366" ht="17.1" customHeight="1" s="107"/>
    <row r="367" ht="17.1" customHeight="1" s="107"/>
    <row r="368" ht="17.1" customHeight="1" s="107"/>
    <row r="369" ht="17.1" customHeight="1" s="107"/>
    <row r="370" ht="17.1" customHeight="1" s="107"/>
    <row r="371" ht="17.1" customHeight="1" s="107"/>
    <row r="372" ht="17.1" customHeight="1" s="107"/>
    <row r="373" ht="17.1" customHeight="1" s="107"/>
    <row r="374" ht="17.1" customHeight="1" s="107"/>
    <row r="375" ht="17.1" customHeight="1" s="107"/>
    <row r="376" ht="17.1" customHeight="1" s="107"/>
    <row r="377" ht="17.1" customHeight="1" s="107"/>
    <row r="378" ht="17.1" customHeight="1" s="107"/>
    <row r="379" ht="17.1" customHeight="1" s="107"/>
    <row r="380" ht="17.1" customHeight="1" s="107"/>
    <row r="381" ht="17.1" customHeight="1" s="107"/>
    <row r="382" ht="17.1" customHeight="1" s="107"/>
    <row r="383" ht="17.1" customHeight="1" s="107"/>
    <row r="384" ht="17.1" customHeight="1" s="107"/>
    <row r="385" ht="17.1" customHeight="1" s="107"/>
    <row r="386" ht="17.1" customHeight="1" s="107"/>
    <row r="387" ht="17.1" customHeight="1" s="107"/>
    <row r="388" ht="17.1" customHeight="1" s="107"/>
    <row r="389" ht="17.1" customHeight="1" s="107"/>
    <row r="390" ht="17.1" customHeight="1" s="107"/>
    <row r="391" ht="17.1" customHeight="1" s="107"/>
    <row r="392" ht="17.1" customHeight="1" s="107"/>
    <row r="393" ht="17.1" customHeight="1" s="107"/>
    <row r="394" ht="17.1" customHeight="1" s="107"/>
    <row r="395" ht="17.1" customHeight="1" s="107"/>
    <row r="396" ht="17.1" customHeight="1" s="107"/>
    <row r="397" ht="17.1" customHeight="1" s="107"/>
    <row r="398" ht="17.1" customHeight="1" s="107"/>
    <row r="399" ht="17.1" customHeight="1" s="107"/>
    <row r="400" ht="17.1" customHeight="1" s="107"/>
    <row r="401" ht="17.1" customHeight="1" s="107"/>
    <row r="402" ht="17.1" customHeight="1" s="107"/>
    <row r="403" ht="17.1" customHeight="1" s="107"/>
    <row r="404" ht="17.1" customHeight="1" s="107"/>
    <row r="405" ht="17.1" customHeight="1" s="107"/>
    <row r="406" ht="17.1" customHeight="1" s="107"/>
    <row r="407" ht="17.1" customHeight="1" s="107"/>
    <row r="408" ht="17.1" customHeight="1" s="107"/>
    <row r="409" ht="17.1" customHeight="1" s="107"/>
    <row r="410" ht="17.1" customHeight="1" s="107"/>
    <row r="411" ht="17.1" customHeight="1" s="107"/>
    <row r="412" ht="17.1" customHeight="1" s="107"/>
    <row r="413" ht="17.1" customHeight="1" s="107"/>
    <row r="414" ht="17.1" customHeight="1" s="107"/>
    <row r="415" ht="17.1" customHeight="1" s="107"/>
    <row r="416" ht="17.1" customHeight="1" s="107"/>
    <row r="417" ht="17.1" customHeight="1" s="107"/>
    <row r="418" ht="17.1" customHeight="1" s="107"/>
    <row r="419" ht="17.1" customHeight="1" s="107"/>
    <row r="420" ht="17.1" customHeight="1" s="107"/>
    <row r="421" ht="17.1" customHeight="1" s="107"/>
    <row r="422" ht="17.1" customHeight="1" s="107"/>
    <row r="423" ht="17.1" customHeight="1" s="107"/>
    <row r="424" ht="17.1" customHeight="1" s="107"/>
    <row r="425" ht="17.1" customHeight="1" s="107"/>
    <row r="426" ht="17.1" customHeight="1" s="107"/>
    <row r="427" ht="17.1" customHeight="1" s="107"/>
    <row r="428" ht="17.1" customHeight="1" s="107"/>
    <row r="429" ht="17.1" customHeight="1" s="107"/>
    <row r="430" ht="17.1" customHeight="1" s="107"/>
    <row r="431" ht="17.1" customHeight="1" s="107"/>
    <row r="432" ht="17.1" customHeight="1" s="107"/>
    <row r="433" ht="17.1" customHeight="1" s="107"/>
    <row r="434" ht="17.1" customHeight="1" s="107"/>
    <row r="435" ht="17.1" customHeight="1" s="107"/>
    <row r="436" ht="17.1" customHeight="1" s="107"/>
    <row r="437" ht="17.1" customHeight="1" s="107"/>
    <row r="438" ht="17.1" customHeight="1" s="107"/>
    <row r="439" ht="17.1" customHeight="1" s="107"/>
    <row r="440" ht="17.1" customHeight="1" s="107"/>
    <row r="441" ht="17.1" customHeight="1" s="107"/>
    <row r="442" ht="17.1" customHeight="1" s="107"/>
    <row r="443" ht="17.1" customHeight="1" s="107"/>
    <row r="444" ht="17.1" customHeight="1" s="107"/>
    <row r="445" ht="17.1" customHeight="1" s="107"/>
    <row r="446" ht="17.1" customHeight="1" s="107"/>
    <row r="447" ht="17.1" customHeight="1" s="107"/>
    <row r="448" ht="17.1" customHeight="1" s="107"/>
    <row r="449" ht="17.1" customHeight="1" s="107"/>
    <row r="450" ht="17.1" customHeight="1" s="107"/>
    <row r="451" ht="17.1" customHeight="1" s="107"/>
    <row r="452" ht="17.1" customHeight="1" s="107"/>
    <row r="453" ht="17.1" customHeight="1" s="107"/>
    <row r="454" ht="17.1" customHeight="1" s="107"/>
    <row r="455" ht="17.1" customHeight="1" s="107"/>
    <row r="456" ht="17.1" customHeight="1" s="107"/>
    <row r="457" ht="17.1" customHeight="1" s="107"/>
    <row r="458" ht="17.1" customHeight="1" s="107"/>
    <row r="459" ht="17.1" customHeight="1" s="107"/>
    <row r="460" ht="17.1" customHeight="1" s="107"/>
    <row r="461" ht="17.1" customHeight="1" s="107"/>
    <row r="462" ht="17.1" customHeight="1" s="107"/>
    <row r="463" ht="17.1" customHeight="1" s="107"/>
    <row r="464" ht="17.1" customHeight="1" s="107"/>
    <row r="465" ht="17.1" customHeight="1" s="107"/>
    <row r="466" ht="17.1" customHeight="1" s="107"/>
    <row r="467" ht="17.1" customHeight="1" s="107"/>
    <row r="468" ht="17.1" customHeight="1" s="107"/>
    <row r="469" ht="17.1" customHeight="1" s="107"/>
    <row r="470" ht="17.1" customHeight="1" s="107"/>
    <row r="471" ht="17.1" customHeight="1" s="107"/>
    <row r="472" ht="17.1" customHeight="1" s="107"/>
    <row r="473" ht="17.1" customHeight="1" s="107"/>
    <row r="474" ht="17.1" customHeight="1" s="107"/>
    <row r="475" ht="17.1" customHeight="1" s="107"/>
    <row r="476" ht="17.1" customHeight="1" s="107"/>
    <row r="477" ht="17.1" customHeight="1" s="107"/>
    <row r="478" ht="17.1" customHeight="1" s="107"/>
    <row r="479" ht="17.1" customHeight="1" s="107"/>
    <row r="480" ht="17.1" customHeight="1" s="107"/>
    <row r="481" ht="17.1" customHeight="1" s="107"/>
    <row r="482" ht="17.1" customHeight="1" s="107"/>
    <row r="483" ht="17.1" customHeight="1" s="107"/>
    <row r="484" ht="17.1" customHeight="1" s="107"/>
    <row r="485" ht="17.1" customHeight="1" s="107"/>
    <row r="486" ht="17.1" customHeight="1" s="107"/>
    <row r="487" ht="17.1" customHeight="1" s="107"/>
    <row r="488" ht="17.1" customHeight="1" s="107"/>
    <row r="489" ht="17.1" customHeight="1" s="107"/>
    <row r="490" ht="17.1" customHeight="1" s="107"/>
    <row r="491" ht="17.1" customHeight="1" s="107"/>
    <row r="492" ht="17.1" customHeight="1" s="107"/>
    <row r="493" ht="17.1" customHeight="1" s="107"/>
    <row r="494" ht="17.1" customHeight="1" s="107"/>
    <row r="495" ht="17.1" customHeight="1" s="107"/>
    <row r="496" ht="17.1" customHeight="1" s="107"/>
    <row r="497" ht="17.1" customHeight="1" s="107"/>
    <row r="498" ht="17.1" customHeight="1" s="107"/>
    <row r="499" ht="17.1" customHeight="1" s="107"/>
    <row r="500" ht="17.1" customHeight="1" s="107"/>
    <row r="501" ht="17.1" customHeight="1" s="107"/>
    <row r="502" ht="17.1" customHeight="1" s="107"/>
    <row r="503" ht="17.1" customHeight="1" s="107"/>
    <row r="504" ht="17.1" customHeight="1" s="107"/>
    <row r="505" ht="17.1" customHeight="1" s="107"/>
    <row r="506" ht="17.1" customHeight="1" s="107"/>
    <row r="507" ht="17.1" customHeight="1" s="107"/>
    <row r="508" ht="17.1" customHeight="1" s="107"/>
    <row r="509" ht="17.1" customHeight="1" s="107"/>
    <row r="510" ht="17.1" customHeight="1" s="107"/>
    <row r="511" ht="17.1" customHeight="1" s="107"/>
    <row r="512" ht="17.1" customHeight="1" s="107"/>
    <row r="513" ht="17.1" customHeight="1" s="107"/>
    <row r="514" ht="17.1" customHeight="1" s="107"/>
    <row r="515" ht="17.1" customHeight="1" s="107"/>
    <row r="516" ht="17.1" customHeight="1" s="107"/>
    <row r="517" ht="17.1" customHeight="1" s="107"/>
    <row r="518" ht="17.1" customHeight="1" s="107"/>
    <row r="519" ht="17.1" customHeight="1" s="107"/>
    <row r="520" ht="17.1" customHeight="1" s="107"/>
    <row r="521" ht="17.1" customHeight="1" s="107"/>
    <row r="522" ht="17.1" customHeight="1" s="107"/>
    <row r="523" ht="17.1" customHeight="1" s="107"/>
    <row r="524" ht="17.1" customHeight="1" s="107"/>
    <row r="525" ht="17.1" customHeight="1" s="107"/>
    <row r="526" ht="17.1" customHeight="1" s="107"/>
    <row r="527" ht="17.1" customHeight="1" s="107"/>
    <row r="528" ht="17.1" customHeight="1" s="107"/>
    <row r="529" ht="17.1" customHeight="1" s="107"/>
    <row r="530" ht="17.1" customHeight="1" s="107"/>
    <row r="531" ht="17.1" customHeight="1" s="107"/>
    <row r="532" ht="17.1" customHeight="1" s="107"/>
    <row r="533" ht="17.1" customHeight="1" s="107"/>
    <row r="534" ht="17.1" customHeight="1" s="107"/>
    <row r="535" ht="17.1" customHeight="1" s="107"/>
    <row r="536" ht="17.1" customHeight="1" s="107"/>
    <row r="537" ht="17.1" customHeight="1" s="107"/>
    <row r="538" ht="17.1" customHeight="1" s="107"/>
    <row r="539" ht="17.1" customHeight="1" s="107"/>
    <row r="540" ht="17.1" customHeight="1" s="107"/>
    <row r="541" ht="17.1" customHeight="1" s="107"/>
    <row r="542" ht="17.1" customHeight="1" s="107"/>
    <row r="543" ht="17.1" customHeight="1" s="107"/>
    <row r="544" ht="17.1" customHeight="1" s="107"/>
    <row r="545" ht="17.1" customHeight="1" s="107"/>
    <row r="546" ht="17.1" customHeight="1" s="107"/>
    <row r="547" ht="17.1" customHeight="1" s="107"/>
    <row r="548" ht="17.1" customHeight="1" s="107"/>
    <row r="549" ht="17.1" customHeight="1" s="107"/>
    <row r="550" ht="17.1" customHeight="1" s="107"/>
    <row r="551" ht="17.1" customHeight="1" s="107"/>
    <row r="552" ht="17.1" customHeight="1" s="107"/>
    <row r="553" ht="17.1" customHeight="1" s="107"/>
    <row r="554" ht="17.1" customHeight="1" s="107"/>
    <row r="555" ht="17.1" customHeight="1" s="107"/>
    <row r="556" ht="17.1" customHeight="1" s="107"/>
    <row r="557" ht="17.1" customHeight="1" s="107"/>
    <row r="558" ht="17.1" customHeight="1" s="107"/>
    <row r="559" ht="17.1" customHeight="1" s="107"/>
    <row r="560" ht="17.1" customHeight="1" s="107"/>
    <row r="561" ht="17.1" customHeight="1" s="107"/>
    <row r="562" ht="17.1" customHeight="1" s="107"/>
    <row r="563" ht="17.1" customHeight="1" s="107"/>
    <row r="564" ht="17.1" customHeight="1" s="107"/>
    <row r="565" ht="17.1" customHeight="1" s="107"/>
    <row r="566" ht="17.1" customHeight="1" s="107"/>
    <row r="567" ht="17.1" customHeight="1" s="107"/>
    <row r="568" ht="17.1" customHeight="1" s="107"/>
    <row r="569" ht="17.1" customHeight="1" s="107"/>
    <row r="570" ht="17.1" customHeight="1" s="107"/>
    <row r="571" ht="17.1" customHeight="1" s="107"/>
    <row r="572" ht="17.1" customHeight="1" s="107"/>
    <row r="573" ht="17.1" customHeight="1" s="107"/>
    <row r="574" ht="17.1" customHeight="1" s="107"/>
    <row r="575" ht="17.1" customHeight="1" s="107"/>
    <row r="576" ht="17.1" customHeight="1" s="107"/>
    <row r="577" ht="17.1" customHeight="1" s="107"/>
    <row r="578" ht="17.1" customHeight="1" s="107"/>
    <row r="579" ht="17.1" customHeight="1" s="107"/>
    <row r="580" ht="17.1" customHeight="1" s="107"/>
    <row r="581" ht="17.1" customHeight="1" s="107"/>
    <row r="582" ht="17.1" customHeight="1" s="107"/>
    <row r="583" ht="17.1" customHeight="1" s="107"/>
    <row r="584" ht="17.1" customHeight="1" s="107"/>
    <row r="585" ht="17.1" customHeight="1" s="107"/>
    <row r="586" ht="17.1" customHeight="1" s="107"/>
    <row r="587" ht="17.1" customHeight="1" s="107"/>
    <row r="588" ht="17.1" customHeight="1" s="107"/>
    <row r="589" ht="17.1" customHeight="1" s="107"/>
    <row r="590" ht="17.1" customHeight="1" s="107"/>
    <row r="591" ht="17.1" customHeight="1" s="107"/>
    <row r="592" ht="17.1" customHeight="1" s="107"/>
    <row r="593" ht="17.1" customHeight="1" s="107"/>
    <row r="594" ht="17.1" customHeight="1" s="107"/>
    <row r="595" ht="17.1" customHeight="1" s="107"/>
    <row r="596" ht="17.1" customHeight="1" s="107"/>
    <row r="597" ht="17.1" customHeight="1" s="107"/>
    <row r="598" ht="17.1" customHeight="1" s="107"/>
    <row r="599" ht="17.1" customHeight="1" s="107"/>
    <row r="600" ht="17.1" customHeight="1" s="107"/>
    <row r="601" ht="17.1" customHeight="1" s="107"/>
    <row r="602" ht="17.1" customHeight="1" s="107"/>
    <row r="603" ht="17.1" customHeight="1" s="107"/>
    <row r="604" ht="17.1" customHeight="1" s="107"/>
    <row r="605" ht="17.1" customHeight="1" s="107"/>
    <row r="606" ht="17.1" customHeight="1" s="107"/>
    <row r="607" ht="17.1" customHeight="1" s="107"/>
    <row r="608" ht="17.1" customHeight="1" s="107"/>
    <row r="609" ht="17.1" customHeight="1" s="107"/>
    <row r="610" ht="17.1" customHeight="1" s="107"/>
    <row r="611" ht="17.1" customHeight="1" s="107"/>
    <row r="612" ht="17.1" customHeight="1" s="107"/>
    <row r="613" ht="17.1" customHeight="1" s="107"/>
    <row r="614" ht="17.1" customHeight="1" s="107"/>
    <row r="615" ht="17.1" customHeight="1" s="107"/>
    <row r="616" ht="17.1" customHeight="1" s="107"/>
    <row r="617" ht="17.1" customHeight="1" s="107"/>
    <row r="618" ht="17.1" customHeight="1" s="107"/>
    <row r="619" ht="17.1" customHeight="1" s="107"/>
    <row r="620" ht="17.1" customHeight="1" s="107"/>
    <row r="621" ht="17.1" customHeight="1" s="107"/>
    <row r="622" ht="17.1" customHeight="1" s="107"/>
    <row r="623" ht="17.1" customHeight="1" s="107"/>
    <row r="624" ht="17.1" customHeight="1" s="107"/>
    <row r="625" ht="17.1" customHeight="1" s="107"/>
    <row r="626" ht="17.1" customHeight="1" s="107"/>
    <row r="627" ht="17.1" customHeight="1" s="107"/>
    <row r="628" ht="17.1" customHeight="1" s="107"/>
    <row r="629" ht="17.1" customHeight="1" s="107"/>
    <row r="630" ht="17.1" customHeight="1" s="107"/>
    <row r="631" ht="17.1" customHeight="1" s="107"/>
    <row r="632" ht="17.1" customHeight="1" s="107"/>
    <row r="633" ht="17.1" customHeight="1" s="107"/>
    <row r="634" ht="17.1" customHeight="1" s="107"/>
    <row r="635" ht="17.1" customHeight="1" s="107"/>
    <row r="636" ht="17.1" customHeight="1" s="107"/>
    <row r="637" ht="17.1" customHeight="1" s="107"/>
    <row r="638" ht="17.1" customHeight="1" s="107"/>
    <row r="639" ht="17.1" customHeight="1" s="107"/>
    <row r="640" ht="17.1" customHeight="1" s="107"/>
    <row r="641" ht="17.1" customHeight="1" s="107"/>
    <row r="642" ht="17.1" customHeight="1" s="107"/>
    <row r="643" ht="17.1" customHeight="1" s="107"/>
    <row r="644" ht="17.1" customHeight="1" s="107"/>
    <row r="645" ht="17.1" customHeight="1" s="107"/>
    <row r="646" ht="17.1" customHeight="1" s="107"/>
    <row r="647" ht="17.1" customHeight="1" s="107"/>
    <row r="648" ht="17.1" customHeight="1" s="107"/>
    <row r="649" ht="17.1" customHeight="1" s="107"/>
    <row r="650" ht="17.1" customHeight="1" s="107"/>
    <row r="651" ht="17.1" customHeight="1" s="107"/>
    <row r="652" ht="17.1" customHeight="1" s="107"/>
    <row r="653" ht="17.1" customHeight="1" s="107"/>
    <row r="654" ht="17.1" customHeight="1" s="107"/>
    <row r="655" ht="17.1" customHeight="1" s="107"/>
    <row r="656" ht="17.1" customHeight="1" s="107"/>
    <row r="657" ht="17.1" customHeight="1" s="107"/>
    <row r="658" ht="17.1" customHeight="1" s="107"/>
    <row r="659" ht="17.1" customHeight="1" s="107"/>
    <row r="660" ht="17.1" customHeight="1" s="107"/>
    <row r="661" ht="17.1" customHeight="1" s="107"/>
    <row r="662" ht="17.1" customHeight="1" s="107"/>
    <row r="663" ht="17.1" customHeight="1" s="107"/>
    <row r="664" ht="17.1" customHeight="1" s="107"/>
    <row r="665" ht="17.1" customHeight="1" s="107"/>
    <row r="666" ht="17.1" customHeight="1" s="107"/>
    <row r="667" ht="17.1" customHeight="1" s="107"/>
    <row r="668" ht="17.1" customHeight="1" s="107"/>
    <row r="669" ht="17.1" customHeight="1" s="107"/>
    <row r="670" ht="17.1" customHeight="1" s="107"/>
    <row r="671" ht="17.1" customHeight="1" s="107"/>
    <row r="672" ht="17.1" customHeight="1" s="107"/>
    <row r="673" ht="17.1" customHeight="1" s="107"/>
    <row r="674" ht="17.1" customHeight="1" s="107"/>
    <row r="675" ht="17.1" customHeight="1" s="107"/>
    <row r="676" ht="17.1" customHeight="1" s="107"/>
    <row r="677" ht="17.1" customHeight="1" s="107"/>
    <row r="678" ht="17.1" customHeight="1" s="107"/>
    <row r="679" ht="17.1" customHeight="1" s="107"/>
    <row r="680" ht="17.1" customHeight="1" s="107"/>
    <row r="681" ht="17.1" customHeight="1" s="107"/>
    <row r="682" ht="17.1" customHeight="1" s="107"/>
    <row r="683" ht="17.1" customHeight="1" s="107"/>
    <row r="684" ht="17.1" customHeight="1" s="107"/>
    <row r="685" ht="17.1" customHeight="1" s="107"/>
    <row r="686" ht="17.1" customHeight="1" s="107"/>
    <row r="687" ht="17.1" customHeight="1" s="107"/>
    <row r="688" ht="17.1" customHeight="1" s="107"/>
    <row r="689" ht="17.1" customHeight="1" s="107"/>
    <row r="690" ht="17.1" customHeight="1" s="107"/>
    <row r="691" ht="17.1" customHeight="1" s="107"/>
    <row r="692" ht="17.1" customHeight="1" s="107"/>
    <row r="693" ht="17.1" customHeight="1" s="107"/>
    <row r="694" ht="17.1" customHeight="1" s="107"/>
    <row r="695" ht="17.1" customHeight="1" s="107"/>
    <row r="696" ht="17.1" customHeight="1" s="107"/>
    <row r="697" ht="17.1" customHeight="1" s="107"/>
    <row r="698" ht="17.1" customHeight="1" s="107"/>
    <row r="699" ht="17.1" customHeight="1" s="107"/>
    <row r="700" ht="17.1" customHeight="1" s="107"/>
    <row r="701" ht="17.1" customHeight="1" s="107"/>
    <row r="702" ht="17.1" customHeight="1" s="107"/>
    <row r="703" ht="17.1" customHeight="1" s="107"/>
    <row r="704" ht="17.1" customHeight="1" s="107"/>
    <row r="705" ht="17.1" customHeight="1" s="107"/>
    <row r="706" ht="17.1" customHeight="1" s="107"/>
    <row r="707" ht="17.1" customHeight="1" s="107"/>
    <row r="708" ht="17.1" customHeight="1" s="107"/>
    <row r="709" ht="17.1" customHeight="1" s="107"/>
    <row r="710" ht="17.1" customHeight="1" s="107"/>
    <row r="711" ht="17.1" customHeight="1" s="107"/>
    <row r="712" ht="17.1" customHeight="1" s="107"/>
    <row r="713" ht="17.1" customHeight="1" s="107"/>
    <row r="714" ht="17.1" customHeight="1" s="107"/>
    <row r="715" ht="17.1" customHeight="1" s="107"/>
    <row r="716" ht="17.1" customHeight="1" s="107"/>
    <row r="717" ht="17.1" customHeight="1" s="107"/>
    <row r="718" ht="17.1" customHeight="1" s="107"/>
    <row r="719" ht="17.1" customHeight="1" s="107"/>
    <row r="720" ht="17.1" customHeight="1" s="107"/>
    <row r="721" ht="17.1" customHeight="1" s="107"/>
    <row r="722" ht="17.1" customHeight="1" s="107"/>
    <row r="723" ht="17.1" customHeight="1" s="107"/>
    <row r="724" ht="17.1" customHeight="1" s="107"/>
    <row r="725" ht="17.1" customHeight="1" s="107"/>
    <row r="726" ht="17.1" customHeight="1" s="107"/>
    <row r="727" ht="17.1" customHeight="1" s="107"/>
    <row r="728" ht="17.1" customHeight="1" s="107"/>
    <row r="729" ht="17.1" customHeight="1" s="107"/>
    <row r="730" ht="17.1" customHeight="1" s="107"/>
    <row r="731" ht="17.1" customHeight="1" s="107"/>
    <row r="732" ht="17.1" customHeight="1" s="107"/>
    <row r="733" ht="17.1" customHeight="1" s="107"/>
    <row r="734" ht="17.1" customHeight="1" s="107"/>
    <row r="735" ht="17.1" customHeight="1" s="107"/>
    <row r="736" ht="17.1" customHeight="1" s="107"/>
    <row r="737" ht="17.1" customHeight="1" s="107"/>
    <row r="738" ht="17.1" customHeight="1" s="107"/>
    <row r="739" ht="17.1" customHeight="1" s="107"/>
    <row r="740" ht="17.1" customHeight="1" s="107"/>
    <row r="741" ht="17.1" customHeight="1" s="107"/>
    <row r="742" ht="17.1" customHeight="1" s="107"/>
    <row r="743" ht="17.1" customHeight="1" s="107"/>
    <row r="744" ht="17.1" customHeight="1" s="107"/>
    <row r="745" ht="17.1" customHeight="1" s="107"/>
    <row r="746" ht="17.1" customHeight="1" s="107"/>
    <row r="747" ht="17.1" customHeight="1" s="107"/>
    <row r="748" ht="17.1" customHeight="1" s="107"/>
    <row r="749" ht="17.1" customHeight="1" s="107"/>
    <row r="750" ht="17.1" customHeight="1" s="107"/>
    <row r="751" ht="17.1" customHeight="1" s="107"/>
    <row r="752" ht="17.1" customHeight="1" s="107"/>
    <row r="753" ht="17.1" customHeight="1" s="107"/>
    <row r="754" ht="17.1" customHeight="1" s="107"/>
    <row r="755" ht="17.1" customHeight="1" s="107"/>
    <row r="756" ht="17.1" customHeight="1" s="107"/>
    <row r="757" ht="17.1" customHeight="1" s="107"/>
    <row r="758" ht="17.1" customHeight="1" s="107"/>
    <row r="759" ht="17.1" customHeight="1" s="107"/>
    <row r="760" ht="17.1" customHeight="1" s="107"/>
    <row r="761" ht="17.1" customHeight="1" s="107"/>
    <row r="762" ht="17.1" customHeight="1" s="107"/>
    <row r="763" ht="17.1" customHeight="1" s="107"/>
    <row r="764" ht="17.1" customHeight="1" s="107"/>
    <row r="765" ht="17.1" customHeight="1" s="107"/>
    <row r="766" ht="17.1" customHeight="1" s="107"/>
    <row r="767" ht="17.1" customHeight="1" s="107"/>
    <row r="768" ht="17.1" customHeight="1" s="107"/>
    <row r="769" ht="17.1" customHeight="1" s="107"/>
    <row r="770" ht="17.1" customHeight="1" s="107"/>
    <row r="771" ht="17.1" customHeight="1" s="107"/>
    <row r="772" ht="17.1" customHeight="1" s="107"/>
    <row r="773" ht="17.1" customHeight="1" s="107"/>
    <row r="774" ht="17.1" customHeight="1" s="107"/>
    <row r="775" ht="17.1" customHeight="1" s="107"/>
    <row r="776" ht="17.1" customHeight="1" s="107"/>
    <row r="777" ht="17.1" customHeight="1" s="107"/>
    <row r="778" ht="17.1" customHeight="1" s="107"/>
    <row r="779" ht="17.1" customHeight="1" s="107"/>
    <row r="780" ht="17.1" customHeight="1" s="107"/>
    <row r="781" ht="17.1" customHeight="1" s="107"/>
    <row r="782" ht="17.1" customHeight="1" s="107"/>
    <row r="783" ht="17.1" customHeight="1" s="107"/>
    <row r="784" ht="17.1" customHeight="1" s="107"/>
    <row r="785" ht="17.1" customHeight="1" s="107"/>
    <row r="786" ht="17.1" customHeight="1" s="107"/>
    <row r="787" ht="17.1" customHeight="1" s="107"/>
    <row r="788" ht="17.1" customHeight="1" s="107"/>
    <row r="789" ht="17.1" customHeight="1" s="107"/>
    <row r="790" ht="17.1" customHeight="1" s="107"/>
    <row r="791" ht="17.1" customHeight="1" s="107"/>
    <row r="792" ht="17.1" customHeight="1" s="107"/>
    <row r="793" ht="17.1" customHeight="1" s="107"/>
    <row r="794" ht="17.1" customHeight="1" s="107"/>
    <row r="795" ht="17.1" customHeight="1" s="107"/>
    <row r="796" ht="17.1" customHeight="1" s="107"/>
    <row r="797" ht="17.1" customHeight="1" s="107"/>
    <row r="798" ht="17.1" customHeight="1" s="107"/>
    <row r="799" ht="17.1" customHeight="1" s="107"/>
    <row r="800" ht="17.1" customHeight="1" s="107"/>
    <row r="801" ht="17.1" customHeight="1" s="107"/>
    <row r="802" ht="17.1" customHeight="1" s="107"/>
    <row r="803" ht="17.1" customHeight="1" s="107"/>
    <row r="804" ht="17.1" customHeight="1" s="107"/>
    <row r="805" ht="17.1" customHeight="1" s="107"/>
    <row r="806" ht="17.1" customHeight="1" s="107"/>
    <row r="807" ht="17.1" customHeight="1" s="107"/>
    <row r="808" ht="17.1" customHeight="1" s="107"/>
    <row r="809" ht="17.1" customHeight="1" s="107"/>
    <row r="810" ht="17.1" customHeight="1" s="107"/>
    <row r="811" ht="17.1" customHeight="1" s="107"/>
    <row r="812" ht="17.1" customHeight="1" s="107"/>
    <row r="813" ht="17.1" customHeight="1" s="107"/>
    <row r="814" ht="17.1" customHeight="1" s="107"/>
    <row r="815" ht="17.1" customHeight="1" s="107"/>
    <row r="816" ht="17.1" customHeight="1" s="107"/>
    <row r="817" ht="17.1" customHeight="1" s="107"/>
    <row r="818" ht="17.1" customHeight="1" s="107"/>
    <row r="819" ht="17.1" customHeight="1" s="107"/>
    <row r="820" ht="17.1" customHeight="1" s="107"/>
    <row r="821" ht="17.1" customHeight="1" s="107"/>
    <row r="822" ht="17.1" customHeight="1" s="107"/>
    <row r="823" ht="17.1" customHeight="1" s="107"/>
    <row r="824" ht="17.1" customHeight="1" s="107"/>
    <row r="825" ht="17.1" customHeight="1" s="107"/>
    <row r="826" ht="17.1" customHeight="1" s="107"/>
    <row r="827" ht="17.1" customHeight="1" s="107"/>
    <row r="828" ht="17.1" customHeight="1" s="107"/>
    <row r="829" ht="17.1" customHeight="1" s="107"/>
    <row r="830" ht="17.1" customHeight="1" s="107"/>
    <row r="831" ht="17.1" customHeight="1" s="107"/>
    <row r="832" ht="17.1" customHeight="1" s="107"/>
    <row r="833" ht="17.1" customHeight="1" s="107"/>
    <row r="834" ht="17.1" customHeight="1" s="107"/>
    <row r="835" ht="17.1" customHeight="1" s="107"/>
    <row r="836" ht="17.1" customHeight="1" s="107"/>
    <row r="837" ht="17.1" customHeight="1" s="107"/>
    <row r="838" ht="17.1" customHeight="1" s="107"/>
    <row r="839" ht="17.1" customHeight="1" s="107"/>
    <row r="840" ht="17.1" customHeight="1" s="107"/>
    <row r="841" ht="17.1" customHeight="1" s="107"/>
    <row r="842" ht="17.1" customHeight="1" s="107"/>
    <row r="843" ht="17.1" customHeight="1" s="107"/>
    <row r="844" ht="17.1" customHeight="1" s="107"/>
    <row r="845" ht="17.1" customHeight="1" s="107"/>
    <row r="846" ht="17.1" customHeight="1" s="107"/>
    <row r="847" ht="17.1" customHeight="1" s="107"/>
    <row r="848" ht="17.1" customHeight="1" s="107"/>
    <row r="849" ht="17.1" customHeight="1" s="107"/>
    <row r="850" ht="17.1" customHeight="1" s="107"/>
    <row r="851" ht="17.1" customHeight="1" s="107"/>
    <row r="852" ht="17.1" customHeight="1" s="107"/>
    <row r="853" ht="17.1" customHeight="1" s="107"/>
    <row r="854" ht="17.1" customHeight="1" s="107"/>
    <row r="855" ht="17.1" customHeight="1" s="107"/>
    <row r="856" ht="17.1" customHeight="1" s="107"/>
    <row r="857" ht="17.1" customHeight="1" s="107"/>
    <row r="858" ht="17.1" customHeight="1" s="107"/>
    <row r="859" ht="17.1" customHeight="1" s="107"/>
    <row r="860" ht="17.1" customHeight="1" s="107"/>
    <row r="861" ht="17.1" customHeight="1" s="107"/>
    <row r="862" ht="17.1" customHeight="1" s="107"/>
    <row r="863" ht="17.1" customHeight="1" s="107"/>
    <row r="864" ht="17.1" customHeight="1" s="107"/>
    <row r="865" ht="17.1" customHeight="1" s="107"/>
    <row r="866" ht="17.1" customHeight="1" s="107"/>
    <row r="867" ht="17.1" customHeight="1" s="107"/>
    <row r="868" ht="17.1" customHeight="1" s="107"/>
    <row r="869" ht="17.1" customHeight="1" s="107"/>
    <row r="870" ht="17.1" customHeight="1" s="107"/>
    <row r="871" ht="17.1" customHeight="1" s="107"/>
    <row r="872" ht="17.1" customHeight="1" s="107"/>
    <row r="873" ht="17.1" customHeight="1" s="107"/>
    <row r="874" ht="17.1" customHeight="1" s="107"/>
    <row r="875" ht="17.1" customHeight="1" s="107"/>
    <row r="876" ht="17.1" customHeight="1" s="107"/>
    <row r="877" ht="17.1" customHeight="1" s="107"/>
    <row r="878" ht="17.1" customHeight="1" s="107"/>
    <row r="879" ht="17.1" customHeight="1" s="107"/>
    <row r="880" ht="17.1" customHeight="1" s="107"/>
    <row r="881" ht="17.1" customHeight="1" s="107"/>
    <row r="882" ht="17.1" customHeight="1" s="107"/>
    <row r="883" ht="17.1" customHeight="1" s="107"/>
    <row r="884" ht="17.1" customHeight="1" s="107"/>
    <row r="885" ht="17.1" customHeight="1" s="107"/>
    <row r="886" ht="17.1" customHeight="1" s="107"/>
    <row r="887" ht="17.1" customHeight="1" s="107"/>
    <row r="888" ht="17.1" customHeight="1" s="107"/>
    <row r="889" ht="17.1" customHeight="1" s="107"/>
    <row r="890" ht="17.1" customHeight="1" s="107"/>
    <row r="891" ht="17.1" customHeight="1" s="107"/>
    <row r="892" ht="17.1" customHeight="1" s="107"/>
    <row r="893" ht="17.1" customHeight="1" s="107"/>
    <row r="894" ht="17.1" customHeight="1" s="107"/>
    <row r="895" ht="17.1" customHeight="1" s="107"/>
    <row r="896" ht="17.1" customHeight="1" s="107"/>
    <row r="897" ht="17.1" customHeight="1" s="107"/>
    <row r="898" ht="17.1" customHeight="1" s="107"/>
    <row r="899" ht="17.1" customHeight="1" s="107"/>
    <row r="900" ht="17.1" customHeight="1" s="107"/>
    <row r="901" ht="17.1" customHeight="1" s="107"/>
    <row r="902" ht="17.1" customHeight="1" s="107"/>
    <row r="903" ht="17.1" customHeight="1" s="107"/>
    <row r="904" ht="17.1" customHeight="1" s="107"/>
    <row r="905" ht="17.1" customHeight="1" s="107"/>
    <row r="906" ht="17.1" customHeight="1" s="107"/>
    <row r="907" ht="17.1" customHeight="1" s="107"/>
    <row r="908" ht="17.1" customHeight="1" s="107"/>
    <row r="909" ht="17.1" customHeight="1" s="107"/>
    <row r="910" ht="17.1" customHeight="1" s="107"/>
    <row r="911" ht="17.1" customHeight="1" s="107"/>
    <row r="912" ht="17.1" customHeight="1" s="107"/>
    <row r="913" ht="17.1" customHeight="1" s="107"/>
    <row r="914" ht="17.1" customHeight="1" s="107"/>
    <row r="915" ht="17.1" customHeight="1" s="107"/>
    <row r="916" ht="17.1" customHeight="1" s="107"/>
    <row r="917" ht="17.1" customHeight="1" s="107"/>
    <row r="918" ht="17.1" customHeight="1" s="107"/>
    <row r="919" ht="17.1" customHeight="1" s="107"/>
    <row r="920" ht="17.1" customHeight="1" s="107"/>
    <row r="921" ht="17.1" customHeight="1" s="107"/>
    <row r="922" ht="17.1" customHeight="1" s="107"/>
    <row r="923" ht="17.1" customHeight="1" s="107"/>
    <row r="924" ht="17.1" customHeight="1" s="107"/>
    <row r="925" ht="17.1" customHeight="1" s="107"/>
    <row r="926" ht="17.1" customHeight="1" s="107"/>
    <row r="927" ht="17.1" customHeight="1" s="107"/>
    <row r="928" ht="17.1" customHeight="1" s="107"/>
    <row r="929" ht="17.1" customHeight="1" s="107"/>
    <row r="930" ht="17.1" customHeight="1" s="107"/>
    <row r="931" ht="17.1" customHeight="1" s="107"/>
    <row r="932" ht="17.1" customHeight="1" s="107"/>
    <row r="933" ht="17.1" customHeight="1" s="107"/>
    <row r="934" ht="17.1" customHeight="1" s="107"/>
    <row r="935" ht="17.1" customHeight="1" s="107"/>
    <row r="936" ht="17.1" customHeight="1" s="107"/>
    <row r="937" ht="17.1" customHeight="1" s="107"/>
    <row r="938" ht="17.1" customHeight="1" s="107"/>
    <row r="939" ht="17.1" customHeight="1" s="107"/>
    <row r="940" ht="17.1" customHeight="1" s="107"/>
    <row r="941" ht="17.1" customHeight="1" s="107"/>
    <row r="942" ht="17.1" customHeight="1" s="107"/>
    <row r="943" ht="17.1" customHeight="1" s="107"/>
    <row r="944" ht="17.1" customHeight="1" s="107"/>
    <row r="945" ht="17.1" customHeight="1" s="107"/>
    <row r="946" ht="17.1" customHeight="1" s="107"/>
    <row r="947" ht="17.1" customHeight="1" s="107"/>
    <row r="948" ht="17.1" customHeight="1" s="107"/>
    <row r="949" ht="17.1" customHeight="1" s="107"/>
    <row r="950" ht="17.1" customHeight="1" s="107"/>
    <row r="951" ht="17.1" customHeight="1" s="107"/>
    <row r="952" ht="17.1" customHeight="1" s="107"/>
    <row r="953" ht="17.1" customHeight="1" s="107"/>
    <row r="954" ht="17.1" customHeight="1" s="107"/>
    <row r="955" ht="17.1" customHeight="1" s="107"/>
    <row r="956" ht="17.1" customHeight="1" s="107"/>
    <row r="957" ht="17.1" customHeight="1" s="107"/>
    <row r="958" ht="17.1" customHeight="1" s="107"/>
    <row r="959" ht="17.1" customHeight="1" s="107"/>
    <row r="960" ht="17.1" customHeight="1" s="107"/>
    <row r="961" ht="17.1" customHeight="1" s="107"/>
    <row r="962" ht="17.1" customHeight="1" s="107"/>
    <row r="963" ht="17.1" customHeight="1" s="107"/>
    <row r="964" ht="17.1" customHeight="1" s="107"/>
    <row r="965" ht="17.1" customHeight="1" s="107"/>
    <row r="966" ht="17.1" customHeight="1" s="107"/>
    <row r="967" ht="17.1" customHeight="1" s="107"/>
    <row r="968" ht="17.1" customHeight="1" s="107"/>
    <row r="969" ht="17.1" customHeight="1" s="107"/>
    <row r="970" ht="17.1" customHeight="1" s="107"/>
    <row r="971" ht="17.1" customHeight="1" s="107"/>
    <row r="972" ht="17.1" customHeight="1" s="107"/>
    <row r="973" ht="17.1" customHeight="1" s="107"/>
    <row r="974" ht="17.1" customHeight="1" s="107"/>
    <row r="975" ht="17.1" customHeight="1" s="107"/>
    <row r="976" ht="17.1" customHeight="1" s="107"/>
    <row r="977" ht="17.1" customHeight="1" s="107"/>
    <row r="978" ht="17.1" customHeight="1" s="107"/>
    <row r="979" ht="17.1" customHeight="1" s="107"/>
    <row r="980" ht="17.1" customHeight="1" s="107"/>
    <row r="981" ht="17.1" customHeight="1" s="107"/>
    <row r="982" ht="17.1" customHeight="1" s="107"/>
    <row r="983" ht="17.1" customHeight="1" s="107"/>
    <row r="984" ht="17.1" customHeight="1" s="107"/>
    <row r="985" ht="17.1" customHeight="1" s="107"/>
    <row r="986" ht="17.1" customHeight="1" s="107"/>
    <row r="987" ht="17.1" customHeight="1" s="107"/>
    <row r="988" ht="17.1" customHeight="1" s="107"/>
    <row r="989" ht="17.1" customHeight="1" s="107"/>
    <row r="990" ht="17.1" customHeight="1" s="107"/>
    <row r="991" ht="17.1" customHeight="1" s="107"/>
    <row r="992" ht="17.1" customHeight="1" s="107"/>
    <row r="993" ht="17.1" customHeight="1" s="107"/>
    <row r="994" ht="17.1" customHeight="1" s="107"/>
    <row r="995" ht="17.1" customHeight="1" s="107"/>
    <row r="996" ht="17.1" customHeight="1" s="107"/>
    <row r="997" ht="17.1" customHeight="1" s="107"/>
    <row r="998" ht="17.1" customHeight="1" s="107"/>
    <row r="999" ht="17.1" customHeight="1" s="107"/>
    <row r="1000" ht="17.1" customHeight="1" s="107"/>
    <row r="1001" ht="17.1" customHeight="1" s="107"/>
    <row r="1002" ht="17.1" customHeight="1" s="107"/>
    <row r="1003" ht="17.1" customHeight="1" s="107"/>
    <row r="1004" ht="17.1" customHeight="1" s="107"/>
    <row r="1005" ht="17.1" customHeight="1" s="107"/>
    <row r="1006" ht="17.1" customHeight="1" s="107"/>
    <row r="1007" ht="17.1" customHeight="1" s="107"/>
    <row r="1008" ht="17.1" customHeight="1" s="107"/>
    <row r="1009" ht="17.1" customHeight="1" s="107"/>
    <row r="1010" ht="17.1" customHeight="1" s="107"/>
    <row r="1011" ht="17.1" customHeight="1" s="107"/>
    <row r="1012" ht="17.1" customHeight="1" s="107"/>
    <row r="1013" ht="17.1" customHeight="1" s="107"/>
    <row r="1014" ht="17.1" customHeight="1" s="107"/>
    <row r="1015" ht="17.1" customHeight="1" s="107"/>
    <row r="1016" ht="17.1" customHeight="1" s="107"/>
    <row r="1017" ht="17.1" customHeight="1" s="107"/>
    <row r="1018" ht="17.1" customHeight="1" s="107"/>
    <row r="1019" ht="17.1" customHeight="1" s="107"/>
    <row r="1020" ht="17.1" customHeight="1" s="107"/>
    <row r="1021" ht="17.1" customHeight="1" s="107"/>
    <row r="1022" ht="17.1" customHeight="1" s="107"/>
    <row r="1023" ht="17.1" customHeight="1" s="107"/>
    <row r="1024" ht="17.1" customHeight="1" s="107"/>
    <row r="1025" ht="17.1" customHeight="1" s="107"/>
    <row r="1026" ht="17.1" customHeight="1" s="107"/>
    <row r="1027" ht="17.1" customHeight="1" s="107"/>
    <row r="1028" ht="17.1" customHeight="1" s="107"/>
    <row r="1029" ht="17.1" customHeight="1" s="107"/>
    <row r="1030" ht="17.1" customHeight="1" s="107"/>
    <row r="1031" ht="17.1" customHeight="1" s="107"/>
    <row r="1032" ht="17.1" customHeight="1" s="107"/>
    <row r="1033" ht="17.1" customHeight="1" s="107"/>
    <row r="1034" ht="17.1" customHeight="1" s="107"/>
    <row r="1035" ht="17.1" customHeight="1" s="107"/>
    <row r="1036" ht="17.1" customHeight="1" s="107"/>
    <row r="1037" ht="17.1" customHeight="1" s="107"/>
    <row r="1038" ht="17.1" customHeight="1" s="107"/>
    <row r="1039" ht="17.1" customHeight="1" s="107"/>
    <row r="1040" ht="17.1" customHeight="1" s="107"/>
    <row r="1041" ht="17.1" customHeight="1" s="107"/>
    <row r="1042" ht="17.1" customHeight="1" s="107"/>
    <row r="1043" ht="17.1" customHeight="1" s="107"/>
    <row r="1044" ht="17.1" customHeight="1" s="107"/>
    <row r="1045" ht="17.1" customHeight="1" s="107"/>
    <row r="1046" ht="17.1" customHeight="1" s="107"/>
    <row r="1047" ht="17.1" customHeight="1" s="107"/>
    <row r="1048" ht="17.1" customHeight="1" s="107"/>
    <row r="1049" ht="17.1" customHeight="1" s="107"/>
    <row r="1050" ht="17.1" customHeight="1" s="107"/>
    <row r="1051" ht="17.1" customHeight="1" s="107"/>
    <row r="1052" ht="17.1" customHeight="1" s="107"/>
    <row r="1053" ht="17.1" customHeight="1" s="107"/>
    <row r="1054" ht="17.1" customHeight="1" s="107"/>
    <row r="1055" ht="17.1" customHeight="1" s="107"/>
    <row r="1056" ht="17.1" customHeight="1" s="107"/>
    <row r="1057" ht="17.1" customHeight="1" s="107"/>
    <row r="1058" ht="17.1" customHeight="1" s="107"/>
    <row r="1059" ht="17.1" customHeight="1" s="107"/>
    <row r="1060" ht="17.1" customHeight="1" s="107"/>
    <row r="1061" ht="17.1" customHeight="1" s="107"/>
    <row r="1062" ht="17.1" customHeight="1" s="107"/>
    <row r="1063" ht="17.1" customHeight="1" s="107"/>
    <row r="1064" ht="17.1" customHeight="1" s="107"/>
    <row r="1065" ht="17.1" customHeight="1" s="107"/>
    <row r="1066" ht="17.1" customHeight="1" s="107"/>
    <row r="1067" ht="17.1" customHeight="1" s="107"/>
    <row r="1068" ht="17.1" customHeight="1" s="107"/>
    <row r="1069" ht="17.1" customHeight="1" s="107"/>
    <row r="1070" ht="17.1" customHeight="1" s="107"/>
    <row r="1071" ht="17.1" customHeight="1" s="107"/>
    <row r="1072" ht="17.1" customHeight="1" s="107"/>
    <row r="1073" ht="17.1" customHeight="1" s="107"/>
    <row r="1074" ht="17.1" customHeight="1" s="107"/>
    <row r="1075" ht="17.1" customHeight="1" s="107"/>
    <row r="1076" ht="17.1" customHeight="1" s="107"/>
    <row r="1077" ht="17.1" customHeight="1" s="107"/>
    <row r="1078" ht="17.1" customHeight="1" s="107"/>
    <row r="1079" ht="17.1" customHeight="1" s="107"/>
    <row r="1080" ht="17.1" customHeight="1" s="107"/>
    <row r="1081" ht="17.1" customHeight="1" s="107"/>
    <row r="1082" ht="17.1" customHeight="1" s="107"/>
    <row r="1083" ht="17.1" customHeight="1" s="107"/>
    <row r="1084" ht="17.1" customHeight="1" s="107"/>
    <row r="1085" ht="17.1" customHeight="1" s="107"/>
    <row r="1086" ht="17.1" customHeight="1" s="107"/>
    <row r="1087" ht="17.1" customHeight="1" s="107"/>
    <row r="1088" ht="17.1" customHeight="1" s="107"/>
    <row r="1089" ht="17.1" customHeight="1" s="107"/>
    <row r="1090" ht="17.1" customHeight="1" s="107"/>
    <row r="1091" ht="17.1" customHeight="1" s="107"/>
    <row r="1092" ht="17.1" customHeight="1" s="107"/>
    <row r="1093" ht="17.1" customHeight="1" s="107"/>
    <row r="1094" ht="17.1" customHeight="1" s="107"/>
    <row r="1095" ht="17.1" customHeight="1" s="107"/>
    <row r="1096" ht="17.1" customHeight="1" s="107"/>
    <row r="1097" ht="17.1" customHeight="1" s="107"/>
    <row r="1098" ht="17.1" customHeight="1" s="107"/>
    <row r="1099" ht="17.1" customHeight="1" s="107"/>
    <row r="1100" ht="17.1" customHeight="1" s="107"/>
    <row r="1101" ht="17.1" customHeight="1" s="107"/>
    <row r="1102" ht="17.1" customHeight="1" s="107"/>
    <row r="1103" ht="17.1" customHeight="1" s="107"/>
    <row r="1104" ht="17.1" customHeight="1" s="107"/>
    <row r="1105" ht="17.1" customHeight="1" s="107"/>
    <row r="1106" ht="17.1" customHeight="1" s="107"/>
    <row r="1107" ht="17.1" customHeight="1" s="107"/>
    <row r="1108" ht="17.1" customHeight="1" s="107"/>
    <row r="1109" ht="17.1" customHeight="1" s="107"/>
    <row r="1110" ht="17.1" customHeight="1" s="107"/>
    <row r="1111" ht="17.1" customHeight="1" s="107"/>
    <row r="1112" ht="17.1" customHeight="1" s="107"/>
    <row r="1113" ht="17.1" customHeight="1" s="107"/>
    <row r="1114" ht="17.1" customHeight="1" s="107"/>
    <row r="1115" ht="17.1" customHeight="1" s="107"/>
    <row r="1116" ht="17.1" customHeight="1" s="107"/>
    <row r="1117" ht="17.1" customHeight="1" s="107"/>
    <row r="1118" ht="17.1" customHeight="1" s="107"/>
    <row r="1119" ht="17.1" customHeight="1" s="107"/>
    <row r="1120" ht="17.1" customHeight="1" s="107"/>
    <row r="1121" ht="17.1" customHeight="1" s="107"/>
    <row r="1122" ht="17.1" customHeight="1" s="107"/>
    <row r="1123" ht="17.1" customHeight="1" s="107"/>
    <row r="1124" ht="17.1" customHeight="1" s="107"/>
    <row r="1125" ht="17.1" customHeight="1" s="107"/>
    <row r="1126" ht="17.1" customHeight="1" s="107"/>
    <row r="1127" ht="17.1" customHeight="1" s="107"/>
    <row r="1128" ht="17.1" customHeight="1" s="107"/>
    <row r="1129" ht="17.1" customHeight="1" s="107"/>
    <row r="1130" ht="17.1" customHeight="1" s="107"/>
    <row r="1131" ht="17.1" customHeight="1" s="107"/>
    <row r="1132" ht="17.1" customHeight="1" s="107"/>
    <row r="1133" ht="17.1" customHeight="1" s="107"/>
    <row r="1134" ht="17.1" customHeight="1" s="107"/>
    <row r="1135" ht="17.1" customHeight="1" s="107"/>
    <row r="1136" ht="17.1" customHeight="1" s="107"/>
    <row r="1137" ht="17.1" customHeight="1" s="107"/>
    <row r="1138" ht="17.1" customHeight="1" s="107"/>
    <row r="1139" ht="17.1" customHeight="1" s="107"/>
    <row r="1140" ht="17.1" customHeight="1" s="107"/>
    <row r="1141" ht="17.1" customHeight="1" s="107"/>
    <row r="1142" ht="17.1" customHeight="1" s="107"/>
    <row r="1143" ht="17.1" customHeight="1" s="107"/>
    <row r="1144" ht="17.1" customHeight="1" s="107"/>
    <row r="1145" ht="17.1" customHeight="1" s="107"/>
    <row r="1146" ht="17.1" customHeight="1" s="107"/>
    <row r="1147" ht="17.1" customHeight="1" s="107"/>
    <row r="1148" ht="17.1" customHeight="1" s="107"/>
    <row r="1149" ht="17.1" customHeight="1" s="107"/>
    <row r="1150" ht="17.1" customHeight="1" s="107"/>
    <row r="1151" ht="17.1" customHeight="1" s="107"/>
    <row r="1152" ht="17.1" customHeight="1" s="107"/>
    <row r="1153" ht="17.1" customHeight="1" s="107"/>
    <row r="1154" ht="17.1" customHeight="1" s="107"/>
    <row r="1155" ht="17.1" customHeight="1" s="107"/>
    <row r="1156" ht="17.1" customHeight="1" s="107"/>
    <row r="1157" ht="17.1" customHeight="1" s="107"/>
    <row r="1158" ht="17.1" customHeight="1" s="107"/>
    <row r="1159" ht="17.1" customHeight="1" s="107"/>
    <row r="1160" ht="17.1" customHeight="1" s="107"/>
    <row r="1161" ht="17.1" customHeight="1" s="107"/>
    <row r="1162" ht="17.1" customHeight="1" s="107"/>
    <row r="1163" ht="17.1" customHeight="1" s="107"/>
    <row r="1164" ht="17.1" customHeight="1" s="107"/>
    <row r="1165" ht="17.1" customHeight="1" s="107"/>
    <row r="1166" ht="17.1" customHeight="1" s="107"/>
    <row r="1167" ht="17.1" customHeight="1" s="107"/>
    <row r="1168" ht="17.1" customHeight="1" s="107"/>
    <row r="1169" ht="17.1" customHeight="1" s="107"/>
    <row r="1170" ht="17.1" customHeight="1" s="107"/>
    <row r="1171" ht="17.1" customHeight="1" s="107"/>
    <row r="1172" ht="17.1" customHeight="1" s="107"/>
    <row r="1173" ht="17.1" customHeight="1" s="107"/>
    <row r="1174" ht="17.1" customHeight="1" s="107"/>
    <row r="1175" ht="17.1" customHeight="1" s="107"/>
    <row r="1176" ht="17.1" customHeight="1" s="107"/>
    <row r="1177" ht="17.1" customHeight="1" s="107"/>
    <row r="1178" ht="17.1" customHeight="1" s="107"/>
    <row r="1179" ht="17.1" customHeight="1" s="107"/>
    <row r="1180" ht="17.1" customHeight="1" s="107"/>
    <row r="1181" ht="17.1" customHeight="1" s="107"/>
    <row r="1182" ht="17.1" customHeight="1" s="107"/>
    <row r="1183" ht="17.1" customHeight="1" s="107"/>
    <row r="1184" ht="17.1" customHeight="1" s="107"/>
    <row r="1185" ht="17.1" customHeight="1" s="107"/>
    <row r="1186" ht="17.1" customHeight="1" s="107"/>
    <row r="1187" ht="17.1" customHeight="1" s="107"/>
    <row r="1188" ht="17.1" customHeight="1" s="107"/>
    <row r="1189" ht="17.1" customHeight="1" s="107"/>
    <row r="1190" ht="17.1" customHeight="1" s="107"/>
    <row r="1191" ht="17.1" customHeight="1" s="107"/>
    <row r="1192" ht="17.1" customHeight="1" s="107"/>
    <row r="1193" ht="17.1" customHeight="1" s="107"/>
    <row r="1194" ht="17.1" customHeight="1" s="107"/>
    <row r="1195" ht="17.1" customHeight="1" s="107"/>
    <row r="1196" ht="17.1" customHeight="1" s="107"/>
    <row r="1197" ht="17.1" customHeight="1" s="107"/>
    <row r="1198" ht="17.1" customHeight="1" s="107"/>
    <row r="1199" ht="17.1" customHeight="1" s="107"/>
    <row r="1200" ht="17.1" customHeight="1" s="107"/>
    <row r="1201" ht="17.1" customHeight="1" s="107"/>
    <row r="1202" ht="17.1" customHeight="1" s="107"/>
    <row r="1203" ht="17.1" customHeight="1" s="107"/>
    <row r="1204" ht="17.1" customHeight="1" s="107"/>
    <row r="1205" ht="17.1" customHeight="1" s="107"/>
    <row r="1206" ht="17.1" customHeight="1" s="107"/>
    <row r="1207" ht="17.1" customHeight="1" s="107"/>
    <row r="1208" ht="17.1" customHeight="1" s="107"/>
    <row r="1209" ht="17.1" customHeight="1" s="107"/>
    <row r="1210" ht="17.1" customHeight="1" s="107"/>
    <row r="1211" ht="17.1" customHeight="1" s="107"/>
    <row r="1212" ht="17.1" customHeight="1" s="107"/>
    <row r="1213" ht="17.1" customHeight="1" s="107"/>
    <row r="1214" ht="17.1" customHeight="1" s="107"/>
    <row r="1215" ht="17.1" customHeight="1" s="107"/>
    <row r="1216" ht="17.1" customHeight="1" s="107"/>
    <row r="1217" ht="17.1" customHeight="1" s="107"/>
    <row r="1218" ht="17.1" customHeight="1" s="107"/>
    <row r="1219" ht="17.1" customHeight="1" s="107"/>
    <row r="1220" ht="17.1" customHeight="1" s="107"/>
    <row r="1221" ht="17.1" customHeight="1" s="107"/>
    <row r="1222" ht="17.1" customHeight="1" s="107"/>
    <row r="1223" ht="17.1" customHeight="1" s="107"/>
    <row r="1224" ht="17.1" customHeight="1" s="107"/>
    <row r="1225" ht="17.1" customHeight="1" s="107"/>
    <row r="1226" ht="17.1" customHeight="1" s="107"/>
    <row r="1227" ht="17.1" customHeight="1" s="107"/>
    <row r="1228" ht="17.1" customHeight="1" s="107"/>
    <row r="1229" ht="17.1" customHeight="1" s="107"/>
    <row r="1230" ht="17.1" customHeight="1" s="107"/>
    <row r="1231" ht="17.1" customHeight="1" s="107"/>
    <row r="1232" ht="17.1" customHeight="1" s="107"/>
    <row r="1233" ht="17.1" customHeight="1" s="107"/>
    <row r="1234" ht="17.1" customHeight="1" s="107"/>
    <row r="1235" ht="17.1" customHeight="1" s="107"/>
    <row r="1236" ht="17.1" customHeight="1" s="107"/>
    <row r="1237" ht="17.1" customHeight="1" s="107"/>
    <row r="1238" ht="17.1" customHeight="1" s="107"/>
    <row r="1239" ht="17.1" customHeight="1" s="107"/>
    <row r="1240" ht="17.1" customHeight="1" s="107"/>
    <row r="1241" ht="17.1" customHeight="1" s="107"/>
    <row r="1242" ht="17.1" customHeight="1" s="107"/>
    <row r="1243" ht="17.1" customHeight="1" s="107"/>
    <row r="1244" ht="17.1" customHeight="1" s="107"/>
    <row r="1245" ht="17.1" customHeight="1" s="107"/>
    <row r="1246" ht="17.1" customHeight="1" s="107"/>
    <row r="1247" ht="17.1" customHeight="1" s="107"/>
    <row r="1248" ht="17.1" customHeight="1" s="107"/>
    <row r="1249" ht="17.1" customHeight="1" s="107"/>
    <row r="1250" ht="17.1" customHeight="1" s="107"/>
    <row r="1251" ht="17.1" customHeight="1" s="107"/>
    <row r="1252" ht="17.1" customHeight="1" s="107"/>
    <row r="1253" ht="17.1" customHeight="1" s="107"/>
    <row r="1254" ht="17.1" customHeight="1" s="107"/>
    <row r="1255" ht="17.1" customHeight="1" s="107"/>
    <row r="1256" ht="17.1" customHeight="1" s="107"/>
    <row r="1257" ht="17.1" customHeight="1" s="107"/>
    <row r="1258" ht="17.1" customHeight="1" s="107"/>
    <row r="1259" ht="17.1" customHeight="1" s="107"/>
    <row r="1260" ht="17.1" customHeight="1" s="107"/>
    <row r="1261" ht="17.1" customHeight="1" s="107"/>
    <row r="1262" ht="17.1" customHeight="1" s="107"/>
    <row r="1263" ht="17.1" customHeight="1" s="107"/>
    <row r="1264" ht="17.1" customHeight="1" s="107"/>
    <row r="1265" ht="17.1" customHeight="1" s="107"/>
    <row r="1266" ht="17.1" customHeight="1" s="107"/>
    <row r="1267" ht="17.1" customHeight="1" s="107"/>
    <row r="1268" ht="17.1" customHeight="1" s="107"/>
    <row r="1269" ht="17.1" customHeight="1" s="107"/>
    <row r="1270" ht="17.1" customHeight="1" s="107"/>
    <row r="1271" ht="17.1" customHeight="1" s="107"/>
    <row r="1272" ht="17.1" customHeight="1" s="107"/>
    <row r="1273" ht="17.1" customHeight="1" s="107"/>
    <row r="1274" ht="17.1" customHeight="1" s="107"/>
    <row r="1275" ht="17.1" customHeight="1" s="107"/>
    <row r="1276" ht="17.1" customHeight="1" s="107"/>
    <row r="1277" ht="17.1" customHeight="1" s="107"/>
    <row r="1278" ht="17.1" customHeight="1" s="107"/>
    <row r="1279" ht="17.1" customHeight="1" s="107"/>
    <row r="1280" ht="17.1" customHeight="1" s="107"/>
    <row r="1281" ht="17.1" customHeight="1" s="107"/>
    <row r="1282" ht="17.1" customHeight="1" s="107"/>
    <row r="1283" ht="17.1" customHeight="1" s="107"/>
    <row r="1284" ht="17.1" customHeight="1" s="107"/>
    <row r="1285" ht="17.1" customHeight="1" s="107"/>
    <row r="1286" ht="17.1" customHeight="1" s="107"/>
    <row r="1287" ht="17.1" customHeight="1" s="107"/>
    <row r="1288" ht="17.1" customHeight="1" s="107"/>
    <row r="1289" ht="17.1" customHeight="1" s="107"/>
    <row r="1290" ht="17.1" customHeight="1" s="107"/>
    <row r="1291" ht="17.1" customHeight="1" s="107"/>
    <row r="1292" ht="17.1" customHeight="1" s="107"/>
    <row r="1293" ht="17.1" customHeight="1" s="107"/>
    <row r="1294" ht="17.1" customHeight="1" s="107"/>
    <row r="1295" ht="17.1" customHeight="1" s="107"/>
    <row r="1296" ht="17.1" customHeight="1" s="107"/>
    <row r="1297" ht="17.1" customHeight="1" s="107"/>
    <row r="1298" ht="17.1" customHeight="1" s="107"/>
    <row r="1299" ht="17.1" customHeight="1" s="107"/>
    <row r="1300" ht="17.1" customHeight="1" s="107"/>
    <row r="1301" ht="17.1" customHeight="1" s="107"/>
    <row r="1302" ht="17.1" customHeight="1" s="107"/>
    <row r="1303" ht="17.1" customHeight="1" s="107"/>
    <row r="1304" ht="17.1" customHeight="1" s="107"/>
    <row r="1305" ht="17.1" customHeight="1" s="107"/>
    <row r="1306" ht="17.1" customHeight="1" s="107"/>
    <row r="1307" ht="17.1" customHeight="1" s="107"/>
    <row r="1308" ht="17.1" customHeight="1" s="107"/>
    <row r="1309" ht="17.1" customHeight="1" s="107"/>
    <row r="1310" ht="17.1" customHeight="1" s="107"/>
    <row r="1311" ht="17.1" customHeight="1" s="107"/>
    <row r="1312" ht="17.1" customHeight="1" s="107"/>
    <row r="1313" ht="17.1" customHeight="1" s="107"/>
    <row r="1314" ht="17.1" customHeight="1" s="107"/>
    <row r="1315" ht="17.1" customHeight="1" s="107"/>
    <row r="1316" ht="17.1" customHeight="1" s="107"/>
    <row r="1317" ht="17.1" customHeight="1" s="107"/>
    <row r="1318" ht="17.1" customHeight="1" s="107"/>
    <row r="1319" ht="17.1" customHeight="1" s="107"/>
    <row r="1320" ht="17.1" customHeight="1" s="107"/>
    <row r="1321" ht="17.1" customHeight="1" s="107"/>
    <row r="1322" ht="17.1" customHeight="1" s="107"/>
    <row r="1323" ht="17.1" customHeight="1" s="107"/>
    <row r="1324" ht="17.1" customHeight="1" s="107"/>
    <row r="1325" ht="17.1" customHeight="1" s="107"/>
    <row r="1326" ht="17.1" customHeight="1" s="107"/>
    <row r="1327" ht="17.1" customHeight="1" s="107"/>
    <row r="1328" ht="17.1" customHeight="1" s="107"/>
    <row r="1329" ht="17.1" customHeight="1" s="107"/>
    <row r="1330" ht="17.1" customHeight="1" s="107"/>
    <row r="1331" ht="17.1" customHeight="1" s="107"/>
    <row r="1332" ht="17.1" customHeight="1" s="107"/>
    <row r="1333" ht="17.1" customHeight="1" s="107"/>
    <row r="1334" ht="17.1" customHeight="1" s="107"/>
    <row r="1335" ht="17.1" customHeight="1" s="107"/>
    <row r="1336" ht="17.1" customHeight="1" s="107"/>
    <row r="1337" ht="17.1" customHeight="1" s="107"/>
    <row r="1338" ht="17.1" customHeight="1" s="107"/>
    <row r="1339" ht="17.1" customHeight="1" s="107"/>
    <row r="1340" ht="17.1" customHeight="1" s="107"/>
    <row r="1341" ht="17.1" customHeight="1" s="107"/>
    <row r="1342" ht="17.1" customHeight="1" s="107"/>
    <row r="1343" ht="17.1" customHeight="1" s="107"/>
    <row r="1344" ht="17.1" customHeight="1" s="107"/>
    <row r="1345" ht="17.1" customHeight="1" s="107"/>
    <row r="1346" ht="17.1" customHeight="1" s="107"/>
    <row r="1347" ht="17.1" customHeight="1" s="107"/>
    <row r="1348" ht="17.1" customHeight="1" s="107"/>
    <row r="1349" ht="17.1" customHeight="1" s="107"/>
    <row r="1350" ht="17.1" customHeight="1" s="107"/>
    <row r="1351" ht="17.1" customHeight="1" s="107"/>
    <row r="1352" ht="17.1" customHeight="1" s="107"/>
    <row r="1353" ht="17.1" customHeight="1" s="107"/>
    <row r="1354" ht="17.1" customHeight="1" s="107"/>
    <row r="1355" ht="17.1" customHeight="1" s="107"/>
    <row r="1356" ht="17.1" customHeight="1" s="107"/>
    <row r="1357" ht="17.1" customHeight="1" s="107"/>
    <row r="1358" ht="17.1" customHeight="1" s="107"/>
    <row r="1359" ht="17.1" customHeight="1" s="107"/>
    <row r="1360" ht="17.1" customHeight="1" s="107"/>
    <row r="1361" ht="17.1" customHeight="1" s="107"/>
    <row r="1362" ht="17.1" customHeight="1" s="107"/>
    <row r="1363" ht="17.1" customHeight="1" s="107"/>
    <row r="1364" ht="17.1" customHeight="1" s="107"/>
    <row r="1365" ht="17.1" customHeight="1" s="107"/>
    <row r="1366" ht="17.1" customHeight="1" s="107"/>
    <row r="1367" ht="17.1" customHeight="1" s="107"/>
    <row r="1368" ht="17.1" customHeight="1" s="107"/>
    <row r="1369" ht="17.1" customHeight="1" s="107"/>
    <row r="1370" ht="17.1" customHeight="1" s="107"/>
    <row r="1371" ht="17.1" customHeight="1" s="107"/>
    <row r="1372" ht="17.1" customHeight="1" s="107"/>
    <row r="1373" ht="17.1" customHeight="1" s="107"/>
    <row r="1374" ht="17.1" customHeight="1" s="107"/>
    <row r="1375" ht="17.1" customHeight="1" s="107"/>
    <row r="1376" ht="17.1" customHeight="1" s="107"/>
    <row r="1377" ht="17.1" customHeight="1" s="107"/>
    <row r="1378" ht="17.1" customHeight="1" s="107"/>
    <row r="1379" ht="17.1" customHeight="1" s="107"/>
    <row r="1380" ht="17.1" customHeight="1" s="107"/>
    <row r="1381" ht="17.1" customHeight="1" s="107"/>
    <row r="1382" ht="17.1" customHeight="1" s="107"/>
    <row r="1383" ht="17.1" customHeight="1" s="107"/>
    <row r="1384" ht="17.1" customHeight="1" s="107"/>
    <row r="1385" ht="17.1" customHeight="1" s="107"/>
    <row r="1386" ht="17.1" customHeight="1" s="107"/>
    <row r="1387" ht="17.1" customHeight="1" s="107"/>
    <row r="1388" ht="17.1" customHeight="1" s="107"/>
    <row r="1389" ht="17.1" customHeight="1" s="107"/>
    <row r="1390" ht="17.1" customHeight="1" s="107"/>
    <row r="1391" ht="17.1" customHeight="1" s="107"/>
    <row r="1392" ht="17.1" customHeight="1" s="107"/>
    <row r="1393" ht="17.1" customHeight="1" s="107"/>
    <row r="1394" ht="17.1" customHeight="1" s="107"/>
    <row r="1395" ht="17.1" customHeight="1" s="107"/>
    <row r="1396" ht="17.1" customHeight="1" s="107"/>
    <row r="1397" ht="17.1" customHeight="1" s="107"/>
    <row r="1398" ht="17.1" customHeight="1" s="107"/>
    <row r="1399" ht="17.1" customHeight="1" s="107"/>
    <row r="1400" ht="17.1" customHeight="1" s="107"/>
    <row r="1401" ht="17.1" customHeight="1" s="107"/>
    <row r="1402" ht="17.1" customHeight="1" s="107"/>
    <row r="1403" ht="17.1" customHeight="1" s="107"/>
    <row r="1404" ht="17.1" customHeight="1" s="107"/>
    <row r="1405" ht="17.1" customHeight="1" s="107"/>
    <row r="1406" ht="17.1" customHeight="1" s="107"/>
    <row r="1407" ht="17.1" customHeight="1" s="107"/>
    <row r="1408" ht="17.1" customHeight="1" s="107"/>
    <row r="1409" ht="17.1" customHeight="1" s="107"/>
    <row r="1410" ht="17.1" customHeight="1" s="107"/>
    <row r="1411" ht="17.1" customHeight="1" s="107"/>
    <row r="1412" ht="17.1" customHeight="1" s="107"/>
    <row r="1413" ht="17.1" customHeight="1" s="107"/>
    <row r="1414" ht="17.1" customHeight="1" s="107"/>
    <row r="1415" ht="17.1" customHeight="1" s="107"/>
    <row r="1416" ht="17.1" customHeight="1" s="107"/>
    <row r="1417" ht="17.1" customHeight="1" s="107"/>
    <row r="1418" ht="17.1" customHeight="1" s="107"/>
    <row r="1419" ht="17.1" customHeight="1" s="107"/>
    <row r="1420" ht="17.1" customHeight="1" s="107"/>
    <row r="1421" ht="17.1" customHeight="1" s="107"/>
    <row r="1422" ht="17.1" customHeight="1" s="107"/>
    <row r="1423" ht="17.1" customHeight="1" s="107"/>
    <row r="1424" ht="17.1" customHeight="1" s="107"/>
    <row r="1425" ht="17.1" customHeight="1" s="107"/>
    <row r="1426" ht="17.1" customHeight="1" s="107"/>
    <row r="1427" ht="17.1" customHeight="1" s="107"/>
    <row r="1428" ht="17.1" customHeight="1" s="107"/>
    <row r="1429" ht="17.1" customHeight="1" s="107"/>
    <row r="1430" ht="17.1" customHeight="1" s="107"/>
    <row r="1431" ht="17.1" customHeight="1" s="107"/>
    <row r="1432" ht="17.1" customHeight="1" s="107"/>
    <row r="1433" ht="17.1" customHeight="1" s="107"/>
    <row r="1434" ht="17.1" customHeight="1" s="107"/>
    <row r="1435" ht="17.1" customHeight="1" s="107"/>
    <row r="1436" ht="17.1" customHeight="1" s="107"/>
    <row r="1437" ht="17.1" customHeight="1" s="107"/>
    <row r="1438" ht="17.1" customHeight="1" s="107"/>
    <row r="1439" ht="17.1" customHeight="1" s="107"/>
    <row r="1440" ht="17.1" customHeight="1" s="107"/>
    <row r="1441" ht="17.1" customHeight="1" s="107"/>
    <row r="1442" ht="17.1" customHeight="1" s="107"/>
    <row r="1443" ht="17.1" customHeight="1" s="107"/>
    <row r="1444" ht="17.1" customHeight="1" s="107"/>
    <row r="1445" ht="17.1" customHeight="1" s="107"/>
    <row r="1446" ht="17.1" customHeight="1" s="107"/>
    <row r="1447" ht="17.1" customHeight="1" s="107"/>
    <row r="1448" ht="17.1" customHeight="1" s="107"/>
    <row r="1449" ht="17.1" customHeight="1" s="107"/>
    <row r="1450" ht="17.1" customHeight="1" s="107"/>
    <row r="1451" ht="17.1" customHeight="1" s="107"/>
    <row r="1452" ht="17.1" customHeight="1" s="107"/>
    <row r="1453" ht="17.1" customHeight="1" s="107"/>
    <row r="1454" ht="17.1" customHeight="1" s="107"/>
    <row r="1455" ht="17.1" customHeight="1" s="107"/>
    <row r="1456" ht="17.1" customHeight="1" s="107"/>
    <row r="1457" ht="17.1" customHeight="1" s="107"/>
    <row r="1458" ht="17.1" customHeight="1" s="107"/>
    <row r="1459" ht="17.1" customHeight="1" s="107"/>
    <row r="1460" ht="17.1" customHeight="1" s="107"/>
    <row r="1461" ht="17.1" customHeight="1" s="107"/>
    <row r="1462" ht="17.1" customHeight="1" s="107"/>
    <row r="1463" ht="17.1" customHeight="1" s="107"/>
    <row r="1464" ht="17.1" customHeight="1" s="107"/>
    <row r="1465" ht="17.1" customHeight="1" s="107"/>
    <row r="1466" ht="17.1" customHeight="1" s="107"/>
    <row r="1467" ht="17.1" customHeight="1" s="107"/>
    <row r="1468" ht="17.1" customHeight="1" s="107"/>
    <row r="1469" ht="17.1" customHeight="1" s="107"/>
    <row r="1470" ht="17.1" customHeight="1" s="107"/>
    <row r="1471" ht="17.1" customHeight="1" s="107"/>
  </sheetData>
  <mergeCells count="766">
    <mergeCell ref="I32:I33"/>
    <mergeCell ref="K32:K33"/>
    <mergeCell ref="K88:K89"/>
    <mergeCell ref="J60:J61"/>
    <mergeCell ref="K26:K27"/>
    <mergeCell ref="M88:M89"/>
    <mergeCell ref="N22:N23"/>
    <mergeCell ref="E88:E89"/>
    <mergeCell ref="AA38:AA39"/>
    <mergeCell ref="Y74:Y75"/>
    <mergeCell ref="H102:H103"/>
    <mergeCell ref="M98:M99"/>
    <mergeCell ref="M54:M55"/>
    <mergeCell ref="J102:J103"/>
    <mergeCell ref="AB110:AB111"/>
    <mergeCell ref="O54:O55"/>
    <mergeCell ref="AC76:AC77"/>
    <mergeCell ref="Z12:Z13"/>
    <mergeCell ref="M90:M91"/>
    <mergeCell ref="AB12:AB13"/>
    <mergeCell ref="J68:J69"/>
    <mergeCell ref="O56:O57"/>
    <mergeCell ref="AB70:AB71"/>
    <mergeCell ref="I58:I59"/>
    <mergeCell ref="K58:K59"/>
    <mergeCell ref="N48:N49"/>
    <mergeCell ref="K52:K53"/>
    <mergeCell ref="I60:I61"/>
    <mergeCell ref="H28:H29"/>
    <mergeCell ref="M18:M19"/>
    <mergeCell ref="AA110:AA111"/>
    <mergeCell ref="H92:H93"/>
    <mergeCell ref="H30:H31"/>
    <mergeCell ref="AC110:AC111"/>
    <mergeCell ref="O82:O83"/>
    <mergeCell ref="AC66:AC67"/>
    <mergeCell ref="E12:E13"/>
    <mergeCell ref="M96:M97"/>
    <mergeCell ref="Z80:Z81"/>
    <mergeCell ref="H10:H11"/>
    <mergeCell ref="AB58:AB59"/>
    <mergeCell ref="J10:J11"/>
    <mergeCell ref="Y62:Y63"/>
    <mergeCell ref="E14:E15"/>
    <mergeCell ref="L66:L67"/>
    <mergeCell ref="I70:I71"/>
    <mergeCell ref="N66:N67"/>
    <mergeCell ref="A70:A71"/>
    <mergeCell ref="AA34:AA35"/>
    <mergeCell ref="E78:E79"/>
    <mergeCell ref="J74:J75"/>
    <mergeCell ref="AB60:AB61"/>
    <mergeCell ref="Y64:Y65"/>
    <mergeCell ref="AC28:AC29"/>
    <mergeCell ref="AA28:AA29"/>
    <mergeCell ref="L68:L69"/>
    <mergeCell ref="N68:N69"/>
    <mergeCell ref="L18:L19"/>
    <mergeCell ref="AA30:AA31"/>
    <mergeCell ref="AC92:AC93"/>
    <mergeCell ref="A74:A75"/>
    <mergeCell ref="E38:E39"/>
    <mergeCell ref="AC30:AC31"/>
    <mergeCell ref="K46:K47"/>
    <mergeCell ref="A46:A47"/>
    <mergeCell ref="K40:K41"/>
    <mergeCell ref="H110:H111"/>
    <mergeCell ref="E46:E47"/>
    <mergeCell ref="M40:M41"/>
    <mergeCell ref="AC94:AC95"/>
    <mergeCell ref="A76:A77"/>
    <mergeCell ref="E40:E41"/>
    <mergeCell ref="O62:O63"/>
    <mergeCell ref="Z20:Z21"/>
    <mergeCell ref="M24:M25"/>
    <mergeCell ref="Z14:Z15"/>
    <mergeCell ref="I48:I49"/>
    <mergeCell ref="K48:K49"/>
    <mergeCell ref="M104:M105"/>
    <mergeCell ref="O104:O105"/>
    <mergeCell ref="E104:E105"/>
    <mergeCell ref="K66:K67"/>
    <mergeCell ref="Y90:Y91"/>
    <mergeCell ref="M66:M67"/>
    <mergeCell ref="Z78:Z79"/>
    <mergeCell ref="AB78:AB79"/>
    <mergeCell ref="AC98:AC99"/>
    <mergeCell ref="O70:O71"/>
    <mergeCell ref="Z28:Z29"/>
    <mergeCell ref="M106:M107"/>
    <mergeCell ref="AB28:AB29"/>
    <mergeCell ref="O106:O107"/>
    <mergeCell ref="E106:E107"/>
    <mergeCell ref="AB80:AB81"/>
    <mergeCell ref="A92:A93"/>
    <mergeCell ref="O86:O87"/>
    <mergeCell ref="N54:N55"/>
    <mergeCell ref="J92:J93"/>
    <mergeCell ref="H54:H55"/>
    <mergeCell ref="A94:A95"/>
    <mergeCell ref="Y58:Y59"/>
    <mergeCell ref="L62:L63"/>
    <mergeCell ref="AC16:AC17"/>
    <mergeCell ref="N56:N57"/>
    <mergeCell ref="Y14:Y15"/>
    <mergeCell ref="E20:E21"/>
    <mergeCell ref="H56:H57"/>
    <mergeCell ref="AC18:AC19"/>
    <mergeCell ref="H58:H59"/>
    <mergeCell ref="E84:E85"/>
    <mergeCell ref="M46:M47"/>
    <mergeCell ref="L74:L75"/>
    <mergeCell ref="AC82:AC83"/>
    <mergeCell ref="E28:E29"/>
    <mergeCell ref="J24:J25"/>
    <mergeCell ref="H60:H61"/>
    <mergeCell ref="M12:M13"/>
    <mergeCell ref="E86:E87"/>
    <mergeCell ref="AA36:AA37"/>
    <mergeCell ref="O12:O13"/>
    <mergeCell ref="L76:L77"/>
    <mergeCell ref="E30:E31"/>
    <mergeCell ref="J26:J27"/>
    <mergeCell ref="L26:L27"/>
    <mergeCell ref="Z10:Z11"/>
    <mergeCell ref="M14:M15"/>
    <mergeCell ref="N82:N83"/>
    <mergeCell ref="AB66:AB67"/>
    <mergeCell ref="AC100:AC101"/>
    <mergeCell ref="J18:J19"/>
    <mergeCell ref="J90:J91"/>
    <mergeCell ref="L90:L91"/>
    <mergeCell ref="Y80:Y81"/>
    <mergeCell ref="I94:I95"/>
    <mergeCell ref="AB68:AB69"/>
    <mergeCell ref="I10:I11"/>
    <mergeCell ref="K10:K11"/>
    <mergeCell ref="Z84:Z85"/>
    <mergeCell ref="Z34:Z35"/>
    <mergeCell ref="I74:I75"/>
    <mergeCell ref="H42:H43"/>
    <mergeCell ref="M38:M39"/>
    <mergeCell ref="K74:K75"/>
    <mergeCell ref="J42:J43"/>
    <mergeCell ref="O38:O39"/>
    <mergeCell ref="H78:H79"/>
    <mergeCell ref="K68:K69"/>
    <mergeCell ref="Z86:Z87"/>
    <mergeCell ref="M68:M69"/>
    <mergeCell ref="A98:A99"/>
    <mergeCell ref="N110:N111"/>
    <mergeCell ref="K18:K19"/>
    <mergeCell ref="Z36:Z37"/>
    <mergeCell ref="I76:I77"/>
    <mergeCell ref="AB92:AB93"/>
    <mergeCell ref="H44:H45"/>
    <mergeCell ref="K76:K77"/>
    <mergeCell ref="J44:J45"/>
    <mergeCell ref="Z30:Z31"/>
    <mergeCell ref="AB30:AB31"/>
    <mergeCell ref="H108:H109"/>
    <mergeCell ref="AB94:AB95"/>
    <mergeCell ref="E34:E35"/>
    <mergeCell ref="N62:N63"/>
    <mergeCell ref="Y20:Y21"/>
    <mergeCell ref="A66:A67"/>
    <mergeCell ref="L24:L25"/>
    <mergeCell ref="I28:I29"/>
    <mergeCell ref="L64:L65"/>
    <mergeCell ref="A108:A109"/>
    <mergeCell ref="Y84:Y85"/>
    <mergeCell ref="N64:N65"/>
    <mergeCell ref="L88:L89"/>
    <mergeCell ref="AA84:AA85"/>
    <mergeCell ref="Y78:Y79"/>
    <mergeCell ref="I92:I93"/>
    <mergeCell ref="AA78:AA79"/>
    <mergeCell ref="AC42:AC43"/>
    <mergeCell ref="Y22:Y23"/>
    <mergeCell ref="A18:A19"/>
    <mergeCell ref="AA50:AA51"/>
    <mergeCell ref="Y86:Y87"/>
    <mergeCell ref="AC50:AC51"/>
    <mergeCell ref="A32:A33"/>
    <mergeCell ref="AC44:AC45"/>
    <mergeCell ref="AA80:AA81"/>
    <mergeCell ref="H32:H33"/>
    <mergeCell ref="A72:A73"/>
    <mergeCell ref="E36:E37"/>
    <mergeCell ref="A96:A97"/>
    <mergeCell ref="AC108:AC109"/>
    <mergeCell ref="O14:O15"/>
    <mergeCell ref="AB34:AB35"/>
    <mergeCell ref="E100:E101"/>
    <mergeCell ref="J96:J97"/>
    <mergeCell ref="K62:K63"/>
    <mergeCell ref="M62:M63"/>
    <mergeCell ref="M56:M57"/>
    <mergeCell ref="O78:O79"/>
    <mergeCell ref="Z24:Z25"/>
    <mergeCell ref="E102:E103"/>
    <mergeCell ref="K64:K65"/>
    <mergeCell ref="O28:O29"/>
    <mergeCell ref="L98:L99"/>
    <mergeCell ref="M64:M65"/>
    <mergeCell ref="AB18:AB19"/>
    <mergeCell ref="Z76:Z77"/>
    <mergeCell ref="AB76:AB77"/>
    <mergeCell ref="Z26:Z27"/>
    <mergeCell ref="L12:L13"/>
    <mergeCell ref="H50:H51"/>
    <mergeCell ref="I16:I17"/>
    <mergeCell ref="N12:N13"/>
    <mergeCell ref="A16:A17"/>
    <mergeCell ref="AC24:AC25"/>
    <mergeCell ref="I26:I27"/>
    <mergeCell ref="Y10:Y11"/>
    <mergeCell ref="Z100:Z101"/>
    <mergeCell ref="L14:L15"/>
    <mergeCell ref="H52:H53"/>
    <mergeCell ref="AB100:AB101"/>
    <mergeCell ref="I18:I19"/>
    <mergeCell ref="N14:N15"/>
    <mergeCell ref="J108:J109"/>
    <mergeCell ref="K90:K91"/>
    <mergeCell ref="AC38:AC39"/>
    <mergeCell ref="H94:H95"/>
    <mergeCell ref="Z102:Z103"/>
    <mergeCell ref="AA68:AA69"/>
    <mergeCell ref="AB102:AB103"/>
    <mergeCell ref="K82:K83"/>
    <mergeCell ref="J32:J33"/>
    <mergeCell ref="A22:A23"/>
    <mergeCell ref="L38:L39"/>
    <mergeCell ref="I42:I43"/>
    <mergeCell ref="N38:N39"/>
    <mergeCell ref="K42:K43"/>
    <mergeCell ref="L96:L97"/>
    <mergeCell ref="J22:J23"/>
    <mergeCell ref="N90:N91"/>
    <mergeCell ref="E50:E51"/>
    <mergeCell ref="O110:O111"/>
    <mergeCell ref="Y36:Y37"/>
    <mergeCell ref="H76:H77"/>
    <mergeCell ref="I50:I51"/>
    <mergeCell ref="L40:L41"/>
    <mergeCell ref="J76:J77"/>
    <mergeCell ref="I44:I45"/>
    <mergeCell ref="N40:N41"/>
    <mergeCell ref="AB24:AB25"/>
    <mergeCell ref="AC52:AC53"/>
    <mergeCell ref="L80:L81"/>
    <mergeCell ref="Y100:Y101"/>
    <mergeCell ref="N80:N81"/>
    <mergeCell ref="AA100:AA101"/>
    <mergeCell ref="I108:I109"/>
    <mergeCell ref="AA94:AA95"/>
    <mergeCell ref="K108:K109"/>
    <mergeCell ref="Y102:Y103"/>
    <mergeCell ref="A48:A49"/>
    <mergeCell ref="M34:M35"/>
    <mergeCell ref="E64:E65"/>
    <mergeCell ref="Z32:Z33"/>
    <mergeCell ref="I72:I73"/>
    <mergeCell ref="K72:K73"/>
    <mergeCell ref="O92:O93"/>
    <mergeCell ref="Z50:Z51"/>
    <mergeCell ref="O36:O37"/>
    <mergeCell ref="O30:O31"/>
    <mergeCell ref="AB50:AB51"/>
    <mergeCell ref="Y54:Y55"/>
    <mergeCell ref="Z96:Z97"/>
    <mergeCell ref="AA70:AA71"/>
    <mergeCell ref="Z52:Z53"/>
    <mergeCell ref="J20:J21"/>
    <mergeCell ref="AB52:AB53"/>
    <mergeCell ref="L20:L21"/>
    <mergeCell ref="Y34:Y35"/>
    <mergeCell ref="I96:I97"/>
    <mergeCell ref="L84:L85"/>
    <mergeCell ref="L22:L23"/>
    <mergeCell ref="N84:N85"/>
    <mergeCell ref="AA74:AA75"/>
    <mergeCell ref="N78:N79"/>
    <mergeCell ref="L34:L35"/>
    <mergeCell ref="I38:I39"/>
    <mergeCell ref="I98:I99"/>
    <mergeCell ref="O60:O61"/>
    <mergeCell ref="AA46:AA47"/>
    <mergeCell ref="AC46:AC47"/>
    <mergeCell ref="N28:N29"/>
    <mergeCell ref="L86:L87"/>
    <mergeCell ref="Y76:Y77"/>
    <mergeCell ref="Z110:Z111"/>
    <mergeCell ref="N86:N87"/>
    <mergeCell ref="A68:A69"/>
    <mergeCell ref="AA76:AA77"/>
    <mergeCell ref="AC40:AC41"/>
    <mergeCell ref="N30:N31"/>
    <mergeCell ref="AC48:AC49"/>
    <mergeCell ref="AC104:AC105"/>
    <mergeCell ref="L46:L47"/>
    <mergeCell ref="Z70:Z71"/>
    <mergeCell ref="O34:O35"/>
    <mergeCell ref="N94:N95"/>
    <mergeCell ref="E58:E59"/>
    <mergeCell ref="K20:K21"/>
    <mergeCell ref="E52:E53"/>
    <mergeCell ref="J48:J49"/>
    <mergeCell ref="M20:M21"/>
    <mergeCell ref="L48:L49"/>
    <mergeCell ref="AB32:AB33"/>
    <mergeCell ref="E60:E61"/>
    <mergeCell ref="M78:M79"/>
    <mergeCell ref="AA102:AA103"/>
    <mergeCell ref="N106:N107"/>
    <mergeCell ref="AC72:AC73"/>
    <mergeCell ref="AB40:AB41"/>
    <mergeCell ref="Y110:Y111"/>
    <mergeCell ref="O44:O45"/>
    <mergeCell ref="M80:M81"/>
    <mergeCell ref="A12:A13"/>
    <mergeCell ref="K96:K97"/>
    <mergeCell ref="H100:H101"/>
    <mergeCell ref="A14:A15"/>
    <mergeCell ref="Z58:Z59"/>
    <mergeCell ref="H66:H67"/>
    <mergeCell ref="K98:K99"/>
    <mergeCell ref="E70:E71"/>
    <mergeCell ref="J66:J67"/>
    <mergeCell ref="H16:H17"/>
    <mergeCell ref="E80:E81"/>
    <mergeCell ref="Z60:Z61"/>
    <mergeCell ref="Y28:Y29"/>
    <mergeCell ref="H18:H19"/>
    <mergeCell ref="A38:A39"/>
    <mergeCell ref="AA92:AA93"/>
    <mergeCell ref="K16:K17"/>
    <mergeCell ref="L36:L37"/>
    <mergeCell ref="J72:J73"/>
    <mergeCell ref="N36:N37"/>
    <mergeCell ref="A40:A41"/>
    <mergeCell ref="AA10:AA11"/>
    <mergeCell ref="N100:N101"/>
    <mergeCell ref="AA90:AA91"/>
    <mergeCell ref="I66:I67"/>
    <mergeCell ref="AA52:AA53"/>
    <mergeCell ref="AC74:AC75"/>
    <mergeCell ref="Y98:Y99"/>
    <mergeCell ref="AC68:AC69"/>
    <mergeCell ref="L102:L103"/>
    <mergeCell ref="AA98:AA99"/>
    <mergeCell ref="N102:N103"/>
    <mergeCell ref="I22:I23"/>
    <mergeCell ref="K84:K85"/>
    <mergeCell ref="K22:K23"/>
    <mergeCell ref="M84:M85"/>
    <mergeCell ref="M22:M23"/>
    <mergeCell ref="O84:O85"/>
    <mergeCell ref="AB96:AB97"/>
    <mergeCell ref="H98:H99"/>
    <mergeCell ref="AB46:AB47"/>
    <mergeCell ref="K86:K87"/>
    <mergeCell ref="J54:J55"/>
    <mergeCell ref="O50:O51"/>
    <mergeCell ref="M86:M87"/>
    <mergeCell ref="L54:L55"/>
    <mergeCell ref="E9:F9"/>
    <mergeCell ref="J16:J17"/>
    <mergeCell ref="O80:O81"/>
    <mergeCell ref="M36:M37"/>
    <mergeCell ref="E110:E111"/>
    <mergeCell ref="Z48:Z49"/>
    <mergeCell ref="M30:M31"/>
    <mergeCell ref="AB48:AB49"/>
    <mergeCell ref="J56:J57"/>
    <mergeCell ref="O52:O53"/>
    <mergeCell ref="L56:L57"/>
    <mergeCell ref="Y70:Y71"/>
    <mergeCell ref="N34:N35"/>
    <mergeCell ref="K38:K39"/>
    <mergeCell ref="O94:O95"/>
    <mergeCell ref="A62:A63"/>
    <mergeCell ref="Y32:Y33"/>
    <mergeCell ref="AA32:AA33"/>
    <mergeCell ref="A34:A35"/>
    <mergeCell ref="A28:A29"/>
    <mergeCell ref="A64:A65"/>
    <mergeCell ref="AA96:AA97"/>
    <mergeCell ref="AC96:AC97"/>
    <mergeCell ref="A82:A83"/>
    <mergeCell ref="A30:A31"/>
    <mergeCell ref="I54:I55"/>
    <mergeCell ref="H26:H27"/>
    <mergeCell ref="E92:E93"/>
    <mergeCell ref="H82:H83"/>
    <mergeCell ref="K54:K55"/>
    <mergeCell ref="J82:J83"/>
    <mergeCell ref="AC62:AC63"/>
    <mergeCell ref="Z66:Z67"/>
    <mergeCell ref="M70:M71"/>
    <mergeCell ref="AC64:AC65"/>
    <mergeCell ref="E10:E11"/>
    <mergeCell ref="Z68:Z69"/>
    <mergeCell ref="AA58:AA59"/>
    <mergeCell ref="J98:J99"/>
    <mergeCell ref="E74:E75"/>
    <mergeCell ref="AA24:AA25"/>
    <mergeCell ref="Y60:Y61"/>
    <mergeCell ref="AA60:AA61"/>
    <mergeCell ref="I68:I69"/>
    <mergeCell ref="AA16:AA17"/>
    <mergeCell ref="O40:O41"/>
    <mergeCell ref="O76:O77"/>
    <mergeCell ref="AC88:AC89"/>
    <mergeCell ref="E76:E77"/>
    <mergeCell ref="AA26:AA27"/>
    <mergeCell ref="Z92:Z93"/>
    <mergeCell ref="AC26:AC27"/>
    <mergeCell ref="I82:I83"/>
    <mergeCell ref="AC90:AC91"/>
    <mergeCell ref="N24:N25"/>
    <mergeCell ref="Z94:Z95"/>
    <mergeCell ref="O58:O59"/>
    <mergeCell ref="H24:H25"/>
    <mergeCell ref="AB10:AB11"/>
    <mergeCell ref="H48:H49"/>
    <mergeCell ref="M100:M101"/>
    <mergeCell ref="Z74:Z75"/>
    <mergeCell ref="Y42:Y43"/>
    <mergeCell ref="AB74:AB75"/>
    <mergeCell ref="J88:J89"/>
    <mergeCell ref="AA42:AA43"/>
    <mergeCell ref="L82:L83"/>
    <mergeCell ref="M102:M103"/>
    <mergeCell ref="O102:O103"/>
    <mergeCell ref="H68:H69"/>
    <mergeCell ref="AA44:AA45"/>
    <mergeCell ref="A88:A89"/>
    <mergeCell ref="Y30:Y31"/>
    <mergeCell ref="N50:N51"/>
    <mergeCell ref="A54:A55"/>
    <mergeCell ref="A90:A91"/>
    <mergeCell ref="L58:L59"/>
    <mergeCell ref="I62:I63"/>
    <mergeCell ref="N58:N59"/>
    <mergeCell ref="AA48:AA49"/>
    <mergeCell ref="I56:I57"/>
    <mergeCell ref="N52:N53"/>
    <mergeCell ref="K56:K57"/>
    <mergeCell ref="A56:A57"/>
    <mergeCell ref="AC14:AC15"/>
    <mergeCell ref="M28:M29"/>
    <mergeCell ref="Z18:Z19"/>
    <mergeCell ref="AC106:AC107"/>
    <mergeCell ref="Z42:Z43"/>
    <mergeCell ref="Z82:Z83"/>
    <mergeCell ref="H12:H13"/>
    <mergeCell ref="J12:J13"/>
    <mergeCell ref="L72:L73"/>
    <mergeCell ref="O100:O101"/>
    <mergeCell ref="AC80:AC81"/>
    <mergeCell ref="E26:E27"/>
    <mergeCell ref="H14:H15"/>
    <mergeCell ref="AB62:AB63"/>
    <mergeCell ref="J14:J15"/>
    <mergeCell ref="Y66:Y67"/>
    <mergeCell ref="O66:O67"/>
    <mergeCell ref="O10:O11"/>
    <mergeCell ref="L70:L71"/>
    <mergeCell ref="N70:N71"/>
    <mergeCell ref="Y38:Y39"/>
    <mergeCell ref="M52:M53"/>
    <mergeCell ref="AB64:AB65"/>
    <mergeCell ref="Y68:Y69"/>
    <mergeCell ref="O68:O69"/>
    <mergeCell ref="O18:O19"/>
    <mergeCell ref="A84:A85"/>
    <mergeCell ref="H38:H39"/>
    <mergeCell ref="A78:A79"/>
    <mergeCell ref="E42:E43"/>
    <mergeCell ref="J38:J39"/>
    <mergeCell ref="H74:H75"/>
    <mergeCell ref="AC12:AC13"/>
    <mergeCell ref="Z16:Z17"/>
    <mergeCell ref="N46:N47"/>
    <mergeCell ref="AB16:AB17"/>
    <mergeCell ref="A50:A51"/>
    <mergeCell ref="K110:K111"/>
    <mergeCell ref="M110:M111"/>
    <mergeCell ref="H40:H41"/>
    <mergeCell ref="AB88:AB89"/>
    <mergeCell ref="AA20:AA21"/>
    <mergeCell ref="A80:A81"/>
    <mergeCell ref="Y92:Y93"/>
    <mergeCell ref="E44:E45"/>
    <mergeCell ref="J40:J41"/>
    <mergeCell ref="AB26:AB27"/>
    <mergeCell ref="AC20:AC21"/>
    <mergeCell ref="E108:E109"/>
    <mergeCell ref="K70:K71"/>
    <mergeCell ref="J104:J105"/>
    <mergeCell ref="L104:L105"/>
    <mergeCell ref="Y94:Y95"/>
    <mergeCell ref="AB90:AB91"/>
    <mergeCell ref="AB82:AB83"/>
    <mergeCell ref="I24:I25"/>
    <mergeCell ref="M32:M33"/>
    <mergeCell ref="L60:L61"/>
    <mergeCell ref="E32:E33"/>
    <mergeCell ref="A104:A105"/>
    <mergeCell ref="N60:N61"/>
    <mergeCell ref="I88:I89"/>
    <mergeCell ref="E72:E73"/>
    <mergeCell ref="A106:A107"/>
    <mergeCell ref="I90:I91"/>
    <mergeCell ref="Z44:Z45"/>
    <mergeCell ref="J110:J111"/>
    <mergeCell ref="AB14:AB15"/>
    <mergeCell ref="H20:H21"/>
    <mergeCell ref="Z108:Z109"/>
    <mergeCell ref="AB108:AB109"/>
    <mergeCell ref="I80:I81"/>
    <mergeCell ref="E96:E97"/>
    <mergeCell ref="M58:M59"/>
    <mergeCell ref="J84:J85"/>
    <mergeCell ref="J78:J79"/>
    <mergeCell ref="L78:L79"/>
    <mergeCell ref="E98:E99"/>
    <mergeCell ref="K60:K61"/>
    <mergeCell ref="J28:J29"/>
    <mergeCell ref="O24:O25"/>
    <mergeCell ref="H64:H65"/>
    <mergeCell ref="M60:M61"/>
    <mergeCell ref="Z72:Z73"/>
    <mergeCell ref="L28:L29"/>
    <mergeCell ref="J86:J87"/>
    <mergeCell ref="AB72:AB73"/>
    <mergeCell ref="AA40:AA41"/>
    <mergeCell ref="O16:O17"/>
    <mergeCell ref="Z22:Z23"/>
    <mergeCell ref="O88:O89"/>
    <mergeCell ref="J30:J31"/>
    <mergeCell ref="L92:L93"/>
    <mergeCell ref="Y82:Y83"/>
    <mergeCell ref="L30:L31"/>
    <mergeCell ref="O26:O27"/>
    <mergeCell ref="H46:H47"/>
    <mergeCell ref="Y44:Y45"/>
    <mergeCell ref="I12:I13"/>
    <mergeCell ref="A86:A87"/>
    <mergeCell ref="K12:K13"/>
    <mergeCell ref="L10:L11"/>
    <mergeCell ref="I14:I15"/>
    <mergeCell ref="N10:N11"/>
    <mergeCell ref="AC84:AC85"/>
    <mergeCell ref="K14:K15"/>
    <mergeCell ref="AC22:AC23"/>
    <mergeCell ref="Z88:Z89"/>
    <mergeCell ref="A100:A101"/>
    <mergeCell ref="AC34:AC35"/>
    <mergeCell ref="Z38:Z39"/>
    <mergeCell ref="Z98:Z99"/>
    <mergeCell ref="I78:I79"/>
    <mergeCell ref="N74:N75"/>
    <mergeCell ref="AB98:AB99"/>
    <mergeCell ref="K78:K79"/>
    <mergeCell ref="AA64:AA65"/>
    <mergeCell ref="J106:J107"/>
    <mergeCell ref="M42:M43"/>
    <mergeCell ref="O42:O43"/>
    <mergeCell ref="AB38:AB39"/>
    <mergeCell ref="AC36:AC37"/>
    <mergeCell ref="Z40:Z41"/>
    <mergeCell ref="M44:M45"/>
    <mergeCell ref="O96:O97"/>
    <mergeCell ref="E22:E23"/>
    <mergeCell ref="L110:L111"/>
    <mergeCell ref="I46:I47"/>
    <mergeCell ref="I40:I41"/>
    <mergeCell ref="AB20:AB21"/>
    <mergeCell ref="O98:O99"/>
    <mergeCell ref="Y24:Y25"/>
    <mergeCell ref="M48:M49"/>
    <mergeCell ref="E48:E49"/>
    <mergeCell ref="I104:I105"/>
    <mergeCell ref="AB84:AB85"/>
    <mergeCell ref="AB22:AB23"/>
    <mergeCell ref="K104:K105"/>
    <mergeCell ref="Y88:Y89"/>
    <mergeCell ref="Y26:Y27"/>
    <mergeCell ref="H34:H35"/>
    <mergeCell ref="I106:I107"/>
    <mergeCell ref="AA54:AA55"/>
    <mergeCell ref="K106:K107"/>
    <mergeCell ref="H88:H89"/>
    <mergeCell ref="H36:H37"/>
    <mergeCell ref="J36:J37"/>
    <mergeCell ref="H72:H73"/>
    <mergeCell ref="AC10:AC11"/>
    <mergeCell ref="Y50:Y51"/>
    <mergeCell ref="H90:H91"/>
    <mergeCell ref="AA66:AA67"/>
    <mergeCell ref="J100:J101"/>
    <mergeCell ref="AB86:AB87"/>
    <mergeCell ref="L100:L101"/>
    <mergeCell ref="J94:J95"/>
    <mergeCell ref="Y16:Y17"/>
    <mergeCell ref="L94:L95"/>
    <mergeCell ref="Y52:Y53"/>
    <mergeCell ref="Y108:Y109"/>
    <mergeCell ref="I20:I21"/>
    <mergeCell ref="A20:A21"/>
    <mergeCell ref="AA108:AA109"/>
    <mergeCell ref="Y18:Y19"/>
    <mergeCell ref="AA18:AA19"/>
    <mergeCell ref="I84:I85"/>
    <mergeCell ref="A102:A103"/>
    <mergeCell ref="AA82:AA83"/>
    <mergeCell ref="Y72:Y73"/>
    <mergeCell ref="Z46:Z47"/>
    <mergeCell ref="I86:I87"/>
    <mergeCell ref="AA72:AA73"/>
    <mergeCell ref="M50:M51"/>
    <mergeCell ref="N76:N77"/>
    <mergeCell ref="L16:L17"/>
    <mergeCell ref="N16:N17"/>
    <mergeCell ref="K80:K81"/>
    <mergeCell ref="A110:A111"/>
    <mergeCell ref="I30:I31"/>
    <mergeCell ref="K92:K93"/>
    <mergeCell ref="N26:N27"/>
    <mergeCell ref="K30:K31"/>
    <mergeCell ref="Z104:Z105"/>
    <mergeCell ref="AB104:AB105"/>
    <mergeCell ref="N18:N19"/>
    <mergeCell ref="O108:O109"/>
    <mergeCell ref="J34:J35"/>
    <mergeCell ref="K94:K95"/>
    <mergeCell ref="M94:M95"/>
    <mergeCell ref="Z106:Z107"/>
    <mergeCell ref="M10:M11"/>
    <mergeCell ref="AB106:AB107"/>
    <mergeCell ref="O32:O33"/>
    <mergeCell ref="AA88:AA89"/>
    <mergeCell ref="N92:N93"/>
    <mergeCell ref="A26:A27"/>
    <mergeCell ref="H22:H23"/>
    <mergeCell ref="M74:M75"/>
    <mergeCell ref="L42:L43"/>
    <mergeCell ref="O74:O75"/>
    <mergeCell ref="N42:N43"/>
    <mergeCell ref="Y96:Y97"/>
    <mergeCell ref="AC54:AC55"/>
    <mergeCell ref="O22:O23"/>
    <mergeCell ref="E54:E55"/>
    <mergeCell ref="AB36:AB37"/>
    <mergeCell ref="Y40:Y41"/>
    <mergeCell ref="H80:H81"/>
    <mergeCell ref="M76:M77"/>
    <mergeCell ref="AA62:AA63"/>
    <mergeCell ref="L44:L45"/>
    <mergeCell ref="N44:N45"/>
    <mergeCell ref="AA56:AA57"/>
    <mergeCell ref="AC56:AC57"/>
    <mergeCell ref="H96:H97"/>
    <mergeCell ref="Y104:Y105"/>
    <mergeCell ref="L108:L109"/>
    <mergeCell ref="AA104:AA105"/>
    <mergeCell ref="A10:A11"/>
    <mergeCell ref="N108:N109"/>
    <mergeCell ref="I34:I35"/>
    <mergeCell ref="H62:H63"/>
    <mergeCell ref="K34:K35"/>
    <mergeCell ref="E66:E67"/>
    <mergeCell ref="J62:J63"/>
    <mergeCell ref="K28:K29"/>
    <mergeCell ref="A52:A53"/>
    <mergeCell ref="H104:H105"/>
    <mergeCell ref="AA22:AA23"/>
    <mergeCell ref="E68:E69"/>
    <mergeCell ref="J64:J65"/>
    <mergeCell ref="M92:M93"/>
    <mergeCell ref="AC32:AC33"/>
    <mergeCell ref="N72:N73"/>
    <mergeCell ref="H106:H107"/>
    <mergeCell ref="AA86:AA87"/>
    <mergeCell ref="Z54:Z55"/>
    <mergeCell ref="AC86:AC87"/>
    <mergeCell ref="AB54:AB55"/>
    <mergeCell ref="E82:E83"/>
    <mergeCell ref="L32:L33"/>
    <mergeCell ref="I36:I37"/>
    <mergeCell ref="Z56:Z57"/>
    <mergeCell ref="A36:A37"/>
    <mergeCell ref="O20:O21"/>
    <mergeCell ref="AB56:AB57"/>
    <mergeCell ref="I100:I101"/>
    <mergeCell ref="N96:N97"/>
    <mergeCell ref="K100:K101"/>
    <mergeCell ref="N88:N89"/>
    <mergeCell ref="E94:E95"/>
    <mergeCell ref="I102:I103"/>
    <mergeCell ref="N98:N99"/>
    <mergeCell ref="O64:O65"/>
    <mergeCell ref="K102:K103"/>
    <mergeCell ref="H84:H85"/>
    <mergeCell ref="J50:J51"/>
    <mergeCell ref="Y46:Y47"/>
    <mergeCell ref="O46:O47"/>
    <mergeCell ref="H86:H87"/>
    <mergeCell ref="L50:L51"/>
    <mergeCell ref="E16:E17"/>
    <mergeCell ref="M26:M27"/>
    <mergeCell ref="E62:E63"/>
    <mergeCell ref="J58:J59"/>
    <mergeCell ref="E56:E57"/>
    <mergeCell ref="J52:J53"/>
    <mergeCell ref="Y48:Y49"/>
    <mergeCell ref="L52:L53"/>
    <mergeCell ref="O48:O49"/>
    <mergeCell ref="E18:E19"/>
    <mergeCell ref="O90:O91"/>
    <mergeCell ref="AB42:AB43"/>
    <mergeCell ref="A58:A59"/>
    <mergeCell ref="Y106:Y107"/>
    <mergeCell ref="M82:M83"/>
    <mergeCell ref="AA106:AA107"/>
    <mergeCell ref="N32:N33"/>
    <mergeCell ref="K36:K37"/>
    <mergeCell ref="A24:A25"/>
    <mergeCell ref="AB44:AB45"/>
    <mergeCell ref="A60:A61"/>
    <mergeCell ref="K50:K51"/>
    <mergeCell ref="AC58:AC59"/>
    <mergeCell ref="K44:K45"/>
    <mergeCell ref="Z62:Z63"/>
    <mergeCell ref="H70:H71"/>
    <mergeCell ref="J70:J71"/>
    <mergeCell ref="I52:I53"/>
    <mergeCell ref="M16:M17"/>
    <mergeCell ref="E90:E91"/>
    <mergeCell ref="J80:J81"/>
    <mergeCell ref="AC60:AC61"/>
    <mergeCell ref="M108:M109"/>
    <mergeCell ref="Z64:Z65"/>
    <mergeCell ref="AC102:AC103"/>
    <mergeCell ref="A42:A43"/>
    <mergeCell ref="Y12:Y13"/>
    <mergeCell ref="I64:I65"/>
    <mergeCell ref="AA12:AA13"/>
    <mergeCell ref="J46:J47"/>
    <mergeCell ref="M72:M73"/>
    <mergeCell ref="I110:I111"/>
    <mergeCell ref="O72:O73"/>
    <mergeCell ref="A44:A45"/>
    <mergeCell ref="AA14:AA15"/>
    <mergeCell ref="AC70:AC71"/>
    <mergeCell ref="N104:N105"/>
    <mergeCell ref="Y56:Y57"/>
    <mergeCell ref="N20:N21"/>
    <mergeCell ref="Z90:Z91"/>
    <mergeCell ref="K24:K25"/>
    <mergeCell ref="AC78:AC79"/>
    <mergeCell ref="E24:E25"/>
    <mergeCell ref="L106:L107"/>
  </mergeCells>
  <conditionalFormatting sqref="B10:AC111">
    <cfRule type="expression" priority="2" dxfId="3" stopIfTrue="1">
      <formula>ROW()-MOD(ROW(),2)=CELL("row")-MOD(CELL("row"),2)</formula>
    </cfRule>
  </conditionalFormatting>
  <conditionalFormatting sqref="A10:A111">
    <cfRule type="expression" priority="1" dxfId="1">
      <formula>Y10&lt;&gt;""</formula>
    </cfRule>
    <cfRule type="expression" priority="3" dxfId="1">
      <formula>COUNTIF(OFFSET($T10,-MOD(ROW(),2),0,2,1),"買いｷｬﾝｾﾙ")&gt;0</formula>
    </cfRule>
    <cfRule type="expression" priority="4" dxfId="0">
      <formula>AND(COUNTIF(OFFSET($T10,-MOD(ROW(),2),0,2,1),"買いｷｬﾝｾﾙ")=0,  COUNTIF(OFFSET($T10,-MOD(ROW(),2),0,2,1),"売りｷｬﾝｾﾙ")&gt;0 )</formula>
    </cfRule>
  </conditionalFormatting>
  <dataValidations count="1">
    <dataValidation sqref="T10:T111" showDropDown="0" showInputMessage="1" showErrorMessage="0" allowBlank="1" type="list">
      <formula1>"買いｷｬﾝｾﾙ,売りｷｬﾝｾﾙ"</formula1>
    </dataValidation>
  </dataValidations>
  <pageMargins left="0.7" right="0.7" top="0.75" bottom="0.75" header="0.3" footer="0.3"/>
  <legacyDrawing xmlns:r="http://schemas.openxmlformats.org/officeDocument/2006/relationships" r:id="anysvml"/>
</worksheet>
</file>

<file path=xl/worksheets/sheet4.xml><?xml version="1.0" encoding="utf-8"?>
<worksheet xmlns="http://schemas.openxmlformats.org/spreadsheetml/2006/main">
  <sheetPr codeName="売約済">
    <outlinePr summaryBelow="1" summaryRight="1"/>
    <pageSetUpPr/>
  </sheetPr>
  <dimension ref="A1:AD9"/>
  <sheetViews>
    <sheetView zoomScale="80" zoomScaleNormal="80" workbookViewId="0">
      <pane xSplit="7" ySplit="9" topLeftCell="H10" activePane="bottomRight" state="frozen"/>
      <selection pane="topRight" activeCell="J1" sqref="J1"/>
      <selection pane="bottomLeft" activeCell="A10" sqref="A10"/>
      <selection pane="bottomRight" activeCell="D26" sqref="D26"/>
    </sheetView>
  </sheetViews>
  <sheetFormatPr baseColWidth="8" defaultColWidth="9" defaultRowHeight="17.1" customHeight="1"/>
  <cols>
    <col width="10.77734375" customWidth="1" style="10" min="1" max="1"/>
    <col width="18.77734375" customWidth="1" style="10" min="2" max="2"/>
    <col width="13.77734375" customWidth="1" style="10" min="3" max="4"/>
    <col width="10.77734375" customWidth="1" style="107" min="4" max="4"/>
    <col width="4.21875" customWidth="1" style="10" min="5" max="5"/>
    <col width="38.77734375" customWidth="1" style="10" min="6" max="6"/>
    <col width="10.77734375" bestFit="1" customWidth="1" style="10" min="7" max="7"/>
    <col width="6.77734375" customWidth="1" style="10" min="8" max="8"/>
    <col width="16.77734375" customWidth="1" style="10" min="9" max="14"/>
    <col width="16.77734375" customWidth="1" style="10" min="15" max="15"/>
    <col width="35.77734375" bestFit="1" customWidth="1" style="10" min="16" max="16"/>
    <col width="6.77734375" customWidth="1" style="10" min="17" max="17"/>
    <col width="6.77734375" customWidth="1" style="10" min="18" max="18"/>
    <col width="65.77734375" customWidth="1" style="10" min="19" max="19"/>
    <col width="10.44140625" bestFit="1" customWidth="1" style="10" min="20" max="20"/>
    <col width="25.77734375" customWidth="1" style="10" min="21" max="21"/>
    <col width="18.77734375" bestFit="1" customWidth="1" style="10" min="22" max="22"/>
    <col width="18.77734375" bestFit="1" customWidth="1" style="10" min="23" max="24"/>
    <col width="13.77734375" customWidth="1" style="107" min="24" max="24"/>
    <col width="16.77734375" customWidth="1" style="10" min="25" max="28"/>
    <col width="11.21875" customWidth="1" style="10" min="29" max="29"/>
    <col width="40.59765625" customWidth="1" style="10" min="30" max="30"/>
    <col width="9" customWidth="1" style="10" min="31" max="16384"/>
  </cols>
  <sheetData>
    <row r="1" ht="18" customHeight="1" s="107">
      <c r="A1" s="2" t="n"/>
      <c r="B1" s="2" t="n"/>
      <c r="C1" s="2" t="n"/>
      <c r="D1" s="2" t="n"/>
      <c r="E1" s="2" t="n"/>
      <c r="F1" s="2" t="n"/>
      <c r="G1" s="2" t="n"/>
      <c r="H1" s="2" t="n"/>
      <c r="I1" s="2" t="n"/>
      <c r="J1" s="2" t="n"/>
      <c r="K1" s="2" t="n"/>
      <c r="L1" s="2" t="n"/>
      <c r="M1" s="2" t="n"/>
      <c r="N1" s="2" t="n"/>
      <c r="O1" s="2" t="n"/>
      <c r="P1" s="2" t="n"/>
      <c r="Q1" s="2" t="n"/>
      <c r="R1" s="2" t="n"/>
      <c r="S1" s="2" t="n"/>
      <c r="T1" s="2" t="n"/>
      <c r="U1" s="2" t="n"/>
      <c r="V1" s="2" t="n"/>
      <c r="W1" s="2" t="n"/>
      <c r="X1" s="2" t="n"/>
      <c r="Y1" s="2" t="n"/>
      <c r="Z1" s="2" t="n"/>
      <c r="AA1" s="2" t="n"/>
      <c r="AB1" s="2" t="n"/>
      <c r="AC1" s="2" t="n"/>
      <c r="AD1" s="2" t="n"/>
    </row>
    <row r="2" ht="18" customHeight="1" s="107">
      <c r="A2" s="2" t="n"/>
      <c r="B2" s="13" t="n"/>
      <c r="C2" s="14" t="n"/>
      <c r="D2" s="15" t="n"/>
      <c r="E2" s="2" t="n"/>
      <c r="F2" s="53" t="n"/>
      <c r="G2" s="15" t="n"/>
      <c r="H2" s="2" t="n"/>
      <c r="I2" s="2" t="n"/>
      <c r="J2" s="2" t="n"/>
      <c r="K2" s="2" t="n"/>
      <c r="L2" s="2" t="n"/>
      <c r="M2" s="2" t="n"/>
      <c r="N2" s="2" t="n"/>
      <c r="O2" s="2" t="n"/>
      <c r="P2" s="2" t="n"/>
      <c r="Q2" s="2" t="n"/>
      <c r="R2" s="2" t="n"/>
      <c r="S2" s="2" t="n"/>
      <c r="T2" s="2" t="n"/>
      <c r="U2" s="2" t="n"/>
      <c r="V2" s="2" t="n"/>
      <c r="W2" s="2" t="n"/>
      <c r="X2" s="2" t="n"/>
      <c r="Y2" s="2" t="n"/>
      <c r="Z2" s="2" t="n"/>
      <c r="AA2" s="2" t="n"/>
      <c r="AB2" s="2" t="n"/>
      <c r="AC2" s="2" t="n"/>
      <c r="AD2" s="2" t="n"/>
    </row>
    <row r="3" ht="18" customHeight="1" s="107">
      <c r="A3" s="2" t="n"/>
      <c r="B3" s="2" t="n"/>
      <c r="C3" s="2" t="n"/>
      <c r="D3" s="2" t="n"/>
      <c r="E3" s="2" t="n"/>
      <c r="F3" s="2" t="n"/>
      <c r="G3" s="2" t="n"/>
      <c r="H3" s="2" t="n"/>
      <c r="I3" s="2" t="n"/>
      <c r="J3" s="2" t="n"/>
      <c r="K3" s="2" t="n"/>
      <c r="L3" s="2" t="n"/>
      <c r="M3" s="2" t="n"/>
      <c r="N3" s="2" t="n"/>
      <c r="O3" s="2" t="n"/>
      <c r="P3" s="2" t="n"/>
      <c r="Q3" s="2" t="n"/>
      <c r="R3" s="2" t="n"/>
      <c r="S3" s="2" t="n"/>
      <c r="T3" s="2" t="n"/>
      <c r="U3" s="2" t="n"/>
      <c r="V3" s="2" t="n"/>
      <c r="W3" s="2" t="n"/>
      <c r="X3" s="2" t="n"/>
      <c r="Y3" s="2" t="n"/>
      <c r="Z3" s="2" t="n"/>
      <c r="AA3" s="2" t="n"/>
      <c r="AB3" s="2" t="n"/>
      <c r="AC3" s="2" t="n"/>
      <c r="AD3" s="2" t="n"/>
    </row>
    <row r="4" ht="18" customHeight="1" s="107">
      <c r="A4" s="2" t="n"/>
      <c r="B4" s="2" t="n"/>
      <c r="C4" s="2" t="n"/>
      <c r="D4" s="2" t="n"/>
      <c r="E4" s="2" t="n"/>
      <c r="F4" s="2" t="n"/>
      <c r="G4" s="2" t="n"/>
      <c r="H4" s="2" t="n"/>
      <c r="I4" s="2" t="n"/>
      <c r="J4" s="2" t="n"/>
      <c r="K4" s="2" t="n"/>
      <c r="L4" s="2" t="n"/>
      <c r="M4" s="2" t="n"/>
      <c r="N4" s="2" t="n"/>
      <c r="O4" s="2" t="n"/>
      <c r="P4" s="2" t="n"/>
      <c r="Q4" s="2" t="n"/>
      <c r="R4" s="2" t="n"/>
      <c r="S4" s="2" t="n"/>
      <c r="T4" s="2" t="n"/>
      <c r="U4" s="2" t="n"/>
      <c r="V4" s="2" t="n"/>
      <c r="W4" s="2" t="n"/>
      <c r="X4" s="2" t="n"/>
      <c r="Y4" s="2" t="n"/>
      <c r="Z4" s="2" t="n"/>
      <c r="AA4" s="2" t="n"/>
      <c r="AB4" s="2" t="n"/>
      <c r="AC4" s="2" t="n"/>
      <c r="AD4" s="2" t="n"/>
    </row>
    <row r="5" ht="18" customHeight="1" s="107">
      <c r="A5" s="2" t="n"/>
      <c r="B5" s="2" t="n"/>
      <c r="C5" s="2" t="n"/>
      <c r="D5" s="2" t="n"/>
      <c r="E5" s="2" t="n"/>
      <c r="F5" s="2" t="n"/>
      <c r="G5" s="2" t="n"/>
      <c r="H5" s="2" t="n"/>
      <c r="I5" s="2" t="n"/>
      <c r="J5" s="2" t="n"/>
      <c r="K5" s="2" t="n"/>
      <c r="L5" s="2" t="n"/>
      <c r="M5" s="2" t="n"/>
      <c r="N5" s="2" t="n"/>
      <c r="O5" s="2" t="n"/>
      <c r="P5" s="2" t="n"/>
      <c r="Q5" s="2" t="n"/>
      <c r="R5" s="2" t="n"/>
      <c r="S5" s="2" t="n"/>
      <c r="T5" s="2" t="n"/>
      <c r="U5" s="2" t="n"/>
      <c r="V5" s="2" t="n"/>
      <c r="W5" s="2" t="n"/>
      <c r="X5" s="2" t="n"/>
      <c r="Y5" s="2" t="n"/>
      <c r="Z5" s="2" t="n"/>
      <c r="AA5" s="2" t="n"/>
      <c r="AB5" s="2" t="n"/>
      <c r="AC5" s="2" t="n"/>
      <c r="AD5" s="2" t="n"/>
    </row>
    <row r="6" ht="18.75" customFormat="1" customHeight="1" s="16">
      <c r="A6" s="2" t="n"/>
      <c r="B6" s="2" t="n"/>
      <c r="C6" s="2" t="n"/>
      <c r="D6" s="2" t="n"/>
      <c r="E6" s="2" t="n"/>
      <c r="F6" s="2" t="n"/>
      <c r="G6" s="2" t="n"/>
      <c r="H6" s="2" t="n"/>
      <c r="I6" s="2" t="n"/>
      <c r="J6" s="2" t="n"/>
      <c r="K6" s="2" t="n"/>
      <c r="L6" s="2" t="n"/>
      <c r="M6" s="2" t="n"/>
      <c r="N6" s="2" t="n"/>
      <c r="O6" s="2" t="n"/>
      <c r="P6" s="2" t="n"/>
      <c r="Q6" s="2" t="n"/>
      <c r="R6" s="2" t="n"/>
      <c r="S6" s="2" t="n"/>
      <c r="T6" s="2" t="n"/>
      <c r="U6" s="2" t="n"/>
      <c r="V6" s="2" t="n"/>
      <c r="W6" s="2" t="n"/>
      <c r="X6" s="2" t="n"/>
      <c r="Y6" s="2" t="n"/>
      <c r="Z6" s="2" t="n"/>
      <c r="AA6" s="2" t="n"/>
      <c r="AB6" s="2" t="n"/>
      <c r="AC6" s="2" t="n"/>
      <c r="AD6" s="2" t="n"/>
    </row>
    <row r="7" ht="18" customFormat="1" customHeight="1" s="16">
      <c r="A7" s="2" t="n"/>
      <c r="B7" s="2" t="n"/>
      <c r="C7" s="2" t="n"/>
      <c r="D7" s="2" t="n"/>
      <c r="E7" s="2" t="n"/>
      <c r="F7" s="2" t="n"/>
      <c r="G7" s="2" t="n"/>
      <c r="H7" s="2" t="n"/>
      <c r="I7" s="2" t="n"/>
      <c r="J7" s="2" t="n"/>
      <c r="K7" s="2" t="n"/>
      <c r="L7" s="2" t="n"/>
      <c r="M7" s="2" t="n"/>
      <c r="N7" s="2" t="n"/>
      <c r="O7" s="2" t="n"/>
      <c r="P7" s="2" t="n"/>
      <c r="Q7" s="2" t="n"/>
      <c r="R7" s="2" t="n"/>
      <c r="S7" s="2" t="n"/>
      <c r="T7" s="2" t="n"/>
      <c r="U7" s="2" t="n"/>
      <c r="V7" s="2" t="n"/>
      <c r="W7" s="2" t="n"/>
      <c r="X7" s="2" t="n"/>
      <c r="Y7" s="2" t="n"/>
      <c r="Z7" s="2" t="n"/>
      <c r="AA7" s="2" t="n"/>
      <c r="AB7" s="2" t="n"/>
      <c r="AC7" s="2" t="n"/>
      <c r="AD7" s="2" t="n"/>
    </row>
    <row r="8" ht="17.1" customHeight="1" s="107" thickBot="1">
      <c r="E8" s="10" t="n"/>
    </row>
    <row r="9" ht="17.1" customFormat="1" customHeight="1" s="9" thickBot="1">
      <c r="A9" s="52" t="inlineStr">
        <is>
          <t>仕入番号</t>
        </is>
      </c>
      <c r="B9" s="5" t="inlineStr">
        <is>
          <t>仕入れ日/仕入れ先</t>
        </is>
      </c>
      <c r="C9" s="65" t="inlineStr">
        <is>
          <t>回次/出品番号</t>
        </is>
      </c>
      <c r="D9" s="5" t="inlineStr">
        <is>
          <t>年式/色</t>
        </is>
      </c>
      <c r="E9" s="52" t="n"/>
      <c r="F9" s="36" t="inlineStr">
        <is>
          <t>車体番号</t>
        </is>
      </c>
      <c r="G9" s="52" t="inlineStr">
        <is>
          <t>車検/距離</t>
        </is>
      </c>
      <c r="H9" s="5" t="inlineStr">
        <is>
          <t>評価点</t>
        </is>
      </c>
      <c r="I9" s="52" t="inlineStr">
        <is>
          <t>車輌代</t>
        </is>
      </c>
      <c r="J9" s="52" t="inlineStr">
        <is>
          <t>消費税</t>
        </is>
      </c>
      <c r="K9" s="52" t="inlineStr">
        <is>
          <t>自税</t>
        </is>
      </c>
      <c r="L9" s="52" t="inlineStr">
        <is>
          <t>リサイクル</t>
        </is>
      </c>
      <c r="M9" s="52" t="inlineStr">
        <is>
          <t>落札料</t>
        </is>
      </c>
      <c r="N9" s="52" t="inlineStr">
        <is>
          <t>合計</t>
        </is>
      </c>
      <c r="O9" s="109" t="inlineStr">
        <is>
          <t>評価損</t>
        </is>
      </c>
      <c r="P9" s="52" t="inlineStr">
        <is>
          <t>車輌番号/所有者</t>
        </is>
      </c>
      <c r="Q9" s="66" t="n"/>
      <c r="R9" s="67" t="n"/>
      <c r="S9" s="68" t="inlineStr">
        <is>
          <t>付属品</t>
        </is>
      </c>
      <c r="T9" s="36" t="inlineStr">
        <is>
          <t>キャンセル</t>
        </is>
      </c>
      <c r="U9" s="52" t="inlineStr">
        <is>
          <t>補足</t>
        </is>
      </c>
      <c r="V9" s="8" t="inlineStr">
        <is>
          <t>名義変更</t>
        </is>
      </c>
      <c r="W9" s="37" t="inlineStr">
        <is>
          <t>売上日/売上先</t>
        </is>
      </c>
      <c r="X9" s="52" t="inlineStr">
        <is>
          <t>回次/出品番号</t>
        </is>
      </c>
      <c r="Y9" s="52" t="inlineStr">
        <is>
          <t>車輌代</t>
        </is>
      </c>
      <c r="Z9" s="52" t="inlineStr">
        <is>
          <t>消費税</t>
        </is>
      </c>
      <c r="AA9" s="52" t="inlineStr">
        <is>
          <t>リサイクル</t>
        </is>
      </c>
      <c r="AB9" s="52" t="inlineStr">
        <is>
          <t>合計</t>
        </is>
      </c>
      <c r="AC9" s="5" t="inlineStr">
        <is>
          <t>入金日</t>
        </is>
      </c>
      <c r="AD9" s="5" t="inlineStr">
        <is>
          <t>前期のNo.</t>
        </is>
      </c>
    </row>
    <row r="10" ht="17.1" customHeight="1" s="107" thickTop="1"/>
  </sheetData>
  <pageMargins left="0.7" right="0.7" top="0.75" bottom="0.75" header="0.3" footer="0.3"/>
  <pageSetup orientation="portrait" paperSize="9" horizontalDpi="360" verticalDpi="360"/>
  <legacyDrawing xmlns:r="http://schemas.openxmlformats.org/officeDocument/2006/relationships" r:id="anysvml"/>
</worksheet>
</file>

<file path=xl/worksheets/sheet5.xml><?xml version="1.0" encoding="utf-8"?>
<worksheet xmlns="http://schemas.openxmlformats.org/spreadsheetml/2006/main">
  <sheetPr codeName="不明">
    <outlinePr summaryBelow="1" summaryRight="1"/>
    <pageSetUpPr/>
  </sheetPr>
  <dimension ref="A1:AD26"/>
  <sheetViews>
    <sheetView zoomScale="80" zoomScaleNormal="80" workbookViewId="0">
      <pane xSplit="7" ySplit="9" topLeftCell="S10" activePane="bottomRight" state="frozen"/>
      <selection pane="topRight" activeCell="J1" sqref="J1"/>
      <selection pane="bottomLeft" activeCell="A10" sqref="A10"/>
      <selection pane="bottomRight" activeCell="B10" sqref="A10:XFD13"/>
    </sheetView>
  </sheetViews>
  <sheetFormatPr baseColWidth="8" defaultRowHeight="18"/>
  <cols>
    <col width="10.77734375" customWidth="1" style="107" min="1" max="1"/>
    <col width="18.77734375" bestFit="1" customWidth="1" style="107" min="2" max="2"/>
    <col width="13.77734375" bestFit="1" customWidth="1" style="107" min="3" max="3"/>
    <col width="10.77734375" customWidth="1" style="107" min="4" max="4"/>
    <col width="4.21875" customWidth="1" style="107" min="5" max="5"/>
    <col width="38.77734375" customWidth="1" style="10" min="6" max="6"/>
    <col width="10.77734375" customWidth="1" style="107" min="7" max="7"/>
    <col width="6.77734375" bestFit="1" customWidth="1" style="107" min="8" max="10"/>
    <col width="16.77734375" customWidth="1" style="107" min="9" max="9"/>
    <col width="5" bestFit="1" customWidth="1" style="107" min="11" max="11"/>
    <col width="9.296875" bestFit="1" customWidth="1" style="107" min="12" max="12"/>
    <col width="6.796875" bestFit="1" customWidth="1" style="107" min="13" max="13"/>
    <col width="5" bestFit="1" customWidth="1" style="107" min="14" max="14"/>
    <col width="16.77734375" bestFit="1" customWidth="1" style="107" min="15" max="15"/>
    <col width="35.77734375" bestFit="1" customWidth="1" style="107" min="16" max="16"/>
    <col width="6.77734375" customWidth="1" style="107" min="17" max="17"/>
    <col width="6.77734375" customWidth="1" style="107" min="18" max="18"/>
    <col width="65.77734375" customWidth="1" style="107" min="19" max="19"/>
    <col width="10.44140625" bestFit="1" customWidth="1" style="107" min="20" max="20"/>
    <col width="25.77734375" customWidth="1" style="107" min="21" max="21"/>
    <col width="18.77734375" bestFit="1" customWidth="1" style="107" min="22" max="22"/>
    <col width="18.77734375" bestFit="1" customWidth="1" style="107" min="23" max="24"/>
    <col width="13.77734375" customWidth="1" style="107" min="24" max="24"/>
    <col width="16.77734375" bestFit="1" customWidth="1" style="107" min="25" max="26"/>
    <col width="9.296875" bestFit="1" customWidth="1" style="107" min="27" max="27"/>
    <col width="5" bestFit="1" customWidth="1" style="107" min="28" max="28"/>
    <col width="11.21875" bestFit="1" customWidth="1" style="107" min="29" max="29"/>
  </cols>
  <sheetData>
    <row r="1">
      <c r="A1" s="2" t="n"/>
      <c r="B1" s="2" t="n"/>
      <c r="C1" s="2" t="n"/>
      <c r="D1" s="2" t="n"/>
      <c r="E1" s="2" t="n"/>
      <c r="F1" s="2" t="n"/>
      <c r="G1" s="2" t="n"/>
      <c r="H1" s="2" t="n"/>
      <c r="I1" s="2" t="n"/>
      <c r="J1" s="2" t="n"/>
      <c r="K1" s="2" t="n"/>
      <c r="L1" s="2" t="n"/>
      <c r="M1" s="2" t="n"/>
      <c r="N1" s="2" t="n"/>
      <c r="O1" s="2" t="n"/>
      <c r="P1" s="2" t="n"/>
      <c r="Q1" s="2" t="n"/>
      <c r="R1" s="2" t="n"/>
      <c r="S1" s="2" t="n"/>
      <c r="T1" s="2" t="n"/>
      <c r="U1" s="2" t="n"/>
      <c r="V1" s="2" t="n"/>
      <c r="W1" s="2" t="n"/>
      <c r="X1" s="2" t="n"/>
      <c r="Y1" s="2" t="n"/>
      <c r="Z1" s="2" t="n"/>
      <c r="AA1" s="2" t="n"/>
      <c r="AB1" s="2" t="n"/>
      <c r="AC1" s="2" t="n"/>
      <c r="AD1" s="2" t="n"/>
    </row>
    <row r="2">
      <c r="A2" s="2" t="n"/>
      <c r="B2" s="13" t="n"/>
      <c r="C2" s="14" t="n"/>
      <c r="D2" s="15" t="n"/>
      <c r="E2" s="2" t="n"/>
      <c r="F2" s="53" t="n"/>
      <c r="G2" s="15" t="n"/>
      <c r="H2" s="2" t="n"/>
      <c r="I2" s="2" t="n"/>
      <c r="J2" s="2" t="n"/>
      <c r="K2" s="2" t="n"/>
      <c r="L2" s="2" t="n"/>
      <c r="M2" s="2" t="n"/>
      <c r="N2" s="2" t="n"/>
      <c r="O2" s="2" t="n"/>
      <c r="P2" s="2" t="n"/>
      <c r="Q2" s="2" t="n"/>
      <c r="R2" s="2" t="n"/>
      <c r="S2" s="2" t="n"/>
      <c r="T2" s="2" t="n"/>
      <c r="U2" s="2" t="n"/>
      <c r="V2" s="2" t="n"/>
      <c r="W2" s="2" t="n"/>
      <c r="X2" s="2" t="n"/>
      <c r="Y2" s="2" t="n"/>
      <c r="Z2" s="2" t="n"/>
      <c r="AA2" s="2" t="n"/>
      <c r="AB2" s="2" t="n"/>
      <c r="AC2" s="2" t="n"/>
      <c r="AD2" s="2" t="n"/>
    </row>
    <row r="3">
      <c r="A3" s="2" t="n"/>
      <c r="B3" s="2" t="n"/>
      <c r="C3" s="2" t="n"/>
      <c r="D3" s="2" t="n"/>
      <c r="E3" s="2" t="n"/>
      <c r="F3" s="2" t="n"/>
      <c r="G3" s="2" t="n"/>
      <c r="H3" s="2" t="n"/>
      <c r="I3" s="2" t="n"/>
      <c r="J3" s="2" t="n"/>
      <c r="K3" s="2" t="n"/>
      <c r="L3" s="2" t="n"/>
      <c r="M3" s="2" t="n"/>
      <c r="N3" s="2" t="n"/>
      <c r="O3" s="2" t="n"/>
      <c r="P3" s="2" t="n"/>
      <c r="Q3" s="2" t="n"/>
      <c r="R3" s="2" t="n"/>
      <c r="S3" s="2" t="n"/>
      <c r="T3" s="2" t="n"/>
      <c r="U3" s="2" t="n"/>
      <c r="V3" s="2" t="n"/>
      <c r="W3" s="2" t="n"/>
      <c r="X3" s="2" t="n"/>
      <c r="Y3" s="2" t="n"/>
      <c r="Z3" s="2" t="n"/>
      <c r="AA3" s="2" t="n"/>
      <c r="AB3" s="2" t="n"/>
      <c r="AC3" s="2" t="n"/>
      <c r="AD3" s="2" t="n"/>
    </row>
    <row r="4">
      <c r="A4" s="2" t="n"/>
      <c r="B4" s="2" t="n"/>
      <c r="C4" s="2" t="n"/>
      <c r="D4" s="2" t="n"/>
      <c r="E4" s="2" t="n"/>
      <c r="F4" s="2" t="n"/>
      <c r="G4" s="2" t="n"/>
      <c r="H4" s="2" t="n"/>
      <c r="I4" s="2" t="n"/>
      <c r="J4" s="2" t="n"/>
      <c r="K4" s="2" t="n"/>
      <c r="L4" s="2" t="n"/>
      <c r="M4" s="2" t="n"/>
      <c r="N4" s="2" t="n"/>
      <c r="O4" s="2" t="n"/>
      <c r="P4" s="2" t="n"/>
      <c r="Q4" s="2" t="n"/>
      <c r="R4" s="2" t="n"/>
      <c r="S4" s="2" t="n"/>
      <c r="T4" s="2" t="n"/>
      <c r="U4" s="2" t="n"/>
      <c r="V4" s="2" t="n"/>
      <c r="W4" s="2" t="n"/>
      <c r="X4" s="2" t="n"/>
      <c r="Y4" s="2" t="n"/>
      <c r="Z4" s="2" t="n"/>
      <c r="AA4" s="2" t="n"/>
      <c r="AB4" s="2" t="n"/>
      <c r="AC4" s="2" t="n"/>
      <c r="AD4" s="2" t="n"/>
    </row>
    <row r="5">
      <c r="A5" s="2" t="n"/>
      <c r="B5" s="3" t="n"/>
      <c r="C5" s="2" t="n"/>
      <c r="D5" s="2" t="n"/>
      <c r="E5" s="2" t="n"/>
      <c r="F5" s="2" t="n"/>
      <c r="G5" s="2" t="n"/>
      <c r="H5" s="2" t="n"/>
      <c r="I5" s="2" t="n"/>
      <c r="J5" s="2" t="n"/>
      <c r="K5" s="2" t="n"/>
      <c r="L5" s="2" t="n"/>
      <c r="M5" s="2" t="n"/>
      <c r="N5" s="2" t="n"/>
      <c r="O5" s="2" t="n"/>
      <c r="P5" s="2" t="n"/>
      <c r="Q5" s="2" t="n"/>
      <c r="R5" s="2" t="n"/>
      <c r="S5" s="2" t="n"/>
      <c r="T5" s="2" t="n"/>
      <c r="U5" s="2" t="n"/>
      <c r="V5" s="2" t="n"/>
      <c r="W5" s="2" t="n"/>
      <c r="X5" s="2" t="n"/>
      <c r="Y5" s="2" t="n"/>
      <c r="Z5" s="2" t="n"/>
      <c r="AA5" s="2" t="n"/>
      <c r="AB5" s="2" t="n"/>
      <c r="AC5" s="2" t="n"/>
      <c r="AD5" s="2" t="n"/>
    </row>
    <row r="6">
      <c r="A6" s="2" t="n"/>
      <c r="B6" s="2" t="n"/>
      <c r="C6" s="2" t="n"/>
      <c r="D6" s="2" t="n"/>
      <c r="E6" s="2" t="n"/>
      <c r="F6" s="2" t="n"/>
      <c r="G6" s="2" t="n"/>
      <c r="H6" s="2" t="n"/>
      <c r="I6" s="2" t="n"/>
      <c r="J6" s="2" t="n"/>
      <c r="K6" s="2" t="n"/>
      <c r="L6" s="2" t="n"/>
      <c r="M6" s="2" t="n"/>
      <c r="N6" s="2" t="n"/>
      <c r="O6" s="2" t="n"/>
      <c r="P6" s="2" t="n"/>
      <c r="Q6" s="2" t="n"/>
      <c r="R6" s="2" t="n"/>
      <c r="S6" s="2" t="n"/>
      <c r="T6" s="2" t="n"/>
      <c r="U6" s="2" t="n"/>
      <c r="V6" s="2" t="n"/>
      <c r="W6" s="2" t="n"/>
      <c r="X6" s="2" t="n"/>
      <c r="Y6" s="2" t="n"/>
      <c r="Z6" s="2" t="n"/>
      <c r="AA6" s="2" t="n"/>
      <c r="AB6" s="2" t="n"/>
      <c r="AC6" s="2" t="n"/>
      <c r="AD6" s="2" t="n"/>
    </row>
    <row r="7">
      <c r="A7" s="2" t="n"/>
      <c r="B7" s="2" t="n"/>
      <c r="C7" s="2" t="n"/>
      <c r="D7" s="2" t="n"/>
      <c r="E7" s="2" t="n"/>
      <c r="F7" s="2" t="n"/>
      <c r="G7" s="2" t="n"/>
      <c r="H7" s="2" t="n"/>
      <c r="I7" s="2" t="n"/>
      <c r="J7" s="2" t="n"/>
      <c r="K7" s="2" t="n"/>
      <c r="L7" s="2" t="n"/>
      <c r="M7" s="2" t="n"/>
      <c r="N7" s="2" t="n"/>
      <c r="O7" s="2" t="n"/>
      <c r="P7" s="2" t="n"/>
      <c r="Q7" s="2" t="n"/>
      <c r="R7" s="2" t="n"/>
      <c r="S7" s="2" t="n"/>
      <c r="T7" s="2" t="n"/>
      <c r="U7" s="2" t="n"/>
      <c r="V7" s="2" t="n"/>
      <c r="W7" s="2" t="n"/>
      <c r="X7" s="2" t="n"/>
      <c r="Y7" s="2" t="n"/>
      <c r="Z7" s="2" t="n"/>
      <c r="AA7" s="2" t="n"/>
      <c r="AB7" s="2" t="n"/>
      <c r="AC7" s="2" t="n"/>
      <c r="AD7" s="2" t="n"/>
    </row>
    <row r="8" ht="18.6" customHeight="1" s="107" thickBot="1">
      <c r="F8" s="0" t="n"/>
    </row>
    <row r="9" ht="18.6" customHeight="1" s="107" thickBot="1">
      <c r="A9" s="52" t="inlineStr">
        <is>
          <t>仕入番号</t>
        </is>
      </c>
      <c r="B9" s="5" t="inlineStr">
        <is>
          <t>仕入れ日/仕入れ先</t>
        </is>
      </c>
      <c r="C9" s="65" t="inlineStr">
        <is>
          <t>回次/出品番号</t>
        </is>
      </c>
      <c r="D9" s="5" t="inlineStr">
        <is>
          <t>年式/色</t>
        </is>
      </c>
      <c r="E9" s="52" t="n"/>
      <c r="F9" s="36" t="inlineStr">
        <is>
          <t>車名/車台番号</t>
        </is>
      </c>
      <c r="G9" s="52" t="inlineStr">
        <is>
          <t>車検/距離</t>
        </is>
      </c>
      <c r="H9" s="5" t="inlineStr">
        <is>
          <t>評価点</t>
        </is>
      </c>
      <c r="I9" s="52" t="inlineStr">
        <is>
          <t>車輌代</t>
        </is>
      </c>
      <c r="J9" s="52" t="inlineStr">
        <is>
          <t>消費税</t>
        </is>
      </c>
      <c r="K9" s="52" t="inlineStr">
        <is>
          <t>自税</t>
        </is>
      </c>
      <c r="L9" s="52" t="inlineStr">
        <is>
          <t>リサイクル</t>
        </is>
      </c>
      <c r="M9" s="52" t="inlineStr">
        <is>
          <t>落札料</t>
        </is>
      </c>
      <c r="N9" s="52" t="inlineStr">
        <is>
          <t>合計</t>
        </is>
      </c>
      <c r="O9" s="109" t="inlineStr">
        <is>
          <t>評価損</t>
        </is>
      </c>
      <c r="P9" s="52" t="inlineStr">
        <is>
          <t>車輌番号/所有者</t>
        </is>
      </c>
      <c r="Q9" s="66" t="n"/>
      <c r="R9" s="67" t="n"/>
      <c r="S9" s="68" t="inlineStr">
        <is>
          <t>付属品</t>
        </is>
      </c>
      <c r="T9" s="36" t="inlineStr">
        <is>
          <t>キャンセル</t>
        </is>
      </c>
      <c r="U9" s="52" t="inlineStr">
        <is>
          <t>補足</t>
        </is>
      </c>
      <c r="V9" s="8" t="inlineStr">
        <is>
          <t>名義変更</t>
        </is>
      </c>
      <c r="W9" s="37" t="inlineStr">
        <is>
          <t>売上日/売上先</t>
        </is>
      </c>
      <c r="X9" s="52" t="inlineStr">
        <is>
          <t>回次/出品番号</t>
        </is>
      </c>
      <c r="Y9" s="52" t="inlineStr">
        <is>
          <t>車輌代</t>
        </is>
      </c>
      <c r="Z9" s="52" t="inlineStr">
        <is>
          <t>消費税</t>
        </is>
      </c>
      <c r="AA9" s="52" t="inlineStr">
        <is>
          <t>リサイクル</t>
        </is>
      </c>
      <c r="AB9" s="52" t="inlineStr">
        <is>
          <t>合計</t>
        </is>
      </c>
      <c r="AC9" s="5" t="inlineStr">
        <is>
          <t>入金日</t>
        </is>
      </c>
      <c r="AD9" s="5" t="inlineStr">
        <is>
          <t>前期のNo.</t>
        </is>
      </c>
    </row>
    <row r="10" ht="18.6" customHeight="1" s="107" thickTop="1">
      <c r="F10" s="0" t="n"/>
    </row>
    <row r="11">
      <c r="F11" s="0" t="n"/>
    </row>
    <row r="12">
      <c r="F12" s="0" t="n"/>
    </row>
    <row r="13">
      <c r="F13" s="0" t="n"/>
    </row>
    <row r="14">
      <c r="F14" s="0" t="n"/>
    </row>
    <row r="15">
      <c r="F15" s="0" t="n"/>
    </row>
    <row r="16">
      <c r="F16" s="0" t="n"/>
    </row>
    <row r="17">
      <c r="F17" s="0" t="n"/>
    </row>
    <row r="18">
      <c r="F18" s="0" t="n"/>
    </row>
    <row r="19">
      <c r="F19" s="0" t="n"/>
    </row>
    <row r="20">
      <c r="F20" s="0" t="n"/>
    </row>
    <row r="21">
      <c r="F21" s="0" t="n"/>
    </row>
    <row r="22">
      <c r="F22" s="0" t="n"/>
    </row>
    <row r="23">
      <c r="F23" s="0" t="n"/>
    </row>
    <row r="24">
      <c r="F24" s="0" t="n"/>
    </row>
    <row r="25">
      <c r="F25" s="0" t="n"/>
    </row>
    <row r="26">
      <c r="F26" s="0" t="n"/>
    </row>
  </sheetData>
  <pageMargins left="0.7" right="0.7" top="0.75" bottom="0.75" header="0.3" footer="0.3"/>
  <legacyDrawing xmlns:r="http://schemas.openxmlformats.org/officeDocument/2006/relationships" r:id="anysvml"/>
</worksheet>
</file>

<file path=xl/worksheets/sheet6.xml><?xml version="1.0" encoding="utf-8"?>
<worksheet xmlns="http://schemas.openxmlformats.org/spreadsheetml/2006/main">
  <sheetPr codeName="在庫有">
    <outlinePr summaryBelow="1" summaryRight="1"/>
    <pageSetUpPr/>
  </sheetPr>
  <dimension ref="A1:AD9"/>
  <sheetViews>
    <sheetView zoomScale="80" zoomScaleNormal="80" workbookViewId="0">
      <pane xSplit="7" ySplit="9" topLeftCell="H10" activePane="bottomRight" state="frozen"/>
      <selection pane="topRight" activeCell="J1" sqref="J1"/>
      <selection pane="bottomLeft" activeCell="A10" sqref="A10"/>
      <selection pane="bottomRight" activeCell="B10" sqref="A10:XFD995"/>
    </sheetView>
  </sheetViews>
  <sheetFormatPr baseColWidth="8" defaultRowHeight="18"/>
  <cols>
    <col width="10.77734375" customWidth="1" style="107" min="1" max="1"/>
    <col width="18.77734375" bestFit="1" customWidth="1" style="107" min="2" max="2"/>
    <col width="13.77734375" bestFit="1" customWidth="1" style="107" min="3" max="3"/>
    <col width="10.77734375" bestFit="1" customWidth="1" style="107" min="4" max="4"/>
    <col width="4.21875" customWidth="1" style="107" min="5" max="5"/>
    <col width="38.77734375" customWidth="1" style="107" min="6" max="6"/>
    <col width="10.77734375" customWidth="1" style="107" min="7" max="7"/>
    <col width="6.77734375" customWidth="1" style="107" min="8" max="8"/>
    <col width="16.77734375" customWidth="1" style="107" min="9" max="9"/>
    <col width="16.77734375" customWidth="1" style="107" min="15" max="15"/>
    <col width="35.77734375" bestFit="1" customWidth="1" style="107" min="16" max="16"/>
    <col width="6.77734375" customWidth="1" style="107" min="17" max="17"/>
    <col width="6.77734375" customWidth="1" style="107" min="18" max="18"/>
    <col width="65.77734375" customWidth="1" style="107" min="19" max="19"/>
    <col width="10.44140625" customWidth="1" style="107" min="20" max="20"/>
    <col width="25.77734375" customWidth="1" style="107" min="21" max="21"/>
    <col width="18.77734375" bestFit="1" customWidth="1" style="107" min="22" max="22"/>
    <col width="18.77734375" bestFit="1" customWidth="1" style="107" min="23" max="24"/>
    <col width="13.77734375" customWidth="1" style="107" min="24" max="24"/>
    <col width="16.77734375" bestFit="1" customWidth="1" style="107" min="25" max="26"/>
    <col width="9.296875" bestFit="1" customWidth="1" style="107" min="27" max="27"/>
    <col width="5" bestFit="1" customWidth="1" style="107" min="28" max="28"/>
    <col width="11.21875" bestFit="1" customWidth="1" style="107" min="29" max="29"/>
    <col width="9.3984375" bestFit="1" customWidth="1" style="107" min="30" max="30"/>
  </cols>
  <sheetData>
    <row r="1">
      <c r="A1" s="2" t="n"/>
      <c r="B1" s="2" t="n"/>
      <c r="C1" s="2" t="n"/>
      <c r="D1" s="2" t="n"/>
      <c r="E1" s="2" t="n"/>
      <c r="F1" s="2" t="n"/>
      <c r="G1" s="2" t="n"/>
      <c r="H1" s="2" t="n"/>
      <c r="I1" s="2" t="n"/>
      <c r="J1" s="2" t="n"/>
      <c r="K1" s="2" t="n"/>
      <c r="L1" s="2" t="n"/>
      <c r="M1" s="2" t="n"/>
      <c r="N1" s="2" t="n"/>
      <c r="O1" s="2" t="n"/>
      <c r="P1" s="2" t="n"/>
      <c r="Q1" s="2" t="n"/>
      <c r="R1" s="2" t="n"/>
      <c r="S1" s="2" t="n"/>
      <c r="T1" s="2" t="n"/>
      <c r="U1" s="2" t="n"/>
      <c r="V1" s="2" t="n"/>
      <c r="W1" s="2" t="n"/>
      <c r="X1" s="2" t="n"/>
      <c r="Y1" s="2" t="n"/>
      <c r="Z1" s="2" t="n"/>
      <c r="AA1" s="2" t="n"/>
      <c r="AB1" s="2" t="n"/>
      <c r="AC1" s="2" t="n"/>
      <c r="AD1" s="2" t="n"/>
    </row>
    <row r="2">
      <c r="A2" s="2" t="n"/>
      <c r="B2" s="13" t="n"/>
      <c r="C2" s="14" t="n"/>
      <c r="D2" s="15" t="n"/>
      <c r="E2" s="2" t="n"/>
      <c r="F2" s="53" t="n"/>
      <c r="G2" s="15" t="n"/>
      <c r="H2" s="2" t="n"/>
      <c r="I2" s="2" t="n"/>
      <c r="J2" s="2" t="n"/>
      <c r="K2" s="2" t="n"/>
      <c r="L2" s="2" t="n"/>
      <c r="M2" s="2" t="n"/>
      <c r="N2" s="2" t="n"/>
      <c r="O2" s="2" t="n"/>
      <c r="P2" s="2" t="n"/>
      <c r="Q2" s="2" t="n"/>
      <c r="R2" s="2" t="n"/>
      <c r="S2" s="2" t="n"/>
      <c r="T2" s="2" t="n"/>
      <c r="U2" s="2" t="n"/>
      <c r="V2" s="2" t="n"/>
      <c r="W2" s="2" t="n"/>
      <c r="X2" s="2" t="n"/>
      <c r="Y2" s="2" t="n"/>
      <c r="Z2" s="2" t="n"/>
      <c r="AA2" s="2" t="n"/>
      <c r="AB2" s="2" t="n"/>
      <c r="AC2" s="2" t="n"/>
      <c r="AD2" s="2" t="n"/>
    </row>
    <row r="3">
      <c r="A3" s="2" t="n"/>
      <c r="B3" s="2" t="n"/>
      <c r="C3" s="2" t="n"/>
      <c r="D3" s="2" t="n"/>
      <c r="E3" s="2" t="n"/>
      <c r="F3" s="2" t="n"/>
      <c r="G3" s="2" t="n"/>
      <c r="H3" s="2" t="n"/>
      <c r="I3" s="2" t="n"/>
      <c r="J3" s="2" t="n"/>
      <c r="K3" s="2" t="n"/>
      <c r="L3" s="2" t="n"/>
      <c r="M3" s="2" t="n"/>
      <c r="N3" s="2" t="n"/>
      <c r="O3" s="2" t="n"/>
      <c r="P3" s="2" t="n"/>
      <c r="Q3" s="2" t="n"/>
      <c r="R3" s="2" t="n"/>
      <c r="S3" s="2" t="n"/>
      <c r="T3" s="2" t="n"/>
      <c r="U3" s="2" t="n"/>
      <c r="V3" s="2" t="n"/>
      <c r="W3" s="2" t="n"/>
      <c r="X3" s="2" t="n"/>
      <c r="Y3" s="2" t="n"/>
      <c r="Z3" s="2" t="n"/>
      <c r="AA3" s="2" t="n"/>
      <c r="AB3" s="2" t="n"/>
      <c r="AC3" s="2" t="n"/>
      <c r="AD3" s="2" t="n"/>
    </row>
    <row r="4">
      <c r="A4" s="2" t="n"/>
      <c r="B4" s="2" t="n"/>
      <c r="C4" s="2" t="n"/>
      <c r="D4" s="2" t="n"/>
      <c r="E4" s="2" t="n"/>
      <c r="F4" s="2" t="n"/>
      <c r="G4" s="2" t="n"/>
      <c r="H4" s="2" t="n"/>
      <c r="I4" s="2" t="n"/>
      <c r="J4" s="2" t="n"/>
      <c r="K4" s="2" t="n"/>
      <c r="L4" s="2" t="n"/>
      <c r="M4" s="2" t="n"/>
      <c r="N4" s="2" t="n"/>
      <c r="O4" s="2" t="n"/>
      <c r="P4" s="2" t="n"/>
      <c r="Q4" s="2" t="n"/>
      <c r="R4" s="2" t="n"/>
      <c r="S4" s="2" t="n"/>
      <c r="T4" s="2" t="n"/>
      <c r="U4" s="2" t="n"/>
      <c r="V4" s="2" t="n"/>
      <c r="W4" s="2" t="n"/>
      <c r="X4" s="2" t="n"/>
      <c r="Y4" s="2" t="n"/>
      <c r="Z4" s="2" t="n"/>
      <c r="AA4" s="2" t="n"/>
      <c r="AB4" s="2" t="n"/>
      <c r="AC4" s="2" t="n"/>
      <c r="AD4" s="2" t="n"/>
    </row>
    <row r="5">
      <c r="A5" s="2" t="n"/>
      <c r="B5" s="3" t="n"/>
      <c r="C5" s="2" t="n"/>
      <c r="D5" s="2" t="n"/>
      <c r="E5" s="2" t="n"/>
      <c r="F5" s="2" t="n"/>
      <c r="G5" s="2" t="n"/>
      <c r="H5" s="2" t="n"/>
      <c r="I5" s="2" t="n"/>
      <c r="J5" s="2" t="n"/>
      <c r="K5" s="2" t="n"/>
      <c r="L5" s="2" t="n"/>
      <c r="M5" s="2" t="n"/>
      <c r="N5" s="2" t="n"/>
      <c r="O5" s="2" t="n"/>
      <c r="P5" s="2" t="n"/>
      <c r="Q5" s="2" t="n"/>
      <c r="R5" s="2" t="n"/>
      <c r="S5" s="2" t="n"/>
      <c r="T5" s="2" t="n"/>
      <c r="U5" s="2" t="n"/>
      <c r="V5" s="2" t="n"/>
      <c r="W5" s="2" t="n"/>
      <c r="X5" s="2" t="n"/>
      <c r="Y5" s="2" t="n"/>
      <c r="Z5" s="2" t="n"/>
      <c r="AA5" s="2" t="n"/>
      <c r="AB5" s="2" t="n"/>
      <c r="AC5" s="2" t="n"/>
      <c r="AD5" s="2" t="n"/>
    </row>
    <row r="6">
      <c r="A6" s="2" t="n"/>
      <c r="B6" s="2" t="n"/>
      <c r="C6" s="2" t="n"/>
      <c r="D6" s="2" t="n"/>
      <c r="E6" s="2" t="n"/>
      <c r="F6" s="2" t="n"/>
      <c r="G6" s="2" t="n"/>
      <c r="H6" s="2" t="n"/>
      <c r="I6" s="2" t="n"/>
      <c r="J6" s="2" t="n"/>
      <c r="K6" s="2" t="n"/>
      <c r="L6" s="2" t="n"/>
      <c r="M6" s="2" t="n"/>
      <c r="N6" s="2" t="n"/>
      <c r="O6" s="2" t="n"/>
      <c r="P6" s="2" t="n"/>
      <c r="Q6" s="2" t="n"/>
      <c r="R6" s="2" t="n"/>
      <c r="S6" s="2" t="n"/>
      <c r="T6" s="2" t="n"/>
      <c r="U6" s="2" t="n"/>
      <c r="V6" s="2" t="n"/>
      <c r="W6" s="2" t="n"/>
      <c r="X6" s="2" t="n"/>
      <c r="Y6" s="2" t="n"/>
      <c r="Z6" s="2" t="n"/>
      <c r="AA6" s="2" t="n"/>
      <c r="AB6" s="2" t="n"/>
      <c r="AC6" s="2" t="n"/>
      <c r="AD6" s="2" t="n"/>
    </row>
    <row r="7">
      <c r="A7" s="2" t="n"/>
      <c r="B7" s="2" t="n"/>
      <c r="C7" s="2" t="n"/>
      <c r="D7" s="2" t="n"/>
      <c r="E7" s="2" t="n"/>
      <c r="F7" s="2" t="n"/>
      <c r="G7" s="2" t="n"/>
      <c r="H7" s="2" t="n"/>
      <c r="I7" s="2" t="n"/>
      <c r="J7" s="2" t="n"/>
      <c r="K7" s="2" t="n"/>
      <c r="L7" s="2" t="n"/>
      <c r="M7" s="2" t="n"/>
      <c r="N7" s="2" t="n"/>
      <c r="O7" s="2" t="n"/>
      <c r="P7" s="2" t="n"/>
      <c r="Q7" s="2" t="n"/>
      <c r="R7" s="2" t="n"/>
      <c r="S7" s="2" t="n"/>
      <c r="T7" s="2" t="n"/>
      <c r="U7" s="2" t="n"/>
      <c r="V7" s="2" t="n"/>
      <c r="W7" s="2" t="n"/>
      <c r="X7" s="2" t="n"/>
      <c r="Y7" s="2" t="n"/>
      <c r="Z7" s="2" t="n"/>
      <c r="AA7" s="2" t="n"/>
      <c r="AB7" s="2" t="n"/>
      <c r="AC7" s="2" t="n"/>
      <c r="AD7" s="2" t="n"/>
    </row>
    <row r="8" ht="17.1" customHeight="1" s="107" thickBot="1"/>
    <row r="9" ht="17.1" customFormat="1" customHeight="1" s="9" thickBot="1">
      <c r="A9" s="52" t="inlineStr">
        <is>
          <t>仕入番号</t>
        </is>
      </c>
      <c r="B9" s="5" t="inlineStr">
        <is>
          <t>仕入れ日/仕入れ先</t>
        </is>
      </c>
      <c r="C9" s="65" t="inlineStr">
        <is>
          <t>回次/出品番号</t>
        </is>
      </c>
      <c r="D9" s="5" t="inlineStr">
        <is>
          <t>年式/色</t>
        </is>
      </c>
      <c r="E9" s="52" t="n"/>
      <c r="F9" s="36" t="inlineStr">
        <is>
          <t>車名/車台番号</t>
        </is>
      </c>
      <c r="G9" s="52" t="inlineStr">
        <is>
          <t>車検/距離</t>
        </is>
      </c>
      <c r="H9" s="5" t="inlineStr">
        <is>
          <t>評価点</t>
        </is>
      </c>
      <c r="I9" s="52" t="inlineStr">
        <is>
          <t>車輌代</t>
        </is>
      </c>
      <c r="J9" s="52" t="inlineStr">
        <is>
          <t>消費税</t>
        </is>
      </c>
      <c r="K9" s="52" t="inlineStr">
        <is>
          <t>自税</t>
        </is>
      </c>
      <c r="L9" s="52" t="inlineStr">
        <is>
          <t>リサイクル</t>
        </is>
      </c>
      <c r="M9" s="52" t="inlineStr">
        <is>
          <t>落札料</t>
        </is>
      </c>
      <c r="N9" s="52" t="inlineStr">
        <is>
          <t>合計</t>
        </is>
      </c>
      <c r="O9" s="109" t="inlineStr">
        <is>
          <t>評価損</t>
        </is>
      </c>
      <c r="P9" s="52" t="inlineStr">
        <is>
          <t>車輌番号/所有者</t>
        </is>
      </c>
      <c r="Q9" s="66" t="n"/>
      <c r="R9" s="67" t="n"/>
      <c r="S9" s="68" t="inlineStr">
        <is>
          <t>付属品</t>
        </is>
      </c>
      <c r="T9" s="36" t="inlineStr">
        <is>
          <t>キャンセル</t>
        </is>
      </c>
      <c r="U9" s="52" t="inlineStr">
        <is>
          <t>補足</t>
        </is>
      </c>
      <c r="V9" s="8" t="inlineStr">
        <is>
          <t>名義変更</t>
        </is>
      </c>
      <c r="W9" s="37" t="inlineStr">
        <is>
          <t>売上日/売上先</t>
        </is>
      </c>
      <c r="X9" s="52" t="inlineStr">
        <is>
          <t>回次/出品番号</t>
        </is>
      </c>
      <c r="Y9" s="52" t="inlineStr">
        <is>
          <t>車輌代</t>
        </is>
      </c>
      <c r="Z9" s="52" t="inlineStr">
        <is>
          <t>消費税</t>
        </is>
      </c>
      <c r="AA9" s="52" t="inlineStr">
        <is>
          <t>リサイクル</t>
        </is>
      </c>
      <c r="AB9" s="52" t="inlineStr">
        <is>
          <t>合計</t>
        </is>
      </c>
      <c r="AC9" s="5" t="inlineStr">
        <is>
          <t>入金日</t>
        </is>
      </c>
      <c r="AD9" s="5" t="inlineStr">
        <is>
          <t>前期のNo.</t>
        </is>
      </c>
    </row>
    <row r="10" ht="18.6" customHeight="1" s="107" thickTop="1"/>
  </sheetData>
  <pageMargins left="0.7" right="0.7" top="0.75" bottom="0.75" header="0.3" footer="0.3"/>
  <legacyDrawing xmlns:r="http://schemas.openxmlformats.org/officeDocument/2006/relationships" r:id="anysvml"/>
</worksheet>
</file>

<file path=xl/worksheets/sheet7.xml><?xml version="1.0" encoding="utf-8"?>
<worksheet xmlns="http://schemas.openxmlformats.org/spreadsheetml/2006/main">
  <sheetPr codeName="在庫有確定">
    <outlinePr summaryBelow="1" summaryRight="1"/>
    <pageSetUpPr/>
  </sheetPr>
  <dimension ref="A1:AD9"/>
  <sheetViews>
    <sheetView zoomScale="80" zoomScaleNormal="80" workbookViewId="0">
      <selection activeCell="Q16" sqref="Q16"/>
    </sheetView>
  </sheetViews>
  <sheetFormatPr baseColWidth="8" defaultRowHeight="18"/>
  <cols>
    <col width="10.77734375" customWidth="1" style="107" min="1" max="1"/>
    <col width="18.77734375" bestFit="1" customWidth="1" style="107" min="2" max="2"/>
    <col width="13.77734375" bestFit="1" customWidth="1" style="107" min="3" max="3"/>
    <col width="10.77734375" customWidth="1" style="107" min="4" max="4"/>
    <col width="4.21875" customWidth="1" style="107" min="5" max="5"/>
    <col width="38.77734375" customWidth="1" style="107" min="6" max="6"/>
    <col width="10.77734375" bestFit="1" customWidth="1" style="107" min="7" max="7"/>
    <col width="6.77734375" bestFit="1" customWidth="1" style="107" min="8" max="10"/>
    <col width="16.77734375" customWidth="1" style="107" min="9" max="9"/>
    <col width="5" bestFit="1" customWidth="1" style="107" min="11" max="11"/>
    <col width="9.296875" bestFit="1" customWidth="1" style="107" min="12" max="12"/>
    <col width="6.796875" bestFit="1" customWidth="1" style="107" min="13" max="13"/>
    <col width="5" bestFit="1" customWidth="1" style="107" min="14" max="14"/>
    <col width="16.77734375" bestFit="1" customWidth="1" style="107" min="15" max="15"/>
    <col width="35.77734375" bestFit="1" customWidth="1" style="107" min="16" max="16"/>
    <col width="6.77734375" customWidth="1" style="107" min="17" max="17"/>
    <col width="6.77734375" customWidth="1" style="107" min="18" max="18"/>
    <col width="65.77734375" customWidth="1" style="107" min="19" max="19"/>
    <col width="10.44140625" customWidth="1" style="107" min="20" max="20"/>
    <col width="25.77734375" bestFit="1" customWidth="1" style="107" min="21" max="21"/>
    <col width="18.77734375" bestFit="1" customWidth="1" style="107" min="22" max="22"/>
    <col width="18.77734375" bestFit="1" customWidth="1" style="107" min="23" max="24"/>
    <col width="13.77734375" customWidth="1" style="107" min="24" max="24"/>
    <col width="16.77734375" bestFit="1" customWidth="1" style="107" min="25" max="26"/>
    <col width="9.296875" bestFit="1" customWidth="1" style="107" min="27" max="27"/>
    <col width="5" bestFit="1" customWidth="1" style="107" min="28" max="28"/>
    <col width="11.21875" bestFit="1" customWidth="1" style="107" min="29" max="29"/>
    <col width="9.3984375" bestFit="1" customWidth="1" style="107" min="30" max="30"/>
  </cols>
  <sheetData>
    <row r="1">
      <c r="A1" s="2" t="n"/>
      <c r="B1" s="2" t="n"/>
      <c r="C1" s="2" t="n"/>
      <c r="D1" s="2" t="n"/>
      <c r="E1" s="2" t="n"/>
      <c r="F1" s="2" t="n"/>
      <c r="G1" s="2" t="n"/>
      <c r="H1" s="2" t="n"/>
      <c r="I1" s="2" t="n"/>
      <c r="J1" s="2" t="n"/>
      <c r="K1" s="2" t="n"/>
      <c r="L1" s="2" t="n"/>
      <c r="M1" s="2" t="n"/>
      <c r="N1" s="2" t="n"/>
      <c r="O1" s="2" t="n"/>
      <c r="P1" s="2" t="n"/>
      <c r="Q1" s="2" t="n"/>
      <c r="R1" s="2" t="n"/>
      <c r="S1" s="2" t="n"/>
      <c r="T1" s="2" t="n"/>
      <c r="U1" s="2" t="n"/>
      <c r="V1" s="2" t="n"/>
      <c r="W1" s="2" t="n"/>
      <c r="X1" s="2" t="n"/>
      <c r="Y1" s="2" t="n"/>
      <c r="Z1" s="2" t="n"/>
      <c r="AA1" s="2" t="n"/>
      <c r="AB1" s="2" t="n"/>
      <c r="AC1" s="2" t="n"/>
      <c r="AD1" s="2" t="n"/>
    </row>
    <row r="2">
      <c r="A2" s="2" t="n"/>
      <c r="B2" s="13" t="n"/>
      <c r="C2" s="14" t="n"/>
      <c r="D2" s="15" t="n"/>
      <c r="E2" s="2" t="n"/>
      <c r="F2" s="53" t="n"/>
      <c r="G2" s="15" t="n"/>
      <c r="H2" s="2" t="n"/>
      <c r="I2" s="2" t="n"/>
      <c r="J2" s="2" t="n"/>
      <c r="K2" s="2" t="n"/>
      <c r="L2" s="2" t="n"/>
      <c r="M2" s="2" t="n"/>
      <c r="N2" s="2" t="n"/>
      <c r="O2" s="2" t="n"/>
      <c r="P2" s="2" t="n"/>
      <c r="Q2" s="2" t="n"/>
      <c r="R2" s="2" t="n"/>
      <c r="S2" s="2" t="n"/>
      <c r="T2" s="2" t="n"/>
      <c r="U2" s="2" t="n"/>
      <c r="V2" s="2" t="n"/>
      <c r="W2" s="2" t="n"/>
      <c r="X2" s="2" t="n"/>
      <c r="Y2" s="2" t="n"/>
      <c r="Z2" s="2" t="n"/>
      <c r="AA2" s="2" t="n"/>
      <c r="AB2" s="2" t="n"/>
      <c r="AC2" s="2" t="n"/>
      <c r="AD2" s="2" t="n"/>
    </row>
    <row r="3">
      <c r="A3" s="2" t="n"/>
      <c r="B3" s="2" t="n"/>
      <c r="C3" s="2" t="n"/>
      <c r="D3" s="2" t="n"/>
      <c r="E3" s="2" t="n"/>
      <c r="F3" s="2" t="n"/>
      <c r="G3" s="2" t="n"/>
      <c r="H3" s="2" t="n"/>
      <c r="I3" s="2" t="n"/>
      <c r="J3" s="2" t="n"/>
      <c r="K3" s="2" t="n"/>
      <c r="L3" s="2" t="n"/>
      <c r="M3" s="2" t="n"/>
      <c r="N3" s="2" t="n"/>
      <c r="O3" s="2" t="n"/>
      <c r="P3" s="2" t="n"/>
      <c r="Q3" s="2" t="n"/>
      <c r="R3" s="2" t="n"/>
      <c r="S3" s="2" t="n"/>
      <c r="T3" s="2" t="n"/>
      <c r="U3" s="2" t="n"/>
      <c r="V3" s="2" t="n"/>
      <c r="W3" s="2" t="n"/>
      <c r="X3" s="2" t="n"/>
      <c r="Y3" s="2" t="n"/>
      <c r="Z3" s="2" t="n"/>
      <c r="AA3" s="2" t="n"/>
      <c r="AB3" s="2" t="n"/>
      <c r="AC3" s="2" t="n"/>
      <c r="AD3" s="2" t="n"/>
    </row>
    <row r="4">
      <c r="A4" s="2" t="n"/>
      <c r="B4" s="2" t="n"/>
      <c r="C4" s="2" t="n"/>
      <c r="D4" s="2" t="n"/>
      <c r="E4" s="2" t="n"/>
      <c r="F4" s="2" t="n"/>
      <c r="G4" s="2" t="n"/>
      <c r="H4" s="2" t="n"/>
      <c r="I4" s="2" t="n"/>
      <c r="J4" s="2" t="n"/>
      <c r="K4" s="2" t="n"/>
      <c r="L4" s="2" t="n"/>
      <c r="M4" s="2" t="n"/>
      <c r="N4" s="2" t="n"/>
      <c r="O4" s="2" t="n"/>
      <c r="P4" s="2" t="n"/>
      <c r="Q4" s="2" t="n"/>
      <c r="R4" s="2" t="n"/>
      <c r="S4" s="2" t="n"/>
      <c r="T4" s="2" t="n"/>
      <c r="U4" s="2" t="n"/>
      <c r="V4" s="2" t="n"/>
      <c r="W4" s="2" t="n"/>
      <c r="X4" s="2" t="n"/>
      <c r="Y4" s="2" t="n"/>
      <c r="Z4" s="2" t="n"/>
      <c r="AA4" s="2" t="n"/>
      <c r="AB4" s="2" t="n"/>
      <c r="AC4" s="2" t="n"/>
      <c r="AD4" s="2" t="n"/>
    </row>
    <row r="5">
      <c r="A5" s="2" t="n"/>
      <c r="B5" s="3" t="n"/>
      <c r="C5" s="2" t="n"/>
      <c r="D5" s="2" t="n"/>
      <c r="E5" s="2" t="n"/>
      <c r="F5" s="2" t="n"/>
      <c r="G5" s="2" t="n"/>
      <c r="H5" s="2" t="n"/>
      <c r="I5" s="2" t="n"/>
      <c r="J5" s="2" t="n"/>
      <c r="K5" s="2" t="n"/>
      <c r="L5" s="2" t="n"/>
      <c r="M5" s="2" t="n"/>
      <c r="N5" s="2" t="n"/>
      <c r="O5" s="2" t="n"/>
      <c r="P5" s="2" t="n"/>
      <c r="Q5" s="2" t="n"/>
      <c r="R5" s="2" t="n"/>
      <c r="S5" s="2" t="n"/>
      <c r="T5" s="2" t="n"/>
      <c r="U5" s="2" t="n"/>
      <c r="V5" s="2" t="n"/>
      <c r="W5" s="2" t="n"/>
      <c r="X5" s="2" t="n"/>
      <c r="Y5" s="2" t="n"/>
      <c r="Z5" s="2" t="n"/>
      <c r="AA5" s="2" t="n"/>
      <c r="AB5" s="2" t="n"/>
      <c r="AC5" s="2" t="n"/>
      <c r="AD5" s="2" t="n"/>
    </row>
    <row r="6">
      <c r="A6" s="2" t="n"/>
      <c r="B6" s="2" t="n"/>
      <c r="C6" s="2" t="n"/>
      <c r="D6" s="2" t="n"/>
      <c r="E6" s="2" t="n"/>
      <c r="F6" s="2" t="n"/>
      <c r="G6" s="2" t="n"/>
      <c r="H6" s="2" t="n"/>
      <c r="I6" s="2" t="n"/>
      <c r="J6" s="2" t="n"/>
      <c r="K6" s="2" t="n"/>
      <c r="L6" s="2" t="n"/>
      <c r="M6" s="2" t="n"/>
      <c r="N6" s="2" t="n"/>
      <c r="O6" s="2" t="n"/>
      <c r="P6" s="2" t="n"/>
      <c r="Q6" s="2" t="n"/>
      <c r="R6" s="2" t="n"/>
      <c r="S6" s="2" t="n"/>
      <c r="T6" s="2" t="n"/>
      <c r="U6" s="2" t="n"/>
      <c r="V6" s="2" t="n"/>
      <c r="W6" s="2" t="n"/>
      <c r="X6" s="2" t="n"/>
      <c r="Y6" s="2" t="n"/>
      <c r="Z6" s="2" t="n"/>
      <c r="AA6" s="2" t="n"/>
      <c r="AB6" s="2" t="n"/>
      <c r="AC6" s="2" t="n"/>
      <c r="AD6" s="2" t="n"/>
    </row>
    <row r="7">
      <c r="A7" s="2" t="n"/>
      <c r="B7" s="2" t="n"/>
      <c r="C7" s="2" t="n"/>
      <c r="D7" s="2" t="n"/>
      <c r="E7" s="2" t="n"/>
      <c r="F7" s="2" t="n"/>
      <c r="G7" s="2" t="n"/>
      <c r="H7" s="2" t="n"/>
      <c r="I7" s="2" t="n"/>
      <c r="J7" s="2" t="n"/>
      <c r="K7" s="2" t="n"/>
      <c r="L7" s="2" t="n"/>
      <c r="M7" s="2" t="n"/>
      <c r="N7" s="2" t="n"/>
      <c r="O7" s="2" t="n"/>
      <c r="P7" s="2" t="n"/>
      <c r="Q7" s="2" t="n"/>
      <c r="R7" s="2" t="n"/>
      <c r="S7" s="2" t="n"/>
      <c r="T7" s="2" t="n"/>
      <c r="U7" s="2" t="n"/>
      <c r="V7" s="2" t="n"/>
      <c r="W7" s="2" t="n"/>
      <c r="X7" s="2" t="n"/>
      <c r="Y7" s="2" t="n"/>
      <c r="Z7" s="2" t="n"/>
      <c r="AA7" s="2" t="n"/>
      <c r="AB7" s="2" t="n"/>
      <c r="AC7" s="2" t="n"/>
      <c r="AD7" s="2" t="n"/>
    </row>
    <row r="8" ht="18.6" customHeight="1" s="107" thickBot="1"/>
    <row r="9" ht="18.6" customHeight="1" s="107" thickBot="1">
      <c r="A9" s="52" t="inlineStr">
        <is>
          <t>仕入番号</t>
        </is>
      </c>
      <c r="B9" s="5" t="inlineStr">
        <is>
          <t>仕入れ日/仕入れ先</t>
        </is>
      </c>
      <c r="C9" s="65" t="inlineStr">
        <is>
          <t>回次/出品番号</t>
        </is>
      </c>
      <c r="D9" s="5" t="inlineStr">
        <is>
          <t>年式/色</t>
        </is>
      </c>
      <c r="E9" s="52" t="n"/>
      <c r="F9" s="36" t="inlineStr">
        <is>
          <t>車名/車台番号</t>
        </is>
      </c>
      <c r="G9" s="52" t="inlineStr">
        <is>
          <t>車検/距離</t>
        </is>
      </c>
      <c r="H9" s="5" t="inlineStr">
        <is>
          <t>評価点</t>
        </is>
      </c>
      <c r="I9" s="52" t="inlineStr">
        <is>
          <t>車輌代</t>
        </is>
      </c>
      <c r="J9" s="52" t="inlineStr">
        <is>
          <t>消費税</t>
        </is>
      </c>
      <c r="K9" s="52" t="inlineStr">
        <is>
          <t>自税</t>
        </is>
      </c>
      <c r="L9" s="52" t="inlineStr">
        <is>
          <t>リサイクル</t>
        </is>
      </c>
      <c r="M9" s="52" t="inlineStr">
        <is>
          <t>落札料</t>
        </is>
      </c>
      <c r="N9" s="52" t="inlineStr">
        <is>
          <t>合計</t>
        </is>
      </c>
      <c r="O9" s="109" t="inlineStr">
        <is>
          <t>評価損</t>
        </is>
      </c>
      <c r="P9" s="52" t="inlineStr">
        <is>
          <t>車輌番号/所有者</t>
        </is>
      </c>
      <c r="Q9" s="66" t="n"/>
      <c r="R9" s="67" t="n"/>
      <c r="S9" s="68" t="inlineStr">
        <is>
          <t>付属品</t>
        </is>
      </c>
      <c r="T9" s="36" t="inlineStr">
        <is>
          <t>キャンセル</t>
        </is>
      </c>
      <c r="U9" s="52" t="inlineStr">
        <is>
          <t>補足</t>
        </is>
      </c>
      <c r="V9" s="8" t="inlineStr">
        <is>
          <t>名義変更</t>
        </is>
      </c>
      <c r="W9" s="37" t="inlineStr">
        <is>
          <t>売上日/売上先</t>
        </is>
      </c>
      <c r="X9" s="52" t="inlineStr">
        <is>
          <t>回次/出品番号</t>
        </is>
      </c>
      <c r="Y9" s="52" t="inlineStr">
        <is>
          <t>車輌代</t>
        </is>
      </c>
      <c r="Z9" s="52" t="inlineStr">
        <is>
          <t>消費税</t>
        </is>
      </c>
      <c r="AA9" s="52" t="inlineStr">
        <is>
          <t>リサイクル</t>
        </is>
      </c>
      <c r="AB9" s="52" t="inlineStr">
        <is>
          <t>合計</t>
        </is>
      </c>
      <c r="AC9" s="5" t="inlineStr">
        <is>
          <t>入金日</t>
        </is>
      </c>
      <c r="AD9" s="5" t="inlineStr">
        <is>
          <t>前期のNo.</t>
        </is>
      </c>
    </row>
    <row r="10" ht="18.6" customHeight="1" s="107" thickTop="1"/>
  </sheetData>
  <pageMargins left="0.7" right="0.7" top="0.75" bottom="0.75" header="0.3" footer="0.3"/>
  <legacyDrawing xmlns:r="http://schemas.openxmlformats.org/officeDocument/2006/relationships" r:id="anysvml"/>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YukiSo</dc:creator>
  <dcterms:created xsi:type="dcterms:W3CDTF">2021-07-04T11:08:17Z</dcterms:created>
  <dcterms:modified xsi:type="dcterms:W3CDTF">2026-08-22T14:36:26Z</dcterms:modified>
  <cp:lastModifiedBy>宋　勇希</cp:lastModifiedBy>
</cp:coreProperties>
</file>

<file path=docProps/custom.xml><?xml version="1.0" encoding="utf-8"?>
<Properties xmlns:vt="http://schemas.openxmlformats.org/officeDocument/2006/docPropsVTypes" xmlns="http://schemas.openxmlformats.org/officeDocument/2006/custom-properties">
  <property name="MSIP_Label_defa4170-0d19-0005-0004-bc88714345d2_Enabled" fmtid="{D5CDD505-2E9C-101B-9397-08002B2CF9AE}" pid="2">
    <vt:lpwstr>true</vt:lpwstr>
  </property>
  <property name="MSIP_Label_defa4170-0d19-0005-0004-bc88714345d2_SetDate" fmtid="{D5CDD505-2E9C-101B-9397-08002B2CF9AE}" pid="3">
    <vt:lpwstr>2026-05-22T02:06:18Z</vt:lpwstr>
  </property>
  <property name="MSIP_Label_defa4170-0d19-0005-0004-bc88714345d2_Method" fmtid="{D5CDD505-2E9C-101B-9397-08002B2CF9AE}" pid="4">
    <vt:lpwstr>Standard</vt:lpwstr>
  </property>
  <property name="MSIP_Label_defa4170-0d19-0005-0004-bc88714345d2_Name" fmtid="{D5CDD505-2E9C-101B-9397-08002B2CF9AE}" pid="5">
    <vt:lpwstr>defa4170-0d19-0005-0004-bc88714345d2</vt:lpwstr>
  </property>
  <property name="MSIP_Label_defa4170-0d19-0005-0004-bc88714345d2_SiteId" fmtid="{D5CDD505-2E9C-101B-9397-08002B2CF9AE}" pid="6">
    <vt:lpwstr>9d974004-9a00-42fc-9589-3ba1aae291b6</vt:lpwstr>
  </property>
  <property name="MSIP_Label_defa4170-0d19-0005-0004-bc88714345d2_ActionId" fmtid="{D5CDD505-2E9C-101B-9397-08002B2CF9AE}" pid="7">
    <vt:lpwstr>ffc16e48-2ab3-4193-9fc9-c9a9f2b429dd</vt:lpwstr>
  </property>
  <property name="MSIP_Label_defa4170-0d19-0005-0004-bc88714345d2_ContentBits" fmtid="{D5CDD505-2E9C-101B-9397-08002B2CF9AE}" pid="8">
    <vt:lpwstr>0</vt:lpwstr>
  </property>
  <property name="MSIP_Label_defa4170-0d19-0005-0004-bc88714345d2_Tag" fmtid="{D5CDD505-2E9C-101B-9397-08002B2CF9AE}" pid="9">
    <vt:lpwstr>10, 3, 0, 1</vt:lpwstr>
  </property>
</Properties>
</file>