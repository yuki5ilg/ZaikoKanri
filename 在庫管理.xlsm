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yso13036\Downloads\在庫管理\"/>
    </mc:Choice>
  </mc:AlternateContent>
  <xr:revisionPtr revIDLastSave="0" documentId="13_ncr:1_{53DA5A7B-E55C-4D34-870C-8CF590E5CE67}" xr6:coauthVersionLast="47" xr6:coauthVersionMax="47" xr10:uidLastSave="{00000000-0000-0000-0000-000000000000}"/>
  <bookViews>
    <workbookView xWindow="-108" yWindow="-108" windowWidth="23256" windowHeight="13896" activeTab="2" xr2:uid="{CEF6D27E-DD51-4F26-A7DA-F055B0A39FA4}"/>
  </bookViews>
  <sheets>
    <sheet name="操作手順" sheetId="8" r:id="rId1"/>
    <sheet name="残った仕入番号" sheetId="3" r:id="rId2"/>
    <sheet name="在庫管理表の本体" sheetId="13" r:id="rId3"/>
    <sheet name="売約済" sheetId="4" r:id="rId4"/>
    <sheet name="不明" sheetId="10" r:id="rId5"/>
    <sheet name="在庫有" sheetId="11" r:id="rId6"/>
    <sheet name="在庫有確定" sheetId="12"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480" i="4" l="1"/>
  <c r="AA480" i="4" s="1"/>
  <c r="N480" i="4"/>
  <c r="J480" i="4"/>
  <c r="AA478" i="4"/>
  <c r="Y478" i="4"/>
  <c r="N478" i="4"/>
  <c r="K478" i="4"/>
  <c r="J478" i="4"/>
  <c r="AA476" i="4"/>
  <c r="Y476" i="4"/>
  <c r="N476" i="4"/>
  <c r="J476" i="4"/>
  <c r="Y474" i="4"/>
  <c r="AA474" i="4" s="1"/>
  <c r="N474" i="4"/>
  <c r="J474" i="4"/>
  <c r="Y472" i="4"/>
  <c r="AA472" i="4" s="1"/>
  <c r="K472" i="4"/>
  <c r="J472" i="4"/>
  <c r="N472" i="4" s="1"/>
  <c r="Y470" i="4"/>
  <c r="AA470" i="4" s="1"/>
  <c r="J470" i="4"/>
  <c r="N470" i="4" s="1"/>
  <c r="AA468" i="4"/>
  <c r="Y468" i="4"/>
  <c r="J468" i="4"/>
  <c r="N468" i="4" s="1"/>
  <c r="Y466" i="4"/>
  <c r="AA466" i="4" s="1"/>
  <c r="J466" i="4"/>
  <c r="N466" i="4" s="1"/>
  <c r="AA464" i="4"/>
  <c r="Y464" i="4"/>
  <c r="J464" i="4"/>
  <c r="N464" i="4" s="1"/>
  <c r="I464" i="4"/>
  <c r="AA462" i="4"/>
  <c r="N462" i="4"/>
  <c r="J462" i="4"/>
  <c r="AA460" i="4"/>
  <c r="Y460" i="4"/>
  <c r="J460" i="4"/>
  <c r="N460" i="4" s="1"/>
  <c r="Y458" i="4"/>
  <c r="AA458" i="4" s="1"/>
  <c r="K458" i="4"/>
  <c r="J458" i="4"/>
  <c r="N458" i="4" s="1"/>
  <c r="AA456" i="4"/>
  <c r="N456" i="4"/>
  <c r="Y454" i="4"/>
  <c r="AA454" i="4" s="1"/>
  <c r="N454" i="4"/>
  <c r="M454" i="4"/>
  <c r="K454" i="4"/>
  <c r="J454" i="4"/>
  <c r="Y452" i="4"/>
  <c r="AA452" i="4" s="1"/>
  <c r="J452" i="4"/>
  <c r="N452" i="4" s="1"/>
  <c r="Y450" i="4"/>
  <c r="AA450" i="4" s="1"/>
  <c r="J450" i="4"/>
  <c r="N450" i="4" s="1"/>
  <c r="Y448" i="4"/>
  <c r="AA448" i="4" s="1"/>
  <c r="J448" i="4"/>
  <c r="N448" i="4" s="1"/>
  <c r="AA446" i="4"/>
  <c r="Y446" i="4"/>
  <c r="J446" i="4"/>
  <c r="N446" i="4" s="1"/>
  <c r="AA444" i="4"/>
  <c r="Y444" i="4"/>
  <c r="J444" i="4"/>
  <c r="N444" i="4" s="1"/>
  <c r="Y442" i="4"/>
  <c r="AA442" i="4" s="1"/>
  <c r="N442" i="4"/>
  <c r="J442" i="4"/>
  <c r="AA440" i="4"/>
  <c r="Y440" i="4"/>
  <c r="I440" i="4"/>
  <c r="Y438" i="4"/>
  <c r="AA438" i="4" s="1"/>
  <c r="I438" i="4"/>
  <c r="J438" i="4" s="1"/>
  <c r="N438" i="4" s="1"/>
  <c r="AA436" i="4"/>
  <c r="Y436" i="4"/>
  <c r="J436" i="4"/>
  <c r="N436" i="4" s="1"/>
  <c r="I436" i="4"/>
  <c r="Y434" i="4"/>
  <c r="AA434" i="4" s="1"/>
  <c r="N434" i="4"/>
  <c r="K434" i="4"/>
  <c r="AA432" i="4"/>
  <c r="Y432" i="4"/>
  <c r="N432" i="4"/>
  <c r="J432" i="4"/>
  <c r="Y430" i="4"/>
  <c r="AA430" i="4" s="1"/>
  <c r="N430" i="4"/>
  <c r="J430" i="4"/>
  <c r="Y428" i="4"/>
  <c r="AA428" i="4" s="1"/>
  <c r="N428" i="4"/>
  <c r="J428" i="4"/>
  <c r="Y994" i="11"/>
  <c r="AA994" i="11" s="1"/>
  <c r="J994" i="11"/>
  <c r="N994" i="11" s="1"/>
  <c r="Y426" i="4"/>
  <c r="AA426" i="4" s="1"/>
  <c r="N426" i="4"/>
  <c r="J426" i="4"/>
  <c r="Y424" i="4"/>
  <c r="AA424" i="4" s="1"/>
  <c r="N424" i="4"/>
  <c r="J424" i="4"/>
  <c r="AA422" i="4"/>
  <c r="Y422" i="4"/>
  <c r="J422" i="4"/>
  <c r="N422" i="4" s="1"/>
  <c r="Y420" i="4"/>
  <c r="AA420" i="4" s="1"/>
  <c r="J420" i="4"/>
  <c r="N420" i="4" s="1"/>
  <c r="Y418" i="4"/>
  <c r="AA418" i="4" s="1"/>
  <c r="N418" i="4"/>
  <c r="J418" i="4"/>
  <c r="Y416" i="4"/>
  <c r="AA416" i="4" s="1"/>
  <c r="N416" i="4"/>
  <c r="J416" i="4"/>
  <c r="Y414" i="4"/>
  <c r="AA414" i="4" s="1"/>
  <c r="J414" i="4"/>
  <c r="N414" i="4" s="1"/>
  <c r="AA412" i="4"/>
  <c r="Y412" i="4"/>
  <c r="N412" i="4"/>
  <c r="J412" i="4"/>
  <c r="Y410" i="4"/>
  <c r="AA410" i="4" s="1"/>
  <c r="J410" i="4"/>
  <c r="N410" i="4" s="1"/>
  <c r="AA408" i="4"/>
  <c r="Y408" i="4"/>
  <c r="J408" i="4"/>
  <c r="N408" i="4" s="1"/>
  <c r="AA406" i="4"/>
  <c r="Y406" i="4"/>
  <c r="J406" i="4"/>
  <c r="N406" i="4" s="1"/>
  <c r="Y992" i="11"/>
  <c r="AA992" i="11" s="1"/>
  <c r="K992" i="11"/>
  <c r="J992" i="11"/>
  <c r="N992" i="11" s="1"/>
  <c r="Y404" i="4"/>
  <c r="AA404" i="4" s="1"/>
  <c r="N404" i="4"/>
  <c r="J404" i="4"/>
  <c r="Y402" i="4"/>
  <c r="AA402" i="4" s="1"/>
  <c r="N402" i="4"/>
  <c r="J402" i="4"/>
  <c r="AA400" i="4"/>
  <c r="Y400" i="4"/>
  <c r="N400" i="4"/>
  <c r="J400" i="4"/>
  <c r="AA398" i="4"/>
  <c r="Y398" i="4"/>
  <c r="N398" i="4"/>
  <c r="J398" i="4"/>
  <c r="AA396" i="4"/>
  <c r="Y396" i="4"/>
  <c r="N396" i="4"/>
  <c r="J396" i="4"/>
  <c r="Y394" i="4"/>
  <c r="AA394" i="4" s="1"/>
  <c r="J394" i="4"/>
  <c r="N394" i="4" s="1"/>
  <c r="Y392" i="4"/>
  <c r="AA392" i="4" s="1"/>
  <c r="N392" i="4"/>
  <c r="J392" i="4"/>
  <c r="AA390" i="4"/>
  <c r="Y390" i="4"/>
  <c r="N390" i="4"/>
  <c r="J390" i="4"/>
  <c r="AA388" i="4"/>
  <c r="Y388" i="4"/>
  <c r="N388" i="4"/>
  <c r="J388" i="4"/>
  <c r="Y12" i="10"/>
  <c r="AA12" i="10" s="1"/>
  <c r="I12" i="10"/>
  <c r="Y386" i="4"/>
  <c r="AA386" i="4" s="1"/>
  <c r="N386" i="4"/>
  <c r="J386" i="4"/>
  <c r="I386" i="4"/>
  <c r="Y384" i="4"/>
  <c r="AA384" i="4" s="1"/>
  <c r="I384" i="4"/>
  <c r="Y382" i="4"/>
  <c r="AA382" i="4" s="1"/>
  <c r="I382" i="4"/>
  <c r="Y380" i="4"/>
  <c r="AA380" i="4" s="1"/>
  <c r="J380" i="4"/>
  <c r="N380" i="4" s="1"/>
  <c r="AA378" i="4"/>
  <c r="Y378" i="4"/>
  <c r="J378" i="4"/>
  <c r="N378" i="4" s="1"/>
  <c r="Y990" i="11"/>
  <c r="AA990" i="11" s="1"/>
  <c r="N990" i="11"/>
  <c r="Y376" i="4"/>
  <c r="AA376" i="4" s="1"/>
  <c r="N376" i="4"/>
  <c r="Y374" i="4"/>
  <c r="AA374" i="4" s="1"/>
  <c r="N374" i="4"/>
  <c r="J374" i="4"/>
  <c r="Y372" i="4"/>
  <c r="AA372" i="4" s="1"/>
  <c r="K372" i="4"/>
  <c r="J372" i="4"/>
  <c r="N372" i="4" s="1"/>
  <c r="Y370" i="4"/>
  <c r="AA370" i="4" s="1"/>
  <c r="J370" i="4"/>
  <c r="N370" i="4" s="1"/>
  <c r="Y368" i="4"/>
  <c r="AA368" i="4" s="1"/>
  <c r="J368" i="4"/>
  <c r="N368" i="4" s="1"/>
  <c r="Y366" i="4"/>
  <c r="AA366" i="4" s="1"/>
  <c r="I366" i="4"/>
  <c r="AA364" i="4"/>
  <c r="Y364" i="4"/>
  <c r="J364" i="4"/>
  <c r="N364" i="4" s="1"/>
  <c r="Y362" i="4"/>
  <c r="AA362" i="4" s="1"/>
  <c r="J362" i="4"/>
  <c r="N362" i="4" s="1"/>
  <c r="AA988" i="11"/>
  <c r="Y988" i="11"/>
  <c r="K988" i="11"/>
  <c r="J988" i="11"/>
  <c r="N988" i="11" s="1"/>
  <c r="AA986" i="11"/>
  <c r="Y986" i="11"/>
  <c r="N986" i="11"/>
  <c r="K986" i="11"/>
  <c r="J986" i="11"/>
  <c r="Y360" i="4"/>
  <c r="AA360" i="4" s="1"/>
  <c r="N360" i="4"/>
  <c r="J360" i="4"/>
  <c r="Y358" i="4"/>
  <c r="AA358" i="4" s="1"/>
  <c r="N358" i="4"/>
  <c r="K358" i="4"/>
  <c r="J358" i="4"/>
  <c r="Y356" i="4"/>
  <c r="AA356" i="4" s="1"/>
  <c r="N356" i="4"/>
  <c r="J356" i="4"/>
  <c r="Y354" i="4"/>
  <c r="AA354" i="4" s="1"/>
  <c r="N354" i="4"/>
  <c r="J354" i="4"/>
  <c r="AA352" i="4"/>
  <c r="Y352" i="4"/>
  <c r="J352" i="4"/>
  <c r="N352" i="4" s="1"/>
  <c r="Y350" i="4"/>
  <c r="AA350" i="4" s="1"/>
  <c r="J350" i="4"/>
  <c r="N350" i="4" s="1"/>
  <c r="Y348" i="4"/>
  <c r="AA348" i="4" s="1"/>
  <c r="K348" i="4"/>
  <c r="J348" i="4"/>
  <c r="N348" i="4" s="1"/>
  <c r="Y346" i="4"/>
  <c r="AA346" i="4" s="1"/>
  <c r="J346" i="4"/>
  <c r="N346" i="4" s="1"/>
  <c r="Y344" i="4"/>
  <c r="AA344" i="4" s="1"/>
  <c r="N344" i="4"/>
  <c r="J344" i="4"/>
  <c r="Y342" i="4"/>
  <c r="AA342" i="4" s="1"/>
  <c r="J342" i="4"/>
  <c r="N342" i="4" s="1"/>
  <c r="Y340" i="4"/>
  <c r="AA340" i="4" s="1"/>
  <c r="N340" i="4"/>
  <c r="J340" i="4"/>
  <c r="Y338" i="4"/>
  <c r="AA338" i="4" s="1"/>
  <c r="J338" i="4"/>
  <c r="N338" i="4" s="1"/>
  <c r="AA336" i="4"/>
  <c r="Y336" i="4"/>
  <c r="N336" i="4"/>
  <c r="J336" i="4"/>
  <c r="Y334" i="4"/>
  <c r="AA334" i="4" s="1"/>
  <c r="J334" i="4"/>
  <c r="N334" i="4" s="1"/>
  <c r="I334" i="4"/>
  <c r="AA984" i="11"/>
  <c r="Y984" i="11"/>
  <c r="N984" i="11"/>
  <c r="J984" i="11"/>
  <c r="AA332" i="4"/>
  <c r="Y332" i="4"/>
  <c r="J332" i="4"/>
  <c r="N332" i="4" s="1"/>
  <c r="Y330" i="4"/>
  <c r="AA330" i="4" s="1"/>
  <c r="K330" i="4"/>
  <c r="J330" i="4"/>
  <c r="N330" i="4" s="1"/>
  <c r="Y328" i="4"/>
  <c r="AA328" i="4" s="1"/>
  <c r="N328" i="4"/>
  <c r="J328" i="4"/>
  <c r="Y326" i="4"/>
  <c r="AA326" i="4" s="1"/>
  <c r="J326" i="4"/>
  <c r="N326" i="4" s="1"/>
  <c r="AA324" i="4"/>
  <c r="Y324" i="4"/>
  <c r="N324" i="4"/>
  <c r="J324" i="4"/>
  <c r="AA322" i="4"/>
  <c r="Y322" i="4"/>
  <c r="N322" i="4"/>
  <c r="J322" i="4"/>
  <c r="I322" i="4"/>
  <c r="AA320" i="4"/>
  <c r="Y320" i="4"/>
  <c r="N320" i="4"/>
  <c r="J320" i="4"/>
  <c r="AA318" i="4"/>
  <c r="Y318" i="4"/>
  <c r="J318" i="4"/>
  <c r="N318" i="4" s="1"/>
  <c r="Y316" i="4"/>
  <c r="AA316" i="4" s="1"/>
  <c r="N316" i="4"/>
  <c r="J316" i="4"/>
  <c r="Y982" i="11"/>
  <c r="AA982" i="11" s="1"/>
  <c r="J982" i="11"/>
  <c r="N982" i="11" s="1"/>
  <c r="Y314" i="4"/>
  <c r="AA314" i="4" s="1"/>
  <c r="N314" i="4"/>
  <c r="J314" i="4"/>
  <c r="Y312" i="4"/>
  <c r="AA312" i="4" s="1"/>
  <c r="J312" i="4"/>
  <c r="N312" i="4" s="1"/>
  <c r="Y310" i="4"/>
  <c r="AA310" i="4" s="1"/>
  <c r="J310" i="4"/>
  <c r="N310" i="4" s="1"/>
  <c r="AA308" i="4"/>
  <c r="Y308" i="4"/>
  <c r="N308" i="4"/>
  <c r="J308" i="4"/>
  <c r="AA306" i="4"/>
  <c r="Y306" i="4"/>
  <c r="J306" i="4"/>
  <c r="N306" i="4" s="1"/>
  <c r="AA304" i="4"/>
  <c r="Y304" i="4"/>
  <c r="N304" i="4"/>
  <c r="J304" i="4"/>
  <c r="AA302" i="4"/>
  <c r="Y302" i="4"/>
  <c r="J302" i="4"/>
  <c r="N302" i="4" s="1"/>
  <c r="Y300" i="4"/>
  <c r="AA300" i="4" s="1"/>
  <c r="J300" i="4"/>
  <c r="N300" i="4" s="1"/>
  <c r="AA298" i="4"/>
  <c r="Y298" i="4"/>
  <c r="N298" i="4"/>
  <c r="J298" i="4"/>
  <c r="AA296" i="4"/>
  <c r="Y296" i="4"/>
  <c r="J296" i="4"/>
  <c r="I296" i="4"/>
  <c r="N296" i="4" s="1"/>
  <c r="Y294" i="4"/>
  <c r="AA294" i="4" s="1"/>
  <c r="J294" i="4"/>
  <c r="N294" i="4" s="1"/>
  <c r="AA292" i="4"/>
  <c r="J292" i="4"/>
  <c r="N292" i="4" s="1"/>
  <c r="AA290" i="4"/>
  <c r="N290" i="4"/>
  <c r="Y288" i="4"/>
  <c r="AA288" i="4" s="1"/>
  <c r="N288" i="4"/>
  <c r="J288" i="4"/>
  <c r="AA286" i="4"/>
  <c r="Y286" i="4"/>
  <c r="I286" i="4"/>
  <c r="AA284" i="4"/>
  <c r="Y284" i="4"/>
  <c r="N284" i="4"/>
  <c r="J284" i="4"/>
  <c r="I284" i="4"/>
  <c r="AA282" i="4"/>
  <c r="Y282" i="4"/>
  <c r="N282" i="4"/>
  <c r="AA280" i="4"/>
  <c r="K280" i="4"/>
  <c r="J280" i="4"/>
  <c r="N280" i="4" s="1"/>
  <c r="Y278" i="4"/>
  <c r="AA278" i="4" s="1"/>
  <c r="J278" i="4"/>
  <c r="N278" i="4" s="1"/>
  <c r="Y276" i="4"/>
  <c r="AA276" i="4" s="1"/>
  <c r="N276" i="4"/>
  <c r="J276" i="4"/>
  <c r="Y274" i="4"/>
  <c r="AA274" i="4" s="1"/>
  <c r="J274" i="4"/>
  <c r="N274" i="4" s="1"/>
  <c r="Y272" i="4"/>
  <c r="AA272" i="4" s="1"/>
  <c r="N272" i="4"/>
  <c r="J272" i="4"/>
  <c r="AA270" i="4"/>
  <c r="J270" i="4"/>
  <c r="N270" i="4" s="1"/>
  <c r="AA268" i="4"/>
  <c r="Y268" i="4"/>
  <c r="J268" i="4"/>
  <c r="N268" i="4" s="1"/>
  <c r="AA266" i="4"/>
  <c r="Y266" i="4"/>
  <c r="N266" i="4"/>
  <c r="J266" i="4"/>
  <c r="I266" i="4"/>
  <c r="Y264" i="4"/>
  <c r="AA264" i="4" s="1"/>
  <c r="J264" i="4"/>
  <c r="N264" i="4" s="1"/>
  <c r="Y262" i="4"/>
  <c r="AA262" i="4" s="1"/>
  <c r="J262" i="4"/>
  <c r="N262" i="4" s="1"/>
  <c r="I262" i="4"/>
  <c r="AA260" i="4"/>
  <c r="Y260" i="4"/>
  <c r="N260" i="4"/>
  <c r="J260" i="4"/>
  <c r="I260" i="4"/>
  <c r="Y980" i="11"/>
  <c r="AA980" i="11" s="1"/>
  <c r="J980" i="11"/>
  <c r="N980" i="11" s="1"/>
  <c r="Y978" i="11"/>
  <c r="AA978" i="11" s="1"/>
  <c r="N978" i="11"/>
  <c r="Y258" i="4"/>
  <c r="AA258" i="4" s="1"/>
  <c r="N258" i="4"/>
  <c r="J258" i="4"/>
  <c r="Y976" i="11"/>
  <c r="AA976" i="11" s="1"/>
  <c r="N976" i="11"/>
  <c r="Y256" i="4"/>
  <c r="AA256" i="4" s="1"/>
  <c r="N256" i="4"/>
  <c r="AA254" i="4"/>
  <c r="Y254" i="4"/>
  <c r="N254" i="4"/>
  <c r="J254" i="4"/>
  <c r="AA252" i="4"/>
  <c r="Y252" i="4"/>
  <c r="N252" i="4"/>
  <c r="K252" i="4"/>
  <c r="J252" i="4"/>
  <c r="Y250" i="4"/>
  <c r="AA250" i="4" s="1"/>
  <c r="J250" i="4"/>
  <c r="N250" i="4" s="1"/>
  <c r="AA248" i="4"/>
  <c r="Y248" i="4"/>
  <c r="N248" i="4"/>
  <c r="J248" i="4"/>
  <c r="Y246" i="4"/>
  <c r="AA246" i="4" s="1"/>
  <c r="K246" i="4"/>
  <c r="J246" i="4"/>
  <c r="AA244" i="4"/>
  <c r="K244" i="4"/>
  <c r="J244" i="4"/>
  <c r="N244" i="4" s="1"/>
  <c r="Y974" i="11"/>
  <c r="AA974" i="11" s="1"/>
  <c r="N974" i="11"/>
  <c r="J974" i="11"/>
  <c r="Y242" i="4"/>
  <c r="AA242" i="4" s="1"/>
  <c r="J242" i="4"/>
  <c r="N242" i="4" s="1"/>
  <c r="AA240" i="4"/>
  <c r="Y240" i="4"/>
  <c r="J240" i="4"/>
  <c r="N240" i="4" s="1"/>
  <c r="Y238" i="4"/>
  <c r="AA238" i="4" s="1"/>
  <c r="K238" i="4"/>
  <c r="J238" i="4"/>
  <c r="N238" i="4" s="1"/>
  <c r="Y972" i="11"/>
  <c r="AA972" i="11" s="1"/>
  <c r="J972" i="11"/>
  <c r="N972" i="11" s="1"/>
  <c r="AA10" i="10"/>
  <c r="Y10" i="10"/>
  <c r="J10" i="10"/>
  <c r="N10" i="10" s="1"/>
  <c r="I10" i="10"/>
  <c r="Y236" i="4"/>
  <c r="AA236" i="4" s="1"/>
  <c r="J236" i="4"/>
  <c r="N236" i="4" s="1"/>
  <c r="Y234" i="4"/>
  <c r="AA234" i="4" s="1"/>
  <c r="N234" i="4"/>
  <c r="J234" i="4"/>
  <c r="AA232" i="4"/>
  <c r="K232" i="4"/>
  <c r="J232" i="4"/>
  <c r="N232" i="4" s="1"/>
  <c r="Y230" i="4"/>
  <c r="AA230" i="4" s="1"/>
  <c r="N230" i="4"/>
  <c r="Y228" i="4"/>
  <c r="AA228" i="4" s="1"/>
  <c r="I228" i="4"/>
  <c r="Y226" i="4"/>
  <c r="AA226" i="4" s="1"/>
  <c r="N226" i="4"/>
  <c r="J226" i="4"/>
  <c r="I226" i="4"/>
  <c r="AA224" i="4"/>
  <c r="Y224" i="4"/>
  <c r="N224" i="4"/>
  <c r="J224" i="4"/>
  <c r="Y222" i="4"/>
  <c r="AA222" i="4" s="1"/>
  <c r="J222" i="4"/>
  <c r="N222" i="4" s="1"/>
  <c r="Y220" i="4"/>
  <c r="AA220" i="4" s="1"/>
  <c r="J220" i="4"/>
  <c r="N220" i="4" s="1"/>
  <c r="AA218" i="4"/>
  <c r="K218" i="4"/>
  <c r="J218" i="4"/>
  <c r="N218" i="4" s="1"/>
  <c r="AA216" i="4"/>
  <c r="K216" i="4"/>
  <c r="J216" i="4"/>
  <c r="N216" i="4" s="1"/>
  <c r="AA214" i="4"/>
  <c r="Y214" i="4"/>
  <c r="J214" i="4"/>
  <c r="N214" i="4" s="1"/>
  <c r="AA212" i="4"/>
  <c r="Y212" i="4"/>
  <c r="N212" i="4"/>
  <c r="J212" i="4"/>
  <c r="Y970" i="11"/>
  <c r="AA970" i="11" s="1"/>
  <c r="J970" i="11"/>
  <c r="N970" i="11" s="1"/>
  <c r="Y210" i="4"/>
  <c r="AA210" i="4" s="1"/>
  <c r="K210" i="4"/>
  <c r="N210" i="4" s="1"/>
  <c r="J210" i="4"/>
  <c r="Y968" i="11"/>
  <c r="AA968" i="11" s="1"/>
  <c r="N968" i="11"/>
  <c r="K968" i="11"/>
  <c r="J968" i="11"/>
  <c r="AA208" i="4"/>
  <c r="Y208" i="4"/>
  <c r="N208" i="4"/>
  <c r="J208" i="4"/>
  <c r="AA206" i="4"/>
  <c r="Y206" i="4"/>
  <c r="N206" i="4"/>
  <c r="Y204" i="4"/>
  <c r="AA204" i="4" s="1"/>
  <c r="J204" i="4"/>
  <c r="N204" i="4" s="1"/>
  <c r="Y202" i="4"/>
  <c r="AA202" i="4" s="1"/>
  <c r="N202" i="4"/>
  <c r="J202" i="4"/>
  <c r="Y200" i="4"/>
  <c r="AA200" i="4" s="1"/>
  <c r="I200" i="4"/>
  <c r="Y198" i="4"/>
  <c r="AA198" i="4" s="1"/>
  <c r="I198" i="4"/>
  <c r="Y196" i="4"/>
  <c r="AA196" i="4" s="1"/>
  <c r="N196" i="4"/>
  <c r="K196" i="4"/>
  <c r="J196" i="4"/>
  <c r="AA194" i="4"/>
  <c r="Y194" i="4"/>
  <c r="J194" i="4"/>
  <c r="N194" i="4" s="1"/>
  <c r="Y192" i="4"/>
  <c r="AA192" i="4" s="1"/>
  <c r="K192" i="4"/>
  <c r="N192" i="4" s="1"/>
  <c r="J192" i="4"/>
  <c r="Y190" i="4"/>
  <c r="AA190" i="4" s="1"/>
  <c r="J190" i="4"/>
  <c r="N190" i="4" s="1"/>
  <c r="Y188" i="4"/>
  <c r="AA188" i="4" s="1"/>
  <c r="N188" i="4"/>
  <c r="J188" i="4"/>
  <c r="Y186" i="4"/>
  <c r="AA186" i="4" s="1"/>
  <c r="N186" i="4"/>
  <c r="Y184" i="4"/>
  <c r="AA184" i="4" s="1"/>
  <c r="J184" i="4"/>
  <c r="N184" i="4" s="1"/>
  <c r="Y182" i="4"/>
  <c r="AA182" i="4" s="1"/>
  <c r="N182" i="4"/>
  <c r="J182" i="4"/>
  <c r="AA966" i="11"/>
  <c r="Y966" i="11"/>
  <c r="N966" i="11"/>
  <c r="AA180" i="4"/>
  <c r="K180" i="4"/>
  <c r="J180" i="4"/>
  <c r="N180" i="4" s="1"/>
  <c r="AA178" i="4"/>
  <c r="N178" i="4"/>
  <c r="K178" i="4"/>
  <c r="J178" i="4"/>
  <c r="Y176" i="4"/>
  <c r="AA176" i="4" s="1"/>
  <c r="I176" i="4"/>
  <c r="AA174" i="4"/>
  <c r="Y174" i="4"/>
  <c r="K174" i="4"/>
  <c r="J174" i="4"/>
  <c r="N174" i="4" s="1"/>
  <c r="Y172" i="4"/>
  <c r="AA172" i="4" s="1"/>
  <c r="J172" i="4"/>
  <c r="N172" i="4" s="1"/>
  <c r="AA170" i="4"/>
  <c r="Y170" i="4"/>
  <c r="I170" i="4"/>
  <c r="J170" i="4" s="1"/>
  <c r="N170" i="4" s="1"/>
  <c r="AA964" i="11"/>
  <c r="Y964" i="11"/>
  <c r="K964" i="11"/>
  <c r="J964" i="11"/>
  <c r="N964" i="11" s="1"/>
  <c r="AA962" i="11"/>
  <c r="Y962" i="11"/>
  <c r="K962" i="11"/>
  <c r="J962" i="11"/>
  <c r="N962" i="11" s="1"/>
  <c r="Y960" i="11"/>
  <c r="AA960" i="11" s="1"/>
  <c r="J960" i="11"/>
  <c r="N960" i="11" s="1"/>
  <c r="Y168" i="4"/>
  <c r="AA168" i="4" s="1"/>
  <c r="N168" i="4"/>
  <c r="J168" i="4"/>
  <c r="Y166" i="4"/>
  <c r="AA166" i="4" s="1"/>
  <c r="J166" i="4"/>
  <c r="N166" i="4" s="1"/>
  <c r="AA164" i="4"/>
  <c r="Y164" i="4"/>
  <c r="J164" i="4"/>
  <c r="N164" i="4" s="1"/>
  <c r="Y162" i="4"/>
  <c r="AA162" i="4" s="1"/>
  <c r="J162" i="4"/>
  <c r="I162" i="4"/>
  <c r="N162" i="4" s="1"/>
  <c r="Y958" i="11"/>
  <c r="AA958" i="11" s="1"/>
  <c r="N958" i="11"/>
  <c r="AA160" i="4"/>
  <c r="J160" i="4"/>
  <c r="N160" i="4" s="1"/>
  <c r="AA158" i="4"/>
  <c r="Y158" i="4"/>
  <c r="N158" i="4"/>
  <c r="J158" i="4"/>
  <c r="Y156" i="4"/>
  <c r="AA156" i="4" s="1"/>
  <c r="N156" i="4"/>
  <c r="J156" i="4"/>
  <c r="Y154" i="4"/>
  <c r="AA154" i="4" s="1"/>
  <c r="I154" i="4"/>
  <c r="J154" i="4" s="1"/>
  <c r="N154" i="4" s="1"/>
  <c r="AA152" i="4"/>
  <c r="Y152" i="4"/>
  <c r="J152" i="4"/>
  <c r="N152" i="4" s="1"/>
  <c r="Y150" i="4"/>
  <c r="AA150" i="4" s="1"/>
  <c r="J150" i="4"/>
  <c r="N150" i="4" s="1"/>
  <c r="AA956" i="11"/>
  <c r="Y956" i="11"/>
  <c r="J956" i="11"/>
  <c r="N956" i="11" s="1"/>
  <c r="AA148" i="4"/>
  <c r="N148" i="4"/>
  <c r="AA954" i="11"/>
  <c r="Y954" i="11"/>
  <c r="N954" i="11"/>
  <c r="AA146" i="4"/>
  <c r="Y146" i="4"/>
  <c r="K146" i="4"/>
  <c r="J146" i="4"/>
  <c r="N146" i="4" s="1"/>
  <c r="Y144" i="4"/>
  <c r="AA144" i="4" s="1"/>
  <c r="J144" i="4"/>
  <c r="N144" i="4" s="1"/>
  <c r="Y952" i="11"/>
  <c r="AA952" i="11" s="1"/>
  <c r="N952" i="11"/>
  <c r="J952" i="11"/>
  <c r="Y142" i="4"/>
  <c r="AA142" i="4" s="1"/>
  <c r="N142" i="4"/>
  <c r="J142" i="4"/>
  <c r="Y950" i="11"/>
  <c r="AA950" i="11" s="1"/>
  <c r="N950" i="11"/>
  <c r="J950" i="11"/>
  <c r="AA140" i="4"/>
  <c r="J140" i="4"/>
  <c r="N140" i="4" s="1"/>
  <c r="Y138" i="4"/>
  <c r="AA138" i="4" s="1"/>
  <c r="J138" i="4"/>
  <c r="N138" i="4" s="1"/>
  <c r="Y948" i="11"/>
  <c r="AA948" i="11" s="1"/>
  <c r="N948" i="11"/>
  <c r="AA136" i="4"/>
  <c r="Y136" i="4"/>
  <c r="I136" i="4"/>
  <c r="Y946" i="11"/>
  <c r="AA946" i="11" s="1"/>
  <c r="J946" i="11"/>
  <c r="N946" i="11" s="1"/>
  <c r="Y944" i="11"/>
  <c r="AA944" i="11" s="1"/>
  <c r="N944" i="11"/>
  <c r="J944" i="11"/>
  <c r="AA134" i="4"/>
  <c r="N134" i="4"/>
  <c r="AA942" i="11"/>
  <c r="Y942" i="11"/>
  <c r="J942" i="11"/>
  <c r="N942" i="11" s="1"/>
  <c r="AA940" i="11"/>
  <c r="Y940" i="11"/>
  <c r="K940" i="11"/>
  <c r="J940" i="11"/>
  <c r="N940" i="11" s="1"/>
  <c r="Y938" i="11"/>
  <c r="AA938" i="11" s="1"/>
  <c r="J938" i="11"/>
  <c r="N938" i="11" s="1"/>
  <c r="AA132" i="4"/>
  <c r="Y132" i="4"/>
  <c r="I132" i="4"/>
  <c r="AA130" i="4"/>
  <c r="J130" i="4"/>
  <c r="N130" i="4" s="1"/>
  <c r="Y936" i="11"/>
  <c r="AA936" i="11" s="1"/>
  <c r="J936" i="11"/>
  <c r="N936" i="11" s="1"/>
  <c r="AA128" i="4"/>
  <c r="J128" i="4"/>
  <c r="N128" i="4" s="1"/>
  <c r="Y934" i="11"/>
  <c r="AA934" i="11" s="1"/>
  <c r="N934" i="11"/>
  <c r="J934" i="11"/>
  <c r="AA126" i="4"/>
  <c r="K126" i="4"/>
  <c r="J126" i="4"/>
  <c r="N126" i="4" s="1"/>
  <c r="Y932" i="11"/>
  <c r="AA932" i="11" s="1"/>
  <c r="N932" i="11"/>
  <c r="Y930" i="11"/>
  <c r="AA930" i="11" s="1"/>
  <c r="J930" i="11"/>
  <c r="N930" i="11" s="1"/>
  <c r="Y124" i="4"/>
  <c r="AA124" i="4" s="1"/>
  <c r="N124" i="4"/>
  <c r="J124" i="4"/>
  <c r="AA928" i="11"/>
  <c r="Y928" i="11"/>
  <c r="J928" i="11"/>
  <c r="N928" i="11" s="1"/>
  <c r="AA122" i="4"/>
  <c r="N122" i="4"/>
  <c r="J122" i="4"/>
  <c r="Y926" i="11"/>
  <c r="AA926" i="11" s="1"/>
  <c r="J926" i="11"/>
  <c r="N926" i="11" s="1"/>
  <c r="AA924" i="11"/>
  <c r="Y924" i="11"/>
  <c r="N924" i="11"/>
  <c r="AA120" i="4"/>
  <c r="K120" i="4"/>
  <c r="J120" i="4"/>
  <c r="N120" i="4" s="1"/>
  <c r="AA118" i="4"/>
  <c r="Y118" i="4"/>
  <c r="J118" i="4"/>
  <c r="N118" i="4" s="1"/>
  <c r="Y922" i="11"/>
  <c r="AA922" i="11" s="1"/>
  <c r="N922" i="11"/>
  <c r="Y116" i="4"/>
  <c r="AA116" i="4" s="1"/>
  <c r="I116" i="4"/>
  <c r="Y114" i="4"/>
  <c r="AA114" i="4" s="1"/>
  <c r="J114" i="4"/>
  <c r="N114" i="4" s="1"/>
  <c r="Y920" i="11"/>
  <c r="AA920" i="11" s="1"/>
  <c r="N920" i="11"/>
  <c r="J920" i="11"/>
  <c r="Y918" i="11"/>
  <c r="AA918" i="11" s="1"/>
  <c r="J918" i="11"/>
  <c r="N918" i="11" s="1"/>
  <c r="Y112" i="4"/>
  <c r="AA112" i="4" s="1"/>
  <c r="N112" i="4"/>
  <c r="J112" i="4"/>
  <c r="Y916" i="11"/>
  <c r="AA916" i="11" s="1"/>
  <c r="K916" i="11"/>
  <c r="J916" i="11"/>
  <c r="N916" i="11" s="1"/>
  <c r="AA110" i="4"/>
  <c r="J110" i="4"/>
  <c r="N110" i="4" s="1"/>
  <c r="AA108" i="4"/>
  <c r="Y108" i="4"/>
  <c r="N108" i="4"/>
  <c r="J108" i="4"/>
  <c r="Y914" i="11"/>
  <c r="AA914" i="11" s="1"/>
  <c r="N914" i="11"/>
  <c r="J914" i="11"/>
  <c r="AA106" i="4"/>
  <c r="Y106" i="4"/>
  <c r="N106" i="4"/>
  <c r="J106" i="4"/>
  <c r="Y104" i="4"/>
  <c r="AA104" i="4" s="1"/>
  <c r="J104" i="4"/>
  <c r="N104" i="4" s="1"/>
  <c r="AA102" i="4"/>
  <c r="J102" i="4"/>
  <c r="N102" i="4" s="1"/>
  <c r="Y100" i="4"/>
  <c r="AA100" i="4" s="1"/>
  <c r="J100" i="4"/>
  <c r="N100" i="4" s="1"/>
  <c r="Y912" i="11"/>
  <c r="AA912" i="11" s="1"/>
  <c r="J912" i="11"/>
  <c r="N912" i="11" s="1"/>
  <c r="AA98" i="4"/>
  <c r="Y98" i="4"/>
  <c r="N98" i="4"/>
  <c r="J98" i="4"/>
  <c r="Y96" i="4"/>
  <c r="AA96" i="4" s="1"/>
  <c r="J96" i="4"/>
  <c r="N96" i="4" s="1"/>
  <c r="Y94" i="4"/>
  <c r="AA94" i="4" s="1"/>
  <c r="J94" i="4"/>
  <c r="N94" i="4" s="1"/>
  <c r="AA910" i="11"/>
  <c r="Y910" i="11"/>
  <c r="N910" i="11"/>
  <c r="J910" i="11"/>
  <c r="AA92" i="4"/>
  <c r="J92" i="4"/>
  <c r="N92" i="4" s="1"/>
  <c r="AA90" i="4"/>
  <c r="N90" i="4"/>
  <c r="J90" i="4"/>
  <c r="Y88" i="4"/>
  <c r="AA88" i="4" s="1"/>
  <c r="N88" i="4"/>
  <c r="J88" i="4"/>
  <c r="Y908" i="11"/>
  <c r="AA908" i="11" s="1"/>
  <c r="N908" i="11"/>
  <c r="J908" i="11"/>
  <c r="Y86" i="4"/>
  <c r="AA86" i="4" s="1"/>
  <c r="J86" i="4"/>
  <c r="N86" i="4" s="1"/>
  <c r="AA84" i="4"/>
  <c r="I84" i="4"/>
  <c r="J84" i="4" s="1"/>
  <c r="Y82" i="4"/>
  <c r="AA82" i="4" s="1"/>
  <c r="J82" i="4"/>
  <c r="N82" i="4" s="1"/>
  <c r="Y906" i="11"/>
  <c r="AA906" i="11" s="1"/>
  <c r="J906" i="11"/>
  <c r="N906" i="11" s="1"/>
  <c r="Y904" i="11"/>
  <c r="AA904" i="11" s="1"/>
  <c r="I904" i="11"/>
  <c r="AA902" i="11"/>
  <c r="Y902" i="11"/>
  <c r="K902" i="11"/>
  <c r="J902" i="11"/>
  <c r="N902" i="11" s="1"/>
  <c r="AA80" i="4"/>
  <c r="K80" i="4"/>
  <c r="N80" i="4" s="1"/>
  <c r="J80" i="4"/>
  <c r="Y900" i="11"/>
  <c r="AA900" i="11" s="1"/>
  <c r="J900" i="11"/>
  <c r="N900" i="11" s="1"/>
  <c r="Y898" i="11"/>
  <c r="AA898" i="11" s="1"/>
  <c r="K898" i="11"/>
  <c r="J898" i="11"/>
  <c r="N898" i="11" s="1"/>
  <c r="AA78" i="4"/>
  <c r="N78" i="4"/>
  <c r="J78" i="4"/>
  <c r="AA896" i="11"/>
  <c r="Y896" i="11"/>
  <c r="J896" i="11"/>
  <c r="N896" i="11" s="1"/>
  <c r="Y894" i="11"/>
  <c r="AA894" i="11" s="1"/>
  <c r="J894" i="11"/>
  <c r="N894" i="11" s="1"/>
  <c r="Y892" i="11"/>
  <c r="AA892" i="11" s="1"/>
  <c r="N892" i="11"/>
  <c r="K892" i="11"/>
  <c r="J892" i="11"/>
  <c r="AA890" i="11"/>
  <c r="Y890" i="11"/>
  <c r="N890" i="11"/>
  <c r="J890" i="11"/>
  <c r="Y888" i="11"/>
  <c r="AA888" i="11" s="1"/>
  <c r="J888" i="11"/>
  <c r="N888" i="11" s="1"/>
  <c r="Y886" i="11"/>
  <c r="AA886" i="11" s="1"/>
  <c r="N886" i="11"/>
  <c r="K886" i="11"/>
  <c r="J886" i="11"/>
  <c r="Y884" i="11"/>
  <c r="AA884" i="11" s="1"/>
  <c r="N884" i="11"/>
  <c r="J884" i="11"/>
  <c r="Y882" i="11"/>
  <c r="AA882" i="11" s="1"/>
  <c r="N882" i="11"/>
  <c r="J882" i="11"/>
  <c r="AA880" i="11"/>
  <c r="Y880" i="11"/>
  <c r="N880" i="11"/>
  <c r="J880" i="11"/>
  <c r="AA76" i="4"/>
  <c r="Y76" i="4"/>
  <c r="J76" i="4"/>
  <c r="N76" i="4" s="1"/>
  <c r="AA74" i="4"/>
  <c r="K74" i="4"/>
  <c r="J74" i="4"/>
  <c r="N74" i="4" s="1"/>
  <c r="AA72" i="4"/>
  <c r="J72" i="4"/>
  <c r="N72" i="4" s="1"/>
  <c r="Y878" i="11"/>
  <c r="AA878" i="11" s="1"/>
  <c r="J878" i="11"/>
  <c r="N878" i="11" s="1"/>
  <c r="Y876" i="11"/>
  <c r="AA876" i="11" s="1"/>
  <c r="N876" i="11"/>
  <c r="J876" i="11"/>
  <c r="Y874" i="11"/>
  <c r="AA874" i="11" s="1"/>
  <c r="J874" i="11"/>
  <c r="N874" i="11" s="1"/>
  <c r="Y872" i="11"/>
  <c r="AA872" i="11" s="1"/>
  <c r="K872" i="11"/>
  <c r="J872" i="11"/>
  <c r="N872" i="11" s="1"/>
  <c r="AA870" i="11"/>
  <c r="Y870" i="11"/>
  <c r="N870" i="11"/>
  <c r="J870" i="11"/>
  <c r="Y868" i="11"/>
  <c r="AA868" i="11" s="1"/>
  <c r="J868" i="11"/>
  <c r="N868" i="11" s="1"/>
  <c r="AA866" i="11"/>
  <c r="Y866" i="11"/>
  <c r="N866" i="11"/>
  <c r="J866" i="11"/>
  <c r="AA70" i="4"/>
  <c r="N70" i="4"/>
  <c r="J70" i="4"/>
  <c r="Y864" i="11"/>
  <c r="AA864" i="11" s="1"/>
  <c r="N864" i="11"/>
  <c r="J864" i="11"/>
  <c r="AA68" i="4"/>
  <c r="N68" i="4"/>
  <c r="J68" i="4"/>
  <c r="Y862" i="11"/>
  <c r="AA862" i="11" s="1"/>
  <c r="J862" i="11"/>
  <c r="N862" i="11" s="1"/>
  <c r="AA860" i="11"/>
  <c r="Y860" i="11"/>
  <c r="N860" i="11"/>
  <c r="AA66" i="4"/>
  <c r="Y66" i="4"/>
  <c r="K66" i="4"/>
  <c r="J66" i="4"/>
  <c r="N66" i="4" s="1"/>
  <c r="Y858" i="11"/>
  <c r="AA858" i="11" s="1"/>
  <c r="N858" i="11"/>
  <c r="Y856" i="11"/>
  <c r="AA856" i="11" s="1"/>
  <c r="J856" i="11"/>
  <c r="N856" i="11" s="1"/>
  <c r="AA64" i="4"/>
  <c r="N64" i="4"/>
  <c r="J64" i="4"/>
  <c r="Y62" i="4"/>
  <c r="AA62" i="4" s="1"/>
  <c r="J62" i="4"/>
  <c r="N62" i="4" s="1"/>
  <c r="Y854" i="11"/>
  <c r="AA854" i="11" s="1"/>
  <c r="J854" i="11"/>
  <c r="N854" i="11" s="1"/>
  <c r="AA60" i="4"/>
  <c r="N60" i="4"/>
  <c r="Y852" i="11"/>
  <c r="AA852" i="11" s="1"/>
  <c r="J852" i="11"/>
  <c r="N852" i="11" s="1"/>
  <c r="AA58" i="4"/>
  <c r="Y58" i="4"/>
  <c r="N58" i="4"/>
  <c r="J58" i="4"/>
  <c r="Y850" i="11"/>
  <c r="AA850" i="11" s="1"/>
  <c r="J850" i="11"/>
  <c r="N850" i="11" s="1"/>
  <c r="Y56" i="4"/>
  <c r="AA56" i="4" s="1"/>
  <c r="N56" i="4"/>
  <c r="J56" i="4"/>
  <c r="Y848" i="11"/>
  <c r="AA848" i="11" s="1"/>
  <c r="J848" i="11"/>
  <c r="N848" i="11" s="1"/>
  <c r="AA846" i="11"/>
  <c r="N846" i="11"/>
  <c r="AA844" i="11"/>
  <c r="N844" i="11"/>
  <c r="AA842" i="11"/>
  <c r="N842" i="11"/>
  <c r="AA840" i="11"/>
  <c r="N840" i="11"/>
  <c r="AA838" i="11"/>
  <c r="N838" i="11"/>
  <c r="AA836" i="11"/>
  <c r="N836" i="11"/>
  <c r="AA834" i="11"/>
  <c r="N834" i="11"/>
  <c r="AA832" i="11"/>
  <c r="N832" i="11"/>
  <c r="AA830" i="11"/>
  <c r="N830" i="11"/>
  <c r="AA828" i="11"/>
  <c r="N828" i="11"/>
  <c r="AA826" i="11"/>
  <c r="N826" i="11"/>
  <c r="AA824" i="11"/>
  <c r="N824" i="11"/>
  <c r="AA822" i="11"/>
  <c r="N822" i="11"/>
  <c r="AA820" i="11"/>
  <c r="N820" i="11"/>
  <c r="AA818" i="11"/>
  <c r="N818" i="11"/>
  <c r="AA816" i="11"/>
  <c r="N816" i="11"/>
  <c r="AA814" i="11"/>
  <c r="N814" i="11"/>
  <c r="AA812" i="11"/>
  <c r="N812" i="11"/>
  <c r="AA810" i="11"/>
  <c r="N810" i="11"/>
  <c r="AA808" i="11"/>
  <c r="N808" i="11"/>
  <c r="AA806" i="11"/>
  <c r="N806" i="11"/>
  <c r="AA804" i="11"/>
  <c r="N804" i="11"/>
  <c r="AA802" i="11"/>
  <c r="N802" i="11"/>
  <c r="AA800" i="11"/>
  <c r="N800" i="11"/>
  <c r="AA798" i="11"/>
  <c r="N798" i="11"/>
  <c r="AA796" i="11"/>
  <c r="N796" i="11"/>
  <c r="AA794" i="11"/>
  <c r="N794" i="11"/>
  <c r="AA792" i="11"/>
  <c r="N792" i="11"/>
  <c r="AA790" i="11"/>
  <c r="N790" i="11"/>
  <c r="AA788" i="11"/>
  <c r="N788" i="11"/>
  <c r="AA786" i="11"/>
  <c r="N786" i="11"/>
  <c r="AA784" i="11"/>
  <c r="N784" i="11"/>
  <c r="AA782" i="11"/>
  <c r="N782" i="11"/>
  <c r="AA780" i="11"/>
  <c r="N780" i="11"/>
  <c r="AA778" i="11"/>
  <c r="N778" i="11"/>
  <c r="AA776" i="11"/>
  <c r="N776" i="11"/>
  <c r="AA774" i="11"/>
  <c r="N774" i="11"/>
  <c r="AA772" i="11"/>
  <c r="N772" i="11"/>
  <c r="AA770" i="11"/>
  <c r="N770" i="11"/>
  <c r="AA768" i="11"/>
  <c r="N768" i="11"/>
  <c r="Y766" i="11"/>
  <c r="AA766" i="11" s="1"/>
  <c r="J766" i="11"/>
  <c r="N766" i="11" s="1"/>
  <c r="Y764" i="11"/>
  <c r="AA764" i="11" s="1"/>
  <c r="J764" i="11"/>
  <c r="N764" i="11" s="1"/>
  <c r="Y762" i="11"/>
  <c r="AA762" i="11" s="1"/>
  <c r="N762" i="11"/>
  <c r="AA54" i="4"/>
  <c r="Y54" i="4"/>
  <c r="N54" i="4"/>
  <c r="J54" i="4"/>
  <c r="Y760" i="11"/>
  <c r="AA760" i="11" s="1"/>
  <c r="N760" i="11"/>
  <c r="J760" i="11"/>
  <c r="AA758" i="11"/>
  <c r="Y758" i="11"/>
  <c r="J758" i="11"/>
  <c r="N758" i="11" s="1"/>
  <c r="AA52" i="4"/>
  <c r="J52" i="4"/>
  <c r="N52" i="4" s="1"/>
  <c r="AA50" i="4"/>
  <c r="Y50" i="4"/>
  <c r="J50" i="4"/>
  <c r="N50" i="4" s="1"/>
  <c r="Y756" i="11"/>
  <c r="AA756" i="11" s="1"/>
  <c r="J756" i="11"/>
  <c r="N756" i="11" s="1"/>
  <c r="Y48" i="4"/>
  <c r="AA48" i="4" s="1"/>
  <c r="J48" i="4"/>
  <c r="N48" i="4" s="1"/>
  <c r="Y754" i="11"/>
  <c r="AA754" i="11" s="1"/>
  <c r="J754" i="11"/>
  <c r="N754" i="11" s="1"/>
  <c r="Y752" i="11"/>
  <c r="AA752" i="11" s="1"/>
  <c r="J752" i="11"/>
  <c r="N752" i="11" s="1"/>
  <c r="Y750" i="11"/>
  <c r="AA750" i="11" s="1"/>
  <c r="J750" i="11"/>
  <c r="N750" i="11" s="1"/>
  <c r="Y748" i="11"/>
  <c r="AA748" i="11" s="1"/>
  <c r="J748" i="11"/>
  <c r="N748" i="11" s="1"/>
  <c r="AA46" i="4"/>
  <c r="Y46" i="4"/>
  <c r="I46" i="4"/>
  <c r="AA44" i="4"/>
  <c r="J44" i="4"/>
  <c r="N44" i="4" s="1"/>
  <c r="AA746" i="11"/>
  <c r="Y746" i="11"/>
  <c r="J746" i="11"/>
  <c r="N746" i="11" s="1"/>
  <c r="Y744" i="11"/>
  <c r="AA744" i="11" s="1"/>
  <c r="J744" i="11"/>
  <c r="N744" i="11" s="1"/>
  <c r="Y742" i="11"/>
  <c r="AA742" i="11" s="1"/>
  <c r="J742" i="11"/>
  <c r="N742" i="11" s="1"/>
  <c r="Y740" i="11"/>
  <c r="AA740" i="11" s="1"/>
  <c r="N740" i="11"/>
  <c r="J740" i="11"/>
  <c r="AA738" i="11"/>
  <c r="Y738" i="11"/>
  <c r="N738" i="11"/>
  <c r="J738" i="11"/>
  <c r="Y42" i="4"/>
  <c r="AA42" i="4" s="1"/>
  <c r="J42" i="4"/>
  <c r="N42" i="4" s="1"/>
  <c r="AA736" i="11"/>
  <c r="Y736" i="11"/>
  <c r="J736" i="11"/>
  <c r="N736" i="11" s="1"/>
  <c r="Y734" i="11"/>
  <c r="AA734" i="11" s="1"/>
  <c r="N734" i="11"/>
  <c r="AA40" i="4"/>
  <c r="Y40" i="4"/>
  <c r="J40" i="4"/>
  <c r="N40" i="4" s="1"/>
  <c r="Y732" i="11"/>
  <c r="AA732" i="11" s="1"/>
  <c r="J732" i="11"/>
  <c r="N732" i="11" s="1"/>
  <c r="Y730" i="11"/>
  <c r="AA730" i="11" s="1"/>
  <c r="J730" i="11"/>
  <c r="N730" i="11" s="1"/>
  <c r="Y728" i="11"/>
  <c r="AA728" i="11" s="1"/>
  <c r="J728" i="11"/>
  <c r="N728" i="11" s="1"/>
  <c r="Y726" i="11"/>
  <c r="AA726" i="11" s="1"/>
  <c r="N726" i="11"/>
  <c r="J726" i="11"/>
  <c r="Y724" i="11"/>
  <c r="AA724" i="11" s="1"/>
  <c r="N724" i="11"/>
  <c r="J724" i="11"/>
  <c r="Y722" i="11"/>
  <c r="AA722" i="11" s="1"/>
  <c r="J722" i="11"/>
  <c r="N722" i="11" s="1"/>
  <c r="Y720" i="11"/>
  <c r="AA720" i="11" s="1"/>
  <c r="I720" i="11"/>
  <c r="AA38" i="4"/>
  <c r="J38" i="4"/>
  <c r="N38" i="4" s="1"/>
  <c r="AA718" i="11"/>
  <c r="Y718" i="11"/>
  <c r="N718" i="11"/>
  <c r="J718" i="11"/>
  <c r="Y716" i="11"/>
  <c r="AA716" i="11" s="1"/>
  <c r="J716" i="11"/>
  <c r="N716" i="11" s="1"/>
  <c r="Y714" i="11"/>
  <c r="AA714" i="11" s="1"/>
  <c r="J714" i="11"/>
  <c r="N714" i="11" s="1"/>
  <c r="Y712" i="11"/>
  <c r="AA712" i="11" s="1"/>
  <c r="J712" i="11"/>
  <c r="N712" i="11" s="1"/>
  <c r="Y710" i="11"/>
  <c r="AA710" i="11" s="1"/>
  <c r="J710" i="11"/>
  <c r="N710" i="11" s="1"/>
  <c r="AA36" i="4"/>
  <c r="J36" i="4"/>
  <c r="N36" i="4" s="1"/>
  <c r="Y708" i="11"/>
  <c r="AA708" i="11" s="1"/>
  <c r="J708" i="11"/>
  <c r="N708" i="11" s="1"/>
  <c r="Y706" i="11"/>
  <c r="AA706" i="11" s="1"/>
  <c r="J706" i="11"/>
  <c r="N706" i="11" s="1"/>
  <c r="Y704" i="11"/>
  <c r="AA704" i="11" s="1"/>
  <c r="J704" i="11"/>
  <c r="N704" i="11" s="1"/>
  <c r="Y702" i="11"/>
  <c r="AA702" i="11" s="1"/>
  <c r="J702" i="11"/>
  <c r="N702" i="11" s="1"/>
  <c r="Y34" i="4"/>
  <c r="AA34" i="4" s="1"/>
  <c r="J34" i="4"/>
  <c r="N34" i="4" s="1"/>
  <c r="AA32" i="4"/>
  <c r="N32" i="4"/>
  <c r="J32" i="4"/>
  <c r="Y700" i="11"/>
  <c r="AA700" i="11" s="1"/>
  <c r="J700" i="11"/>
  <c r="N700" i="11" s="1"/>
  <c r="Y698" i="11"/>
  <c r="AA698" i="11" s="1"/>
  <c r="J698" i="11"/>
  <c r="N698" i="11" s="1"/>
  <c r="Y696" i="11"/>
  <c r="AA696" i="11" s="1"/>
  <c r="N696" i="11"/>
  <c r="Y694" i="11"/>
  <c r="AA694" i="11" s="1"/>
  <c r="J694" i="11"/>
  <c r="N694" i="11" s="1"/>
  <c r="Y692" i="11"/>
  <c r="AA692" i="11" s="1"/>
  <c r="N692" i="11"/>
  <c r="J692" i="11"/>
  <c r="Y690" i="11"/>
  <c r="AA690" i="11" s="1"/>
  <c r="J690" i="11"/>
  <c r="N690" i="11" s="1"/>
  <c r="AA688" i="11"/>
  <c r="Y688" i="11"/>
  <c r="J688" i="11"/>
  <c r="N688" i="11" s="1"/>
  <c r="Y686" i="11"/>
  <c r="AA686" i="11" s="1"/>
  <c r="N686" i="11"/>
  <c r="Y684" i="11"/>
  <c r="AA684" i="11" s="1"/>
  <c r="J684" i="11"/>
  <c r="N684" i="11" s="1"/>
  <c r="Y682" i="11"/>
  <c r="AA682" i="11" s="1"/>
  <c r="J682" i="11"/>
  <c r="N682" i="11" s="1"/>
  <c r="Y680" i="11"/>
  <c r="AA680" i="11" s="1"/>
  <c r="J680" i="11"/>
  <c r="N680" i="11" s="1"/>
  <c r="Y678" i="11"/>
  <c r="AA678" i="11" s="1"/>
  <c r="N678" i="11"/>
  <c r="J678" i="11"/>
  <c r="AA676" i="11"/>
  <c r="Y676" i="11"/>
  <c r="J676" i="11"/>
  <c r="N676" i="11" s="1"/>
  <c r="Y674" i="11"/>
  <c r="AA674" i="11" s="1"/>
  <c r="J674" i="11"/>
  <c r="N674" i="11" s="1"/>
  <c r="Y672" i="11"/>
  <c r="J672" i="11"/>
  <c r="N672" i="11" s="1"/>
  <c r="Y670" i="11"/>
  <c r="AA670" i="11" s="1"/>
  <c r="J670" i="11"/>
  <c r="N670" i="11" s="1"/>
  <c r="Y668" i="11"/>
  <c r="AA668" i="11" s="1"/>
  <c r="J668" i="11"/>
  <c r="N668" i="11" s="1"/>
  <c r="Y666" i="11"/>
  <c r="AA666" i="11" s="1"/>
  <c r="J666" i="11"/>
  <c r="N666" i="11" s="1"/>
  <c r="AA30" i="4"/>
  <c r="N30" i="4"/>
  <c r="AA664" i="11"/>
  <c r="Y664" i="11"/>
  <c r="N664" i="11"/>
  <c r="Y662" i="11"/>
  <c r="AA662" i="11" s="1"/>
  <c r="N662" i="11"/>
  <c r="Y660" i="11"/>
  <c r="AA660" i="11" s="1"/>
  <c r="N660" i="11"/>
  <c r="Y658" i="11"/>
  <c r="AA658" i="11" s="1"/>
  <c r="N658" i="11"/>
  <c r="Y656" i="11"/>
  <c r="AA656" i="11" s="1"/>
  <c r="N656" i="11"/>
  <c r="Y654" i="11"/>
  <c r="AA654" i="11" s="1"/>
  <c r="N654" i="11"/>
  <c r="Y652" i="11"/>
  <c r="AA652" i="11" s="1"/>
  <c r="J652" i="11"/>
  <c r="N652" i="11" s="1"/>
  <c r="AA650" i="11"/>
  <c r="Y650" i="11"/>
  <c r="J650" i="11"/>
  <c r="N650" i="11" s="1"/>
  <c r="Y648" i="11"/>
  <c r="AA648" i="11" s="1"/>
  <c r="N648" i="11"/>
  <c r="AA646" i="11"/>
  <c r="Y646" i="11"/>
  <c r="N646" i="11"/>
  <c r="Y644" i="11"/>
  <c r="AA644" i="11" s="1"/>
  <c r="N644" i="11"/>
  <c r="Y642" i="11"/>
  <c r="AA642" i="11" s="1"/>
  <c r="N642" i="11"/>
  <c r="AA640" i="11"/>
  <c r="Y640" i="11"/>
  <c r="N640" i="11"/>
  <c r="AA638" i="11"/>
  <c r="Y638" i="11"/>
  <c r="N638" i="11"/>
  <c r="Y636" i="11"/>
  <c r="AA636" i="11" s="1"/>
  <c r="N636" i="11"/>
  <c r="Y634" i="11"/>
  <c r="AA634" i="11" s="1"/>
  <c r="N634" i="11"/>
  <c r="AA632" i="11"/>
  <c r="Y632" i="11"/>
  <c r="N632" i="11"/>
  <c r="AA630" i="11"/>
  <c r="Y630" i="11"/>
  <c r="N630" i="11"/>
  <c r="Y628" i="11"/>
  <c r="AA628" i="11" s="1"/>
  <c r="N628" i="11"/>
  <c r="Y626" i="11"/>
  <c r="AA626" i="11" s="1"/>
  <c r="N626" i="11"/>
  <c r="Y624" i="11"/>
  <c r="AA624" i="11" s="1"/>
  <c r="N624" i="11"/>
  <c r="AA622" i="11"/>
  <c r="Y622" i="11"/>
  <c r="N622" i="11"/>
  <c r="Y620" i="11"/>
  <c r="AA620" i="11" s="1"/>
  <c r="N620" i="11"/>
  <c r="AA618" i="11"/>
  <c r="Y618" i="11"/>
  <c r="N618" i="11"/>
  <c r="AA616" i="11"/>
  <c r="Y616" i="11"/>
  <c r="N616" i="11"/>
  <c r="Y614" i="11"/>
  <c r="AA614" i="11" s="1"/>
  <c r="N614" i="11"/>
  <c r="Y612" i="11"/>
  <c r="AA612" i="11" s="1"/>
  <c r="N612" i="11"/>
  <c r="AA610" i="11"/>
  <c r="Y610" i="11"/>
  <c r="N610" i="11"/>
  <c r="Y608" i="11"/>
  <c r="AA608" i="11" s="1"/>
  <c r="N608" i="11"/>
  <c r="Y606" i="11"/>
  <c r="AA606" i="11" s="1"/>
  <c r="N606" i="11"/>
  <c r="Y604" i="11"/>
  <c r="AA604" i="11" s="1"/>
  <c r="N604" i="11"/>
  <c r="AA602" i="11"/>
  <c r="Y602" i="11"/>
  <c r="N602" i="11"/>
  <c r="Y600" i="11"/>
  <c r="AA600" i="11" s="1"/>
  <c r="N600" i="11"/>
  <c r="Y598" i="11"/>
  <c r="AA598" i="11" s="1"/>
  <c r="N598" i="11"/>
  <c r="Y596" i="11"/>
  <c r="AA596" i="11" s="1"/>
  <c r="N596" i="11"/>
  <c r="Y28" i="4"/>
  <c r="AA28" i="4" s="1"/>
  <c r="N28" i="4"/>
  <c r="AA594" i="11"/>
  <c r="Y594" i="11"/>
  <c r="N594" i="11"/>
  <c r="Y592" i="11"/>
  <c r="AA592" i="11" s="1"/>
  <c r="N592" i="11"/>
  <c r="AA590" i="11"/>
  <c r="Y590" i="11"/>
  <c r="N590" i="11"/>
  <c r="Y588" i="11"/>
  <c r="AA588" i="11" s="1"/>
  <c r="N588" i="11"/>
  <c r="AA586" i="11"/>
  <c r="Y586" i="11"/>
  <c r="N586" i="11"/>
  <c r="AA584" i="11"/>
  <c r="Y584" i="11"/>
  <c r="N584" i="11"/>
  <c r="Y582" i="11"/>
  <c r="AA582" i="11" s="1"/>
  <c r="N582" i="11"/>
  <c r="Y580" i="11"/>
  <c r="AA580" i="11" s="1"/>
  <c r="N580" i="11"/>
  <c r="AA578" i="11"/>
  <c r="Y578" i="11"/>
  <c r="N578" i="11"/>
  <c r="Y576" i="11"/>
  <c r="AA576" i="11" s="1"/>
  <c r="N576" i="11"/>
  <c r="X26" i="4"/>
  <c r="AA26" i="4" s="1"/>
  <c r="N26" i="4"/>
  <c r="AA574" i="11"/>
  <c r="Y574" i="11"/>
  <c r="N574" i="11"/>
  <c r="AA572" i="11"/>
  <c r="Y572" i="11"/>
  <c r="N572" i="11"/>
  <c r="Y570" i="11"/>
  <c r="AA570" i="11" s="1"/>
  <c r="N570" i="11"/>
  <c r="Y568" i="11"/>
  <c r="AA568" i="11" s="1"/>
  <c r="N568" i="11"/>
  <c r="Y566" i="11"/>
  <c r="AA566" i="11" s="1"/>
  <c r="N566" i="11"/>
  <c r="Y564" i="11"/>
  <c r="AA564" i="11" s="1"/>
  <c r="N564" i="11"/>
  <c r="Y562" i="11"/>
  <c r="AA562" i="11" s="1"/>
  <c r="N562" i="11"/>
  <c r="Y560" i="11"/>
  <c r="AA560" i="11" s="1"/>
  <c r="N560" i="11"/>
  <c r="Y558" i="11"/>
  <c r="AA558" i="11" s="1"/>
  <c r="N558" i="11"/>
  <c r="AA556" i="11"/>
  <c r="Y556" i="11"/>
  <c r="N556" i="11"/>
  <c r="AA554" i="11"/>
  <c r="Y554" i="11"/>
  <c r="N554" i="11"/>
  <c r="Y552" i="11"/>
  <c r="AA552" i="11" s="1"/>
  <c r="N552" i="11"/>
  <c r="Y550" i="11"/>
  <c r="AA550" i="11" s="1"/>
  <c r="N550" i="11"/>
  <c r="AA24" i="4"/>
  <c r="N24" i="4"/>
  <c r="Y548" i="11"/>
  <c r="AA548" i="11" s="1"/>
  <c r="N548" i="11"/>
  <c r="Y546" i="11"/>
  <c r="AA546" i="11" s="1"/>
  <c r="N546" i="11"/>
  <c r="Y544" i="11"/>
  <c r="AA544" i="11" s="1"/>
  <c r="N544" i="11"/>
  <c r="Y542" i="11"/>
  <c r="AA542" i="11" s="1"/>
  <c r="N542" i="11"/>
  <c r="Y540" i="11"/>
  <c r="AA540" i="11" s="1"/>
  <c r="N540" i="11"/>
  <c r="Y538" i="11"/>
  <c r="AA538" i="11" s="1"/>
  <c r="N538" i="11"/>
  <c r="Y536" i="11"/>
  <c r="AA536" i="11" s="1"/>
  <c r="N536" i="11"/>
  <c r="AA534" i="11"/>
  <c r="Y534" i="11"/>
  <c r="N534" i="11"/>
  <c r="Y532" i="11"/>
  <c r="AA532" i="11" s="1"/>
  <c r="N532" i="11"/>
  <c r="Y530" i="11"/>
  <c r="AA530" i="11" s="1"/>
  <c r="N530" i="11"/>
  <c r="Y528" i="11"/>
  <c r="AA528" i="11" s="1"/>
  <c r="N528" i="11"/>
  <c r="Y526" i="11"/>
  <c r="AA526" i="11" s="1"/>
  <c r="N526" i="11"/>
  <c r="AA524" i="11"/>
  <c r="Y524" i="11"/>
  <c r="N524" i="11"/>
  <c r="AA522" i="11"/>
  <c r="Y522" i="11"/>
  <c r="N522" i="11"/>
  <c r="AA520" i="11"/>
  <c r="Y520" i="11"/>
  <c r="N520" i="11"/>
  <c r="AA518" i="11"/>
  <c r="Y518" i="11"/>
  <c r="N518" i="11"/>
  <c r="Y516" i="11"/>
  <c r="AA516" i="11" s="1"/>
  <c r="N516" i="11"/>
  <c r="Y514" i="11"/>
  <c r="AA514" i="11" s="1"/>
  <c r="N514" i="11"/>
  <c r="Y512" i="11"/>
  <c r="AA512" i="11" s="1"/>
  <c r="N512" i="11"/>
  <c r="Y510" i="11"/>
  <c r="AA510" i="11" s="1"/>
  <c r="N510" i="11"/>
  <c r="AA508" i="11"/>
  <c r="Y508" i="11"/>
  <c r="N508" i="11"/>
  <c r="Y506" i="11"/>
  <c r="AA506" i="11" s="1"/>
  <c r="N506" i="11"/>
  <c r="Y504" i="11"/>
  <c r="AA504" i="11" s="1"/>
  <c r="N504" i="11"/>
  <c r="Y502" i="11"/>
  <c r="AA502" i="11" s="1"/>
  <c r="N502" i="11"/>
  <c r="AA22" i="4"/>
  <c r="N22" i="4"/>
  <c r="Y500" i="11"/>
  <c r="AA500" i="11" s="1"/>
  <c r="N500" i="11"/>
  <c r="AA498" i="11"/>
  <c r="Y498" i="11"/>
  <c r="N498" i="11"/>
  <c r="AA496" i="11"/>
  <c r="Y496" i="11"/>
  <c r="N496" i="11"/>
  <c r="Y494" i="11"/>
  <c r="AA494" i="11" s="1"/>
  <c r="N494" i="11"/>
  <c r="Y492" i="11"/>
  <c r="AA492" i="11" s="1"/>
  <c r="N492" i="11"/>
  <c r="Y490" i="11"/>
  <c r="AA490" i="11" s="1"/>
  <c r="N490" i="11"/>
  <c r="Y488" i="11"/>
  <c r="AA488" i="11" s="1"/>
  <c r="N488" i="11"/>
  <c r="Y486" i="11"/>
  <c r="AA486" i="11" s="1"/>
  <c r="N486" i="11"/>
  <c r="AA20" i="4"/>
  <c r="Y20" i="4"/>
  <c r="N20" i="4"/>
  <c r="Y484" i="11"/>
  <c r="AA484" i="11" s="1"/>
  <c r="N484" i="11"/>
  <c r="AA482" i="11"/>
  <c r="Y482" i="11"/>
  <c r="N482" i="11"/>
  <c r="Y480" i="11"/>
  <c r="AA480" i="11" s="1"/>
  <c r="N480" i="11"/>
  <c r="AA478" i="11"/>
  <c r="Y478" i="11"/>
  <c r="N478" i="11"/>
  <c r="Y476" i="11"/>
  <c r="AA476" i="11" s="1"/>
  <c r="N476" i="11"/>
  <c r="AA474" i="11"/>
  <c r="Y474" i="11"/>
  <c r="N474" i="11"/>
  <c r="Y472" i="11"/>
  <c r="AA472" i="11" s="1"/>
  <c r="N472" i="11"/>
  <c r="Y470" i="11"/>
  <c r="AA470" i="11" s="1"/>
  <c r="N470" i="11"/>
  <c r="Y468" i="11"/>
  <c r="AA468" i="11" s="1"/>
  <c r="N468" i="11"/>
  <c r="Y466" i="11"/>
  <c r="AA466" i="11" s="1"/>
  <c r="N466" i="11"/>
  <c r="Y464" i="11"/>
  <c r="AA464" i="11" s="1"/>
  <c r="N464" i="11"/>
  <c r="Y462" i="11"/>
  <c r="AA462" i="11" s="1"/>
  <c r="N462" i="11"/>
  <c r="AA460" i="11"/>
  <c r="Y460" i="11"/>
  <c r="N460" i="11"/>
  <c r="Y458" i="11"/>
  <c r="AA458" i="11" s="1"/>
  <c r="N458" i="11"/>
  <c r="Y456" i="11"/>
  <c r="AA456" i="11" s="1"/>
  <c r="N456" i="11"/>
  <c r="Y454" i="11"/>
  <c r="AA454" i="11" s="1"/>
  <c r="N454" i="11"/>
  <c r="Y452" i="11"/>
  <c r="AA452" i="11" s="1"/>
  <c r="N452" i="11"/>
  <c r="Y450" i="11"/>
  <c r="AA450" i="11" s="1"/>
  <c r="N450" i="11"/>
  <c r="Y448" i="11"/>
  <c r="AA448" i="11" s="1"/>
  <c r="N448" i="11"/>
  <c r="Y446" i="11"/>
  <c r="AA446" i="11" s="1"/>
  <c r="N446" i="11"/>
  <c r="AA444" i="11"/>
  <c r="Y444" i="11"/>
  <c r="N444" i="11"/>
  <c r="Y442" i="11"/>
  <c r="AA442" i="11" s="1"/>
  <c r="N442" i="11"/>
  <c r="AA440" i="11"/>
  <c r="Y440" i="11"/>
  <c r="N440" i="11"/>
  <c r="AA438" i="11"/>
  <c r="Y438" i="11"/>
  <c r="N438" i="11"/>
  <c r="AA436" i="11"/>
  <c r="Y436" i="11"/>
  <c r="N436" i="11"/>
  <c r="Y434" i="11"/>
  <c r="AA434" i="11" s="1"/>
  <c r="N434" i="11"/>
  <c r="Y432" i="11"/>
  <c r="AA432" i="11" s="1"/>
  <c r="N432" i="11"/>
  <c r="AA430" i="11"/>
  <c r="Y430" i="11"/>
  <c r="N430" i="11"/>
  <c r="Y428" i="11"/>
  <c r="AA428" i="11" s="1"/>
  <c r="N428" i="11"/>
  <c r="Y426" i="11"/>
  <c r="AA426" i="11" s="1"/>
  <c r="N426" i="11"/>
  <c r="Y424" i="11"/>
  <c r="AA424" i="11" s="1"/>
  <c r="N424" i="11"/>
  <c r="Y422" i="11"/>
  <c r="AA422" i="11" s="1"/>
  <c r="N422" i="11"/>
  <c r="AA420" i="11"/>
  <c r="Y420" i="11"/>
  <c r="N420" i="11"/>
  <c r="AA18" i="4"/>
  <c r="N18" i="4"/>
  <c r="Y418" i="11"/>
  <c r="AA418" i="11" s="1"/>
  <c r="N418" i="11"/>
  <c r="AA416" i="11"/>
  <c r="Y416" i="11"/>
  <c r="N416" i="11"/>
  <c r="Y414" i="11"/>
  <c r="AA414" i="11" s="1"/>
  <c r="N414" i="11"/>
  <c r="AA412" i="11"/>
  <c r="Y412" i="11"/>
  <c r="N412" i="11"/>
  <c r="AA410" i="11"/>
  <c r="Y410" i="11"/>
  <c r="N410" i="11"/>
  <c r="Y408" i="11"/>
  <c r="AA408" i="11" s="1"/>
  <c r="N408" i="11"/>
  <c r="Y406" i="11"/>
  <c r="AA406" i="11" s="1"/>
  <c r="N406" i="11"/>
  <c r="Y404" i="11"/>
  <c r="AA404" i="11" s="1"/>
  <c r="N404" i="11"/>
  <c r="Y402" i="11"/>
  <c r="AA402" i="11" s="1"/>
  <c r="N402" i="11"/>
  <c r="Y400" i="11"/>
  <c r="AA400" i="11" s="1"/>
  <c r="N400" i="11"/>
  <c r="Y398" i="11"/>
  <c r="AA398" i="11" s="1"/>
  <c r="N398" i="11"/>
  <c r="Y396" i="11"/>
  <c r="AA396" i="11" s="1"/>
  <c r="N396" i="11"/>
  <c r="AA394" i="11"/>
  <c r="Y394" i="11"/>
  <c r="N394" i="11"/>
  <c r="Y392" i="11"/>
  <c r="AA392" i="11" s="1"/>
  <c r="N392" i="11"/>
  <c r="Y390" i="11"/>
  <c r="AA390" i="11" s="1"/>
  <c r="N390" i="11"/>
  <c r="Y388" i="11"/>
  <c r="AA388" i="11" s="1"/>
  <c r="N388" i="11"/>
  <c r="Y386" i="11"/>
  <c r="AA386" i="11" s="1"/>
  <c r="N386" i="11"/>
  <c r="Y384" i="11"/>
  <c r="AA384" i="11" s="1"/>
  <c r="N384" i="11"/>
  <c r="Y382" i="11"/>
  <c r="AA382" i="11" s="1"/>
  <c r="N382" i="11"/>
  <c r="Y380" i="11"/>
  <c r="AA380" i="11" s="1"/>
  <c r="N380" i="11"/>
  <c r="Y378" i="11"/>
  <c r="AA378" i="11" s="1"/>
  <c r="N378" i="11"/>
  <c r="Y376" i="11"/>
  <c r="AA376" i="11" s="1"/>
  <c r="N376" i="11"/>
  <c r="Y374" i="11"/>
  <c r="AA374" i="11" s="1"/>
  <c r="N374" i="11"/>
  <c r="Y372" i="11"/>
  <c r="AA372" i="11" s="1"/>
  <c r="N372" i="11"/>
  <c r="Y370" i="11"/>
  <c r="AA370" i="11" s="1"/>
  <c r="N370" i="11"/>
  <c r="Y368" i="11"/>
  <c r="AA368" i="11" s="1"/>
  <c r="N368" i="11"/>
  <c r="AA366" i="11"/>
  <c r="Y366" i="11"/>
  <c r="N366" i="11"/>
  <c r="AA364" i="11"/>
  <c r="Y364" i="11"/>
  <c r="N364" i="11"/>
  <c r="AA362" i="11"/>
  <c r="Y362" i="11"/>
  <c r="N362" i="11"/>
  <c r="Y360" i="11"/>
  <c r="AA360" i="11" s="1"/>
  <c r="N360" i="11"/>
  <c r="Y358" i="11"/>
  <c r="AA358" i="11" s="1"/>
  <c r="N358" i="11"/>
  <c r="Y356" i="11"/>
  <c r="AA356" i="11" s="1"/>
  <c r="N356" i="11"/>
  <c r="Y354" i="11"/>
  <c r="AA354" i="11" s="1"/>
  <c r="N354" i="11"/>
  <c r="Y352" i="11"/>
  <c r="AA352" i="11" s="1"/>
  <c r="N352" i="11"/>
  <c r="Y350" i="11"/>
  <c r="AA350" i="11" s="1"/>
  <c r="N350" i="11"/>
  <c r="AA348" i="11"/>
  <c r="Y348" i="11"/>
  <c r="N348" i="11"/>
  <c r="AA346" i="11"/>
  <c r="Y346" i="11"/>
  <c r="N346" i="11"/>
  <c r="AA344" i="11"/>
  <c r="Y344" i="11"/>
  <c r="N344" i="11"/>
  <c r="Y342" i="11"/>
  <c r="AA342" i="11" s="1"/>
  <c r="N342" i="11"/>
  <c r="AA340" i="11"/>
  <c r="Y340" i="11"/>
  <c r="N340" i="11"/>
  <c r="Y338" i="11"/>
  <c r="AA338" i="11" s="1"/>
  <c r="N338" i="11"/>
  <c r="AA336" i="11"/>
  <c r="Y336" i="11"/>
  <c r="N336" i="11"/>
  <c r="Y334" i="11"/>
  <c r="AA334" i="11" s="1"/>
  <c r="N334" i="11"/>
  <c r="Y332" i="11"/>
  <c r="AA332" i="11" s="1"/>
  <c r="N332" i="11"/>
  <c r="Y330" i="11"/>
  <c r="AA330" i="11" s="1"/>
  <c r="N330" i="11"/>
  <c r="Y328" i="11"/>
  <c r="AA328" i="11" s="1"/>
  <c r="N328" i="11"/>
  <c r="AA326" i="11"/>
  <c r="Y326" i="11"/>
  <c r="N326" i="11"/>
  <c r="AA324" i="11"/>
  <c r="Y324" i="11"/>
  <c r="N324" i="11"/>
  <c r="Y322" i="11"/>
  <c r="AA322" i="11" s="1"/>
  <c r="N322" i="11"/>
  <c r="Y320" i="11"/>
  <c r="AA320" i="11" s="1"/>
  <c r="N320" i="11"/>
  <c r="AA318" i="11"/>
  <c r="Y318" i="11"/>
  <c r="N318" i="11"/>
  <c r="AA316" i="11"/>
  <c r="Y316" i="11"/>
  <c r="N316" i="11"/>
  <c r="AA314" i="11"/>
  <c r="Y314" i="11"/>
  <c r="N314" i="11"/>
  <c r="Y312" i="11"/>
  <c r="AA312" i="11" s="1"/>
  <c r="N312" i="11"/>
  <c r="Y310" i="11"/>
  <c r="AA310" i="11" s="1"/>
  <c r="N310" i="11"/>
  <c r="AA308" i="11"/>
  <c r="Y308" i="11"/>
  <c r="N308" i="11"/>
  <c r="Y306" i="11"/>
  <c r="AA306" i="11" s="1"/>
  <c r="N306" i="11"/>
  <c r="AA304" i="11"/>
  <c r="Y304" i="11"/>
  <c r="M304" i="11"/>
  <c r="N304" i="11" s="1"/>
  <c r="Y302" i="11"/>
  <c r="AA302" i="11" s="1"/>
  <c r="N302" i="11"/>
  <c r="Y300" i="11"/>
  <c r="AA300" i="11" s="1"/>
  <c r="N300" i="11"/>
  <c r="Y298" i="11"/>
  <c r="AA298" i="11" s="1"/>
  <c r="N298" i="11"/>
  <c r="Y296" i="11"/>
  <c r="AA296" i="11" s="1"/>
  <c r="N296" i="11"/>
  <c r="AA294" i="11"/>
  <c r="Y294" i="11"/>
  <c r="N294" i="11"/>
  <c r="Y292" i="11"/>
  <c r="AA292" i="11" s="1"/>
  <c r="N292" i="11"/>
  <c r="Y290" i="11"/>
  <c r="AA290" i="11" s="1"/>
  <c r="N290" i="11"/>
  <c r="AA288" i="11"/>
  <c r="Y288" i="11"/>
  <c r="N288" i="11"/>
  <c r="AA286" i="11"/>
  <c r="Y286" i="11"/>
  <c r="N286" i="11"/>
  <c r="Y284" i="11"/>
  <c r="AA284" i="11" s="1"/>
  <c r="N284" i="11"/>
  <c r="Y282" i="11"/>
  <c r="AA282" i="11" s="1"/>
  <c r="N282" i="11"/>
  <c r="Y280" i="11"/>
  <c r="AA280" i="11" s="1"/>
  <c r="N280" i="11"/>
  <c r="Y278" i="11"/>
  <c r="AA278" i="11" s="1"/>
  <c r="N278" i="11"/>
  <c r="Y276" i="11"/>
  <c r="AA276" i="11" s="1"/>
  <c r="N276" i="11"/>
  <c r="AA274" i="11"/>
  <c r="Y274" i="11"/>
  <c r="N274" i="11"/>
  <c r="AA272" i="11"/>
  <c r="Y272" i="11"/>
  <c r="N272" i="11"/>
  <c r="Y270" i="11"/>
  <c r="AA270" i="11" s="1"/>
  <c r="N270" i="11"/>
  <c r="Y268" i="11"/>
  <c r="AA268" i="11" s="1"/>
  <c r="N268" i="11"/>
  <c r="Y266" i="11"/>
  <c r="AA266" i="11" s="1"/>
  <c r="N266" i="11"/>
  <c r="Y264" i="11"/>
  <c r="AA264" i="11" s="1"/>
  <c r="N264" i="11"/>
  <c r="Y262" i="11"/>
  <c r="AA262" i="11" s="1"/>
  <c r="N262" i="11"/>
  <c r="Y260" i="11"/>
  <c r="AA260" i="11" s="1"/>
  <c r="N260" i="11"/>
  <c r="Y258" i="11"/>
  <c r="AA258" i="11" s="1"/>
  <c r="N258" i="11"/>
  <c r="Y256" i="11"/>
  <c r="AA256" i="11" s="1"/>
  <c r="N256" i="11"/>
  <c r="Y254" i="11"/>
  <c r="AA254" i="11" s="1"/>
  <c r="M254" i="11"/>
  <c r="N254" i="11" s="1"/>
  <c r="Y252" i="11"/>
  <c r="AA252" i="11" s="1"/>
  <c r="N252" i="11"/>
  <c r="AA250" i="11"/>
  <c r="Y250" i="11"/>
  <c r="N250" i="11"/>
  <c r="AA248" i="11"/>
  <c r="Y248" i="11"/>
  <c r="N248" i="11"/>
  <c r="Y246" i="11"/>
  <c r="AA246" i="11" s="1"/>
  <c r="N246" i="11"/>
  <c r="AA244" i="11"/>
  <c r="Y244" i="11"/>
  <c r="N244" i="11"/>
  <c r="Y242" i="11"/>
  <c r="AA242" i="11" s="1"/>
  <c r="N242" i="11"/>
  <c r="Y240" i="11"/>
  <c r="AA240" i="11" s="1"/>
  <c r="N240" i="11"/>
  <c r="Y238" i="11"/>
  <c r="AA238" i="11" s="1"/>
  <c r="N238" i="11"/>
  <c r="AA236" i="11"/>
  <c r="Y236" i="11"/>
  <c r="N236" i="11"/>
  <c r="Y234" i="11"/>
  <c r="AA234" i="11" s="1"/>
  <c r="N234" i="11"/>
  <c r="Y232" i="11"/>
  <c r="AA232" i="11" s="1"/>
  <c r="N232" i="11"/>
  <c r="Y230" i="11"/>
  <c r="AA230" i="11" s="1"/>
  <c r="N230" i="11"/>
  <c r="M230" i="11"/>
  <c r="AA228" i="11"/>
  <c r="Y228" i="11"/>
  <c r="N228" i="11"/>
  <c r="Y226" i="11"/>
  <c r="AA226" i="11" s="1"/>
  <c r="N226" i="11"/>
  <c r="AA224" i="11"/>
  <c r="Y224" i="11"/>
  <c r="M224" i="11"/>
  <c r="N224" i="11" s="1"/>
  <c r="AA222" i="11"/>
  <c r="Y222" i="11"/>
  <c r="N222" i="11"/>
  <c r="Y220" i="11"/>
  <c r="AA220" i="11" s="1"/>
  <c r="N220" i="11"/>
  <c r="Y218" i="11"/>
  <c r="AA218" i="11" s="1"/>
  <c r="N218" i="11"/>
  <c r="AA216" i="11"/>
  <c r="Y216" i="11"/>
  <c r="N216" i="11"/>
  <c r="AA214" i="11"/>
  <c r="Y214" i="11"/>
  <c r="N214" i="11"/>
  <c r="Y212" i="11"/>
  <c r="AA212" i="11" s="1"/>
  <c r="N212" i="11"/>
  <c r="Y210" i="11"/>
  <c r="AA210" i="11" s="1"/>
  <c r="N210" i="11"/>
  <c r="Y208" i="11"/>
  <c r="AA208" i="11" s="1"/>
  <c r="N208" i="11"/>
  <c r="AA206" i="11"/>
  <c r="Y206" i="11"/>
  <c r="N206" i="11"/>
  <c r="Y204" i="11"/>
  <c r="AA204" i="11" s="1"/>
  <c r="N204" i="11"/>
  <c r="AA202" i="11"/>
  <c r="Y202" i="11"/>
  <c r="M202" i="11"/>
  <c r="N202" i="11" s="1"/>
  <c r="Y200" i="11"/>
  <c r="AA200" i="11" s="1"/>
  <c r="M200" i="11"/>
  <c r="N200" i="11" s="1"/>
  <c r="Y198" i="11"/>
  <c r="AA198" i="11" s="1"/>
  <c r="M198" i="11"/>
  <c r="N198" i="11" s="1"/>
  <c r="Y196" i="11"/>
  <c r="AA196" i="11" s="1"/>
  <c r="N196" i="11"/>
  <c r="M196" i="11"/>
  <c r="AA16" i="4"/>
  <c r="N16" i="4"/>
  <c r="AA194" i="11"/>
  <c r="Y194" i="11"/>
  <c r="N194" i="11"/>
  <c r="Y192" i="11"/>
  <c r="AA192" i="11" s="1"/>
  <c r="N192" i="11"/>
  <c r="AA190" i="11"/>
  <c r="Y190" i="11"/>
  <c r="N190" i="11"/>
  <c r="Y188" i="11"/>
  <c r="AA188" i="11" s="1"/>
  <c r="N188" i="11"/>
  <c r="Y186" i="11"/>
  <c r="AA186" i="11" s="1"/>
  <c r="N186" i="11"/>
  <c r="AA184" i="11"/>
  <c r="Y184" i="11"/>
  <c r="N184" i="11"/>
  <c r="AA182" i="11"/>
  <c r="Y182" i="11"/>
  <c r="N182" i="11"/>
  <c r="AA180" i="11"/>
  <c r="Y180" i="11"/>
  <c r="N180" i="11"/>
  <c r="Y178" i="11"/>
  <c r="AA178" i="11" s="1"/>
  <c r="N178" i="11"/>
  <c r="Y176" i="11"/>
  <c r="AA176" i="11" s="1"/>
  <c r="N176" i="11"/>
  <c r="Y174" i="11"/>
  <c r="AA174" i="11" s="1"/>
  <c r="N174" i="11"/>
  <c r="Y172" i="11"/>
  <c r="AA172" i="11" s="1"/>
  <c r="N172" i="11"/>
  <c r="AA170" i="11"/>
  <c r="Y170" i="11"/>
  <c r="N170" i="11"/>
  <c r="Y168" i="11"/>
  <c r="AA168" i="11" s="1"/>
  <c r="N168" i="11"/>
  <c r="Y166" i="11"/>
  <c r="AA166" i="11" s="1"/>
  <c r="N166" i="11"/>
  <c r="Y164" i="11"/>
  <c r="AA164" i="11" s="1"/>
  <c r="N164" i="11"/>
  <c r="Y162" i="11"/>
  <c r="AA162" i="11" s="1"/>
  <c r="N162" i="11"/>
  <c r="AA160" i="11"/>
  <c r="Y160" i="11"/>
  <c r="N160" i="11"/>
  <c r="Y158" i="11"/>
  <c r="AA158" i="11" s="1"/>
  <c r="N158" i="11"/>
  <c r="Y156" i="11"/>
  <c r="AA156" i="11" s="1"/>
  <c r="M156" i="11"/>
  <c r="N156" i="11" s="1"/>
  <c r="Y154" i="11"/>
  <c r="AA154" i="11" s="1"/>
  <c r="M154" i="11"/>
  <c r="N154" i="11" s="1"/>
  <c r="Y14" i="4"/>
  <c r="AA14" i="4" s="1"/>
  <c r="N14" i="4"/>
  <c r="Y152" i="11"/>
  <c r="AA152" i="11" s="1"/>
  <c r="N152" i="11"/>
  <c r="AA150" i="11"/>
  <c r="Y150" i="11"/>
  <c r="N150" i="11"/>
  <c r="Y148" i="11"/>
  <c r="AA148" i="11" s="1"/>
  <c r="N148" i="11"/>
  <c r="Y146" i="11"/>
  <c r="AA146" i="11" s="1"/>
  <c r="N146" i="11"/>
  <c r="Y12" i="4"/>
  <c r="AA12" i="4" s="1"/>
  <c r="N12" i="4"/>
  <c r="Y144" i="11"/>
  <c r="AA144" i="11" s="1"/>
  <c r="N144" i="11"/>
  <c r="Y142" i="11"/>
  <c r="AA142" i="11" s="1"/>
  <c r="N142" i="11"/>
  <c r="Y140" i="11"/>
  <c r="AA140" i="11" s="1"/>
  <c r="N140" i="11"/>
  <c r="Y138" i="11"/>
  <c r="AA138" i="11" s="1"/>
  <c r="N138" i="11"/>
  <c r="Y136" i="11"/>
  <c r="AA136" i="11" s="1"/>
  <c r="N136" i="11"/>
  <c r="Y134" i="11"/>
  <c r="AA134" i="11" s="1"/>
  <c r="N134" i="11"/>
  <c r="AA132" i="11"/>
  <c r="Y132" i="11"/>
  <c r="N132" i="11"/>
  <c r="Y130" i="11"/>
  <c r="AA130" i="11" s="1"/>
  <c r="N130" i="11"/>
  <c r="Y128" i="11"/>
  <c r="AA128" i="11" s="1"/>
  <c r="N128" i="11"/>
  <c r="AA126" i="11"/>
  <c r="Y126" i="11"/>
  <c r="N126" i="11"/>
  <c r="AA124" i="11"/>
  <c r="Y124" i="11"/>
  <c r="N124" i="11"/>
  <c r="Y122" i="11"/>
  <c r="AA122" i="11" s="1"/>
  <c r="N122" i="11"/>
  <c r="Y120" i="11"/>
  <c r="AA120" i="11" s="1"/>
  <c r="N120" i="11"/>
  <c r="AA118" i="11"/>
  <c r="Y118" i="11"/>
  <c r="N118" i="11"/>
  <c r="Y116" i="11"/>
  <c r="AA116" i="11" s="1"/>
  <c r="N116" i="11"/>
  <c r="Y114" i="11"/>
  <c r="AA114" i="11" s="1"/>
  <c r="N114" i="11"/>
  <c r="AA112" i="11"/>
  <c r="Y112" i="11"/>
  <c r="N112" i="11"/>
  <c r="Y110" i="11"/>
  <c r="AA110" i="11" s="1"/>
  <c r="N110" i="11"/>
  <c r="Y108" i="11"/>
  <c r="AA108" i="11" s="1"/>
  <c r="N108" i="11"/>
  <c r="Y106" i="11"/>
  <c r="AA106" i="11" s="1"/>
  <c r="N106" i="11"/>
  <c r="Y104" i="11"/>
  <c r="AA104" i="11" s="1"/>
  <c r="N104" i="11"/>
  <c r="Y102" i="11"/>
  <c r="AA102" i="11" s="1"/>
  <c r="N102" i="11"/>
  <c r="Y10" i="4"/>
  <c r="AA10" i="4" s="1"/>
  <c r="N10" i="4"/>
  <c r="Y100" i="11"/>
  <c r="AA100" i="11" s="1"/>
  <c r="N100" i="11"/>
  <c r="Y98" i="11"/>
  <c r="AA98" i="11" s="1"/>
  <c r="N98" i="11"/>
  <c r="AA96" i="11"/>
  <c r="Y96" i="11"/>
  <c r="N96" i="11"/>
  <c r="Y94" i="11"/>
  <c r="AA94" i="11" s="1"/>
  <c r="N94" i="11"/>
  <c r="AA92" i="11"/>
  <c r="Y92" i="11"/>
  <c r="N92" i="11"/>
  <c r="AA90" i="11"/>
  <c r="Y90" i="11"/>
  <c r="N90" i="11"/>
  <c r="Y88" i="11"/>
  <c r="AA88" i="11" s="1"/>
  <c r="N88" i="11"/>
  <c r="AA86" i="11"/>
  <c r="Y86" i="11"/>
  <c r="N86" i="11"/>
  <c r="Y84" i="11"/>
  <c r="AA84" i="11" s="1"/>
  <c r="N84" i="11"/>
  <c r="AA82" i="11"/>
  <c r="Y82" i="11"/>
  <c r="N82" i="11"/>
  <c r="AA80" i="11"/>
  <c r="Y80" i="11"/>
  <c r="N80" i="11"/>
  <c r="Y78" i="11"/>
  <c r="AA78" i="11" s="1"/>
  <c r="N78" i="11"/>
  <c r="Y76" i="11"/>
  <c r="AA76" i="11" s="1"/>
  <c r="N76" i="11"/>
  <c r="Y74" i="11"/>
  <c r="AA74" i="11" s="1"/>
  <c r="N74" i="11"/>
  <c r="AA72" i="11"/>
  <c r="Y72" i="11"/>
  <c r="N72" i="11"/>
  <c r="Y70" i="11"/>
  <c r="AA70" i="11" s="1"/>
  <c r="N70" i="11"/>
  <c r="Y68" i="11"/>
  <c r="AA68" i="11" s="1"/>
  <c r="N68" i="11"/>
  <c r="Y66" i="11"/>
  <c r="AA66" i="11" s="1"/>
  <c r="N66" i="11"/>
  <c r="Y64" i="11"/>
  <c r="AA64" i="11" s="1"/>
  <c r="N64" i="11"/>
  <c r="Y62" i="11"/>
  <c r="AA62" i="11" s="1"/>
  <c r="N62" i="11"/>
  <c r="AA60" i="11"/>
  <c r="Y60" i="11"/>
  <c r="N60" i="11"/>
  <c r="Y58" i="11"/>
  <c r="AA58" i="11" s="1"/>
  <c r="N58" i="11"/>
  <c r="AA56" i="11"/>
  <c r="Y56" i="11"/>
  <c r="N56" i="11"/>
  <c r="AA54" i="11"/>
  <c r="Y54" i="11"/>
  <c r="N54" i="11"/>
  <c r="AA52" i="11"/>
  <c r="Y52" i="11"/>
  <c r="N52" i="11"/>
  <c r="Y50" i="11"/>
  <c r="AA50" i="11" s="1"/>
  <c r="N50" i="11"/>
  <c r="Y48" i="11"/>
  <c r="AA48" i="11" s="1"/>
  <c r="N48" i="11"/>
  <c r="Y46" i="11"/>
  <c r="AA46" i="11" s="1"/>
  <c r="N46" i="11"/>
  <c r="Y44" i="11"/>
  <c r="AA44" i="11" s="1"/>
  <c r="N44" i="11"/>
  <c r="Y42" i="11"/>
  <c r="AA42" i="11" s="1"/>
  <c r="Y40" i="11"/>
  <c r="AA40" i="11" s="1"/>
  <c r="N40" i="11"/>
  <c r="AA38" i="11"/>
  <c r="Y38" i="11"/>
  <c r="Y36" i="11"/>
  <c r="AA36" i="11" s="1"/>
  <c r="N36" i="11"/>
  <c r="Y34" i="11"/>
  <c r="AA34" i="11" s="1"/>
  <c r="Y32" i="11"/>
  <c r="AA32" i="11" s="1"/>
  <c r="N32" i="11"/>
  <c r="Y30" i="11"/>
  <c r="AA30" i="11" s="1"/>
  <c r="N30" i="11"/>
  <c r="Y28" i="11"/>
  <c r="AA28" i="11" s="1"/>
  <c r="Y26" i="11"/>
  <c r="AA26" i="11" s="1"/>
  <c r="AA24" i="11"/>
  <c r="Y24" i="11"/>
  <c r="N24" i="11"/>
  <c r="Y22" i="11"/>
  <c r="AA22" i="11" s="1"/>
  <c r="AA20" i="11"/>
  <c r="Y20" i="11"/>
  <c r="AA18" i="11"/>
  <c r="Y18" i="11"/>
  <c r="Y16" i="11"/>
  <c r="AA16" i="11" s="1"/>
  <c r="Y14" i="11"/>
  <c r="AA14" i="11" s="1"/>
  <c r="Y12" i="11"/>
  <c r="AA12" i="11" s="1"/>
  <c r="Y10" i="11"/>
  <c r="AA10" i="11" s="1"/>
  <c r="J440" i="4" l="1"/>
  <c r="N440" i="4" s="1"/>
  <c r="J12" i="10"/>
  <c r="N12" i="10" s="1"/>
  <c r="N384" i="4"/>
  <c r="J384" i="4"/>
  <c r="J382" i="4"/>
  <c r="N382" i="4" s="1"/>
  <c r="J366" i="4"/>
  <c r="N366" i="4" s="1"/>
  <c r="N286" i="4"/>
  <c r="J286" i="4"/>
  <c r="J228" i="4"/>
  <c r="N228" i="4" s="1"/>
  <c r="J200" i="4"/>
  <c r="N200" i="4" s="1"/>
  <c r="J198" i="4"/>
  <c r="N198" i="4" s="1"/>
  <c r="J176" i="4"/>
  <c r="N176" i="4" s="1"/>
  <c r="N136" i="4"/>
  <c r="J136" i="4"/>
  <c r="J132" i="4"/>
  <c r="N132" i="4" s="1"/>
  <c r="J116" i="4"/>
  <c r="N116" i="4" s="1"/>
  <c r="N84" i="4"/>
  <c r="N904" i="11"/>
  <c r="J904" i="11"/>
  <c r="J46" i="4"/>
  <c r="N46" i="4" s="1"/>
  <c r="N720" i="11"/>
  <c r="J7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瀧井良介</author>
  </authors>
  <commentList>
    <comment ref="A10" authorId="0" shapeId="0" xr:uid="{ED35FDA9-4749-4771-9B44-8FD378BACA2D}">
      <text>
        <r>
          <rPr>
            <sz val="9"/>
            <color indexed="81"/>
            <rFont val="MS P ゴシック"/>
            <family val="3"/>
            <charset val="128"/>
          </rPr>
          <t>17-9168 18-2118 19-108 20-081 21-068 22-062 23-058 24-054 25-050 26-048</t>
        </r>
      </text>
    </comment>
    <comment ref="A12" authorId="0" shapeId="0" xr:uid="{59E9A395-DF30-4416-81A2-C681A97494A0}">
      <text>
        <r>
          <rPr>
            <sz val="9"/>
            <color indexed="81"/>
            <rFont val="MS P ゴシック"/>
            <family val="3"/>
            <charset val="128"/>
          </rPr>
          <t>19-3564 20-258 21-141 22-112 23-096 24-079 25-074 26-071</t>
        </r>
      </text>
    </comment>
    <comment ref="A14" authorId="0" shapeId="0" xr:uid="{4F4EBD3D-6FF1-4947-A325-47F8B6EEF4BE}">
      <text>
        <r>
          <rPr>
            <sz val="9"/>
            <color indexed="81"/>
            <rFont val="MS P ゴシック"/>
            <family val="3"/>
            <charset val="128"/>
          </rPr>
          <t>20-1008 21-175 22-128 23-107 24-084 25-079 26-076</t>
        </r>
      </text>
    </comment>
    <comment ref="A16" authorId="0" shapeId="0" xr:uid="{0F1B06F0-B39C-464D-8FAD-B616A7F4FB11}">
      <text>
        <r>
          <rPr>
            <sz val="9"/>
            <color indexed="81"/>
            <rFont val="MS P ゴシック"/>
            <family val="3"/>
            <charset val="128"/>
          </rPr>
          <t>K20-237 D21-014 D22-012 23-143 24-109 25-103 26-100</t>
        </r>
      </text>
    </comment>
    <comment ref="A18" authorId="0" shapeId="0" xr:uid="{0852ACAC-CD9C-45DE-B3D5-AC35C3A88372}">
      <text>
        <r>
          <rPr>
            <sz val="9"/>
            <color indexed="81"/>
            <rFont val="MS P ゴシック"/>
            <family val="3"/>
            <charset val="128"/>
          </rPr>
          <t xml:space="preserve"> 23-1282 24-295 25-240 26-223</t>
        </r>
      </text>
    </comment>
    <comment ref="A20" authorId="0" shapeId="0" xr:uid="{E0264CD4-0282-4C11-80DF-9E06196CB123}">
      <text>
        <r>
          <rPr>
            <sz val="9"/>
            <color indexed="81"/>
            <rFont val="MS P ゴシック"/>
            <family val="3"/>
            <charset val="128"/>
          </rPr>
          <t xml:space="preserve"> 23-3011 24-378 25-286 26-261</t>
        </r>
      </text>
    </comment>
    <comment ref="A22" authorId="0" shapeId="0" xr:uid="{20B96E18-839C-4592-B23B-C9A1065412F2}">
      <text>
        <r>
          <rPr>
            <sz val="9"/>
            <color indexed="81"/>
            <rFont val="MS P ゴシック"/>
            <family val="3"/>
            <charset val="128"/>
          </rPr>
          <t xml:space="preserve"> 23-3657 24-406 25-298 26-271</t>
        </r>
      </text>
    </comment>
    <comment ref="A24" authorId="0" shapeId="0" xr:uid="{48B7E59E-65A7-4DE9-8C65-F9B04530B478}">
      <text>
        <r>
          <rPr>
            <sz val="9"/>
            <color indexed="81"/>
            <rFont val="MS P ゴシック"/>
            <family val="3"/>
            <charset val="128"/>
          </rPr>
          <t xml:space="preserve"> 24-1298 25-358 26-302</t>
        </r>
      </text>
    </comment>
    <comment ref="A26" authorId="0" shapeId="0" xr:uid="{8710E0C5-2955-456D-94CF-61A6279282DA}">
      <text>
        <r>
          <rPr>
            <sz val="9"/>
            <color indexed="81"/>
            <rFont val="MS P ゴシック"/>
            <family val="3"/>
            <charset val="128"/>
          </rPr>
          <t xml:space="preserve"> 24-1978 25-385 26-316</t>
        </r>
      </text>
    </comment>
    <comment ref="A28" authorId="0" shapeId="0" xr:uid="{3BB670C5-F013-4DC8-AAF6-E1EB38966AEC}">
      <text>
        <r>
          <rPr>
            <sz val="9"/>
            <color indexed="81"/>
            <rFont val="MS P ゴシック"/>
            <family val="3"/>
            <charset val="128"/>
          </rPr>
          <t xml:space="preserve"> 24-2881 25-407 26-332</t>
        </r>
      </text>
    </comment>
    <comment ref="A30" authorId="0" shapeId="0" xr:uid="{79A98EF1-025B-4141-8453-358E2BA32CFB}">
      <text>
        <r>
          <rPr>
            <sz val="9"/>
            <color indexed="81"/>
            <rFont val="MS P ゴシック"/>
            <family val="3"/>
            <charset val="128"/>
          </rPr>
          <t xml:space="preserve"> 25-2338 26-375</t>
        </r>
      </text>
    </comment>
    <comment ref="A32" authorId="0" shapeId="0" xr:uid="{2F80B621-73CE-4724-BCC5-01D928C4ED84}">
      <text>
        <r>
          <rPr>
            <sz val="9"/>
            <color indexed="81"/>
            <rFont val="MS P ゴシック"/>
            <family val="3"/>
            <charset val="128"/>
          </rPr>
          <t xml:space="preserve"> 25-4493 26-422</t>
        </r>
      </text>
    </comment>
    <comment ref="A34" authorId="0" shapeId="0" xr:uid="{F7FCA6F9-6390-472A-B32D-87909BC7B846}">
      <text>
        <r>
          <rPr>
            <sz val="9"/>
            <color indexed="81"/>
            <rFont val="MS P ゴシック"/>
            <family val="3"/>
            <charset val="128"/>
          </rPr>
          <t xml:space="preserve"> 25-4514 26-423</t>
        </r>
      </text>
    </comment>
    <comment ref="A36" authorId="0" shapeId="0" xr:uid="{142C20FA-A441-437B-B495-10DB93491855}">
      <text>
        <r>
          <rPr>
            <sz val="9"/>
            <color indexed="81"/>
            <rFont val="MS P ゴシック"/>
            <family val="3"/>
            <charset val="128"/>
          </rPr>
          <t xml:space="preserve"> 25-4768 26-430</t>
        </r>
      </text>
    </comment>
    <comment ref="A38" authorId="0" shapeId="0" xr:uid="{D7D81DE1-525D-449B-AC91-B7C3F0AD6289}">
      <text>
        <r>
          <rPr>
            <sz val="9"/>
            <color indexed="81"/>
            <rFont val="MS P ゴシック"/>
            <family val="3"/>
            <charset val="128"/>
          </rPr>
          <t xml:space="preserve"> 25-5074 26-442</t>
        </r>
      </text>
    </comment>
    <comment ref="A40" authorId="0" shapeId="0" xr:uid="{C863C43A-218A-465A-A8AF-9AA13EB3F94E}">
      <text>
        <r>
          <rPr>
            <sz val="9"/>
            <color indexed="81"/>
            <rFont val="MS P ゴシック"/>
            <family val="3"/>
            <charset val="128"/>
          </rPr>
          <t xml:space="preserve"> 25-5692 26-488</t>
        </r>
      </text>
    </comment>
    <comment ref="A42" authorId="0" shapeId="0" xr:uid="{5DDC3343-61C5-48AE-9C74-CCD9499B8F91}">
      <text>
        <r>
          <rPr>
            <sz val="9"/>
            <color indexed="81"/>
            <rFont val="MS P ゴシック"/>
            <family val="3"/>
            <charset val="128"/>
          </rPr>
          <t xml:space="preserve"> 25-5846 26-500</t>
        </r>
      </text>
    </comment>
    <comment ref="A44" authorId="0" shapeId="0" xr:uid="{7914E98B-67CF-414D-8417-C3B89793CAE4}">
      <text>
        <r>
          <rPr>
            <sz val="9"/>
            <color indexed="81"/>
            <rFont val="MS P ゴシック"/>
            <family val="3"/>
            <charset val="128"/>
          </rPr>
          <t xml:space="preserve"> 25-5999 26-517</t>
        </r>
      </text>
    </comment>
    <comment ref="A46" authorId="0" shapeId="0" xr:uid="{FFE0C82C-031C-4CB3-9256-CA0128DA58EE}">
      <text>
        <r>
          <rPr>
            <sz val="9"/>
            <color indexed="81"/>
            <rFont val="MS P ゴシック"/>
            <family val="3"/>
            <charset val="128"/>
          </rPr>
          <t xml:space="preserve"> 25-6069 26-530</t>
        </r>
      </text>
    </comment>
    <comment ref="A48" authorId="0" shapeId="0" xr:uid="{CAB54403-2BA5-4752-B0E2-11260C8B97C7}">
      <text>
        <r>
          <rPr>
            <sz val="9"/>
            <color indexed="81"/>
            <rFont val="MS P ゴシック"/>
            <family val="3"/>
            <charset val="128"/>
          </rPr>
          <t xml:space="preserve"> 25-6360 26-606</t>
        </r>
      </text>
    </comment>
    <comment ref="A50" authorId="0" shapeId="0" xr:uid="{C942EF72-58B7-4685-AF0F-F70C9C1AF33A}">
      <text>
        <r>
          <rPr>
            <sz val="9"/>
            <color indexed="81"/>
            <rFont val="MS P ゴシック"/>
            <family val="3"/>
            <charset val="128"/>
          </rPr>
          <t xml:space="preserve"> 25-6364 26-609</t>
        </r>
      </text>
    </comment>
    <comment ref="A52" authorId="0" shapeId="0" xr:uid="{A1654D89-E7D2-435E-AD59-C89AD7A5E176}">
      <text>
        <r>
          <rPr>
            <sz val="9"/>
            <color indexed="81"/>
            <rFont val="MS P ゴシック"/>
            <family val="3"/>
            <charset val="128"/>
          </rPr>
          <t xml:space="preserve"> 25-6426 26-630</t>
        </r>
      </text>
    </comment>
    <comment ref="A54" authorId="0" shapeId="0" xr:uid="{062FFAC4-BF23-42C2-9324-9273567B1F2D}">
      <text>
        <r>
          <rPr>
            <sz val="9"/>
            <color indexed="81"/>
            <rFont val="MS P ゴシック"/>
            <family val="3"/>
            <charset val="128"/>
          </rPr>
          <t xml:space="preserve"> 25-6563 26-691</t>
        </r>
      </text>
    </comment>
    <comment ref="A56" authorId="0" shapeId="0" xr:uid="{7B1AF3CE-F52D-4729-A989-CC343C95B17F}">
      <text>
        <r>
          <rPr>
            <sz val="9"/>
            <color indexed="81"/>
            <rFont val="MS P ゴシック"/>
            <family val="3"/>
            <charset val="128"/>
          </rPr>
          <t xml:space="preserve"> 26-949</t>
        </r>
      </text>
    </comment>
    <comment ref="A58" authorId="0" shapeId="0" xr:uid="{53971A78-59FF-4BF7-9C31-719548A8139D}">
      <text>
        <r>
          <rPr>
            <sz val="9"/>
            <color indexed="81"/>
            <rFont val="MS P ゴシック"/>
            <family val="3"/>
            <charset val="128"/>
          </rPr>
          <t xml:space="preserve"> 26-1022</t>
        </r>
      </text>
    </comment>
    <comment ref="A60" authorId="0" shapeId="0" xr:uid="{5435A5F2-642D-4526-8DE1-87A6E50CA06D}">
      <text>
        <r>
          <rPr>
            <sz val="9"/>
            <color indexed="81"/>
            <rFont val="MS P ゴシック"/>
            <family val="3"/>
            <charset val="128"/>
          </rPr>
          <t xml:space="preserve"> 26-1027</t>
        </r>
      </text>
    </comment>
    <comment ref="A62" authorId="0" shapeId="0" xr:uid="{8E58094B-8EFF-4D07-84E4-D61F7A5AD4F4}">
      <text>
        <r>
          <rPr>
            <sz val="9"/>
            <color indexed="81"/>
            <rFont val="MS P ゴシック"/>
            <family val="3"/>
            <charset val="128"/>
          </rPr>
          <t xml:space="preserve"> 26-1060</t>
        </r>
      </text>
    </comment>
    <comment ref="A64" authorId="0" shapeId="0" xr:uid="{93FCFFA6-7DE0-4C0D-98B4-31FD3C8078EA}">
      <text>
        <r>
          <rPr>
            <sz val="9"/>
            <color indexed="81"/>
            <rFont val="MS P ゴシック"/>
            <family val="3"/>
            <charset val="128"/>
          </rPr>
          <t xml:space="preserve"> 26-1210</t>
        </r>
      </text>
    </comment>
    <comment ref="A66" authorId="0" shapeId="0" xr:uid="{E6488887-D165-4967-8803-B9FC9023BE75}">
      <text>
        <r>
          <rPr>
            <sz val="9"/>
            <color indexed="81"/>
            <rFont val="MS P ゴシック"/>
            <family val="3"/>
            <charset val="128"/>
          </rPr>
          <t xml:space="preserve"> 26-1247</t>
        </r>
      </text>
    </comment>
    <comment ref="A68" authorId="0" shapeId="0" xr:uid="{2FCD0E7C-0575-4B70-BCFB-C0648BFFDB90}">
      <text>
        <r>
          <rPr>
            <sz val="9"/>
            <color indexed="81"/>
            <rFont val="MS P ゴシック"/>
            <family val="3"/>
            <charset val="128"/>
          </rPr>
          <t xml:space="preserve"> 26-1272</t>
        </r>
      </text>
    </comment>
    <comment ref="A70" authorId="0" shapeId="0" xr:uid="{099D14E0-CF33-4C62-BBC0-DB14ADAAC49C}">
      <text>
        <r>
          <rPr>
            <sz val="9"/>
            <color indexed="81"/>
            <rFont val="MS P ゴシック"/>
            <family val="3"/>
            <charset val="128"/>
          </rPr>
          <t xml:space="preserve"> 26-1330</t>
        </r>
      </text>
    </comment>
    <comment ref="A72" authorId="0" shapeId="0" xr:uid="{FB4DE75C-9321-4F67-A553-E79E62DAC391}">
      <text>
        <r>
          <rPr>
            <sz val="9"/>
            <color indexed="81"/>
            <rFont val="MS P ゴシック"/>
            <family val="3"/>
            <charset val="128"/>
          </rPr>
          <t xml:space="preserve"> 26-1843</t>
        </r>
      </text>
    </comment>
    <comment ref="A74" authorId="0" shapeId="0" xr:uid="{06F5D87B-CB9D-4625-BF73-7C6647DA18BE}">
      <text>
        <r>
          <rPr>
            <sz val="9"/>
            <color indexed="81"/>
            <rFont val="MS P ゴシック"/>
            <family val="3"/>
            <charset val="128"/>
          </rPr>
          <t xml:space="preserve"> 26-1860</t>
        </r>
      </text>
    </comment>
    <comment ref="A76" authorId="0" shapeId="0" xr:uid="{8B40FE13-4C3D-48D1-B99E-D7C9D4443CDD}">
      <text>
        <r>
          <rPr>
            <sz val="9"/>
            <color indexed="81"/>
            <rFont val="MS P ゴシック"/>
            <family val="3"/>
            <charset val="128"/>
          </rPr>
          <t xml:space="preserve"> 26-1907</t>
        </r>
      </text>
    </comment>
    <comment ref="A78" authorId="0" shapeId="0" xr:uid="{AAE1F9A7-7DBA-4125-8D7B-600E9321A280}">
      <text>
        <r>
          <rPr>
            <sz val="9"/>
            <color indexed="81"/>
            <rFont val="MS P ゴシック"/>
            <family val="3"/>
            <charset val="128"/>
          </rPr>
          <t xml:space="preserve"> 26-2237</t>
        </r>
      </text>
    </comment>
    <comment ref="A80" authorId="0" shapeId="0" xr:uid="{38C24790-206C-4DBF-9EDA-EDBC3501A1B6}">
      <text>
        <r>
          <rPr>
            <sz val="9"/>
            <color indexed="81"/>
            <rFont val="MS P ゴシック"/>
            <family val="3"/>
            <charset val="128"/>
          </rPr>
          <t xml:space="preserve"> 26-2452</t>
        </r>
      </text>
    </comment>
    <comment ref="A82" authorId="0" shapeId="0" xr:uid="{095C111E-CA98-428A-BD4C-D80A89505876}">
      <text>
        <r>
          <rPr>
            <sz val="9"/>
            <color indexed="81"/>
            <rFont val="MS P ゴシック"/>
            <family val="3"/>
            <charset val="128"/>
          </rPr>
          <t xml:space="preserve"> 26-2677</t>
        </r>
      </text>
    </comment>
    <comment ref="A84" authorId="0" shapeId="0" xr:uid="{AE749D33-7623-4FD9-A2B1-C53422972A2C}">
      <text>
        <r>
          <rPr>
            <sz val="9"/>
            <color indexed="81"/>
            <rFont val="MS P ゴシック"/>
            <family val="3"/>
            <charset val="128"/>
          </rPr>
          <t xml:space="preserve"> 26-2701</t>
        </r>
      </text>
    </comment>
    <comment ref="A86" authorId="0" shapeId="0" xr:uid="{68F02919-C5CE-406C-9558-A5F35FD26710}">
      <text>
        <r>
          <rPr>
            <sz val="9"/>
            <color indexed="81"/>
            <rFont val="MS P ゴシック"/>
            <family val="3"/>
            <charset val="128"/>
          </rPr>
          <t xml:space="preserve"> 26-2764</t>
        </r>
      </text>
    </comment>
    <comment ref="A88" authorId="0" shapeId="0" xr:uid="{0DC5942B-BF52-41EA-8870-9257EA9FCBDD}">
      <text>
        <r>
          <rPr>
            <sz val="9"/>
            <color indexed="81"/>
            <rFont val="MS P ゴシック"/>
            <family val="3"/>
            <charset val="128"/>
          </rPr>
          <t xml:space="preserve"> 26-2874</t>
        </r>
      </text>
    </comment>
    <comment ref="A90" authorId="0" shapeId="0" xr:uid="{7DABC271-352C-4364-B762-CB5D1D257DFD}">
      <text>
        <r>
          <rPr>
            <sz val="9"/>
            <color indexed="81"/>
            <rFont val="MS P ゴシック"/>
            <family val="3"/>
            <charset val="128"/>
          </rPr>
          <t xml:space="preserve"> 26-2879</t>
        </r>
      </text>
    </comment>
    <comment ref="A92" authorId="0" shapeId="0" xr:uid="{8413B6ED-B8E7-4EF2-93D9-AAA77FE95761}">
      <text>
        <r>
          <rPr>
            <sz val="9"/>
            <color indexed="81"/>
            <rFont val="MS P ゴシック"/>
            <family val="3"/>
            <charset val="128"/>
          </rPr>
          <t xml:space="preserve"> 26-2881</t>
        </r>
      </text>
    </comment>
    <comment ref="A94" authorId="0" shapeId="0" xr:uid="{441FE563-B4CD-43D5-A058-3CDF1F7983DE}">
      <text>
        <r>
          <rPr>
            <sz val="9"/>
            <color indexed="81"/>
            <rFont val="MS P ゴシック"/>
            <family val="3"/>
            <charset val="128"/>
          </rPr>
          <t xml:space="preserve"> 26-2974</t>
        </r>
      </text>
    </comment>
    <comment ref="A96" authorId="0" shapeId="0" xr:uid="{AADB0183-5D97-4B23-90D5-19352118CF0C}">
      <text>
        <r>
          <rPr>
            <sz val="9"/>
            <color indexed="81"/>
            <rFont val="MS P ゴシック"/>
            <family val="3"/>
            <charset val="128"/>
          </rPr>
          <t xml:space="preserve"> 26-2984</t>
        </r>
      </text>
    </comment>
    <comment ref="A98" authorId="0" shapeId="0" xr:uid="{BCE42D9D-E4E9-4DAC-905D-349B2F1682B3}">
      <text>
        <r>
          <rPr>
            <sz val="9"/>
            <color indexed="81"/>
            <rFont val="MS P ゴシック"/>
            <family val="3"/>
            <charset val="128"/>
          </rPr>
          <t xml:space="preserve"> 26-3041</t>
        </r>
      </text>
    </comment>
    <comment ref="A100" authorId="0" shapeId="0" xr:uid="{00CC07A4-FA0E-4633-B4A6-B10F4D6486D5}">
      <text>
        <r>
          <rPr>
            <sz val="9"/>
            <color indexed="81"/>
            <rFont val="MS P ゴシック"/>
            <family val="3"/>
            <charset val="128"/>
          </rPr>
          <t xml:space="preserve"> 26-3175</t>
        </r>
      </text>
    </comment>
    <comment ref="A102" authorId="0" shapeId="0" xr:uid="{A745CDB8-8C4A-489C-9C9A-90DE2F7F81B0}">
      <text>
        <r>
          <rPr>
            <sz val="9"/>
            <color indexed="81"/>
            <rFont val="MS P ゴシック"/>
            <family val="3"/>
            <charset val="128"/>
          </rPr>
          <t xml:space="preserve"> 26-3198</t>
        </r>
      </text>
    </comment>
    <comment ref="A104" authorId="0" shapeId="0" xr:uid="{87FDAD98-4EBB-4F5C-9F89-9056781E9ADF}">
      <text>
        <r>
          <rPr>
            <sz val="9"/>
            <color indexed="81"/>
            <rFont val="MS P ゴシック"/>
            <family val="3"/>
            <charset val="128"/>
          </rPr>
          <t xml:space="preserve"> 26-3209</t>
        </r>
      </text>
    </comment>
    <comment ref="A106" authorId="0" shapeId="0" xr:uid="{5129B9AB-E890-4303-86E1-0E98022CF0E1}">
      <text>
        <r>
          <rPr>
            <sz val="9"/>
            <color indexed="81"/>
            <rFont val="MS P ゴシック"/>
            <family val="3"/>
            <charset val="128"/>
          </rPr>
          <t xml:space="preserve"> 26-3214</t>
        </r>
      </text>
    </comment>
    <comment ref="A108" authorId="0" shapeId="0" xr:uid="{864A48A2-9BC1-4414-AF64-548C277BD883}">
      <text>
        <r>
          <rPr>
            <sz val="9"/>
            <color indexed="81"/>
            <rFont val="MS P ゴシック"/>
            <family val="3"/>
            <charset val="128"/>
          </rPr>
          <t xml:space="preserve"> 26-3352</t>
        </r>
      </text>
    </comment>
    <comment ref="A110" authorId="0" shapeId="0" xr:uid="{670B6854-7B3B-4603-ACF4-D57F2FE3E80E}">
      <text>
        <r>
          <rPr>
            <sz val="9"/>
            <color indexed="81"/>
            <rFont val="MS P ゴシック"/>
            <family val="3"/>
            <charset val="128"/>
          </rPr>
          <t xml:space="preserve"> 26-3373</t>
        </r>
      </text>
    </comment>
    <comment ref="A112" authorId="0" shapeId="0" xr:uid="{1DFB25E5-F904-4AAA-B14C-834E74E1625E}">
      <text>
        <r>
          <rPr>
            <sz val="9"/>
            <color indexed="81"/>
            <rFont val="MS P ゴシック"/>
            <family val="3"/>
            <charset val="128"/>
          </rPr>
          <t xml:space="preserve"> 26-3547</t>
        </r>
      </text>
    </comment>
    <comment ref="A114" authorId="0" shapeId="0" xr:uid="{1D58BCD4-D2BF-4AFB-A77B-B708CA0F43AD}">
      <text>
        <r>
          <rPr>
            <sz val="9"/>
            <color indexed="81"/>
            <rFont val="MS P ゴシック"/>
            <family val="3"/>
            <charset val="128"/>
          </rPr>
          <t xml:space="preserve"> 26-3673</t>
        </r>
      </text>
    </comment>
    <comment ref="A116" authorId="0" shapeId="0" xr:uid="{7F335DDF-7330-4D5B-A4F1-C5F30D888914}">
      <text>
        <r>
          <rPr>
            <sz val="9"/>
            <color indexed="81"/>
            <rFont val="MS P ゴシック"/>
            <family val="3"/>
            <charset val="128"/>
          </rPr>
          <t xml:space="preserve"> 26-3735</t>
        </r>
      </text>
    </comment>
    <comment ref="A118" authorId="0" shapeId="0" xr:uid="{430671BD-05C3-44E2-9B66-A617613D406E}">
      <text>
        <r>
          <rPr>
            <sz val="9"/>
            <color indexed="81"/>
            <rFont val="MS P ゴシック"/>
            <family val="3"/>
            <charset val="128"/>
          </rPr>
          <t xml:space="preserve"> 26-3892</t>
        </r>
      </text>
    </comment>
    <comment ref="A120" authorId="0" shapeId="0" xr:uid="{44A7866A-5673-4E42-9A22-CA7AD2006BEC}">
      <text>
        <r>
          <rPr>
            <sz val="9"/>
            <color indexed="81"/>
            <rFont val="MS P ゴシック"/>
            <family val="3"/>
            <charset val="128"/>
          </rPr>
          <t xml:space="preserve"> 26-3894</t>
        </r>
      </text>
    </comment>
    <comment ref="A122" authorId="0" shapeId="0" xr:uid="{DCABF748-878C-428E-A6A1-A1A5997BBF9E}">
      <text>
        <r>
          <rPr>
            <sz val="9"/>
            <color indexed="81"/>
            <rFont val="MS P ゴシック"/>
            <family val="3"/>
            <charset val="128"/>
          </rPr>
          <t xml:space="preserve"> 26-4023</t>
        </r>
      </text>
    </comment>
    <comment ref="A124" authorId="0" shapeId="0" xr:uid="{1A8458EC-2DCC-4D9F-B677-83CC32DC10E6}">
      <text>
        <r>
          <rPr>
            <sz val="9"/>
            <color indexed="81"/>
            <rFont val="MS P ゴシック"/>
            <family val="3"/>
            <charset val="128"/>
          </rPr>
          <t xml:space="preserve"> 26-4141</t>
        </r>
      </text>
    </comment>
    <comment ref="A126" authorId="0" shapeId="0" xr:uid="{70DD55D9-B401-4C35-9BAE-1FA1082CD5EA}">
      <text>
        <r>
          <rPr>
            <sz val="9"/>
            <color indexed="81"/>
            <rFont val="MS P ゴシック"/>
            <family val="3"/>
            <charset val="128"/>
          </rPr>
          <t xml:space="preserve"> 26-4340</t>
        </r>
      </text>
    </comment>
    <comment ref="A128" authorId="0" shapeId="0" xr:uid="{58D3D7E9-5A7D-464F-B2F1-8AEBF5159FDC}">
      <text>
        <r>
          <rPr>
            <sz val="9"/>
            <color indexed="81"/>
            <rFont val="MS P ゴシック"/>
            <family val="3"/>
            <charset val="128"/>
          </rPr>
          <t xml:space="preserve"> 26-4473</t>
        </r>
      </text>
    </comment>
    <comment ref="A130" authorId="0" shapeId="0" xr:uid="{84BC4EE9-1625-4BA1-823A-7DA03D2851C2}">
      <text>
        <r>
          <rPr>
            <sz val="9"/>
            <color indexed="81"/>
            <rFont val="MS P ゴシック"/>
            <family val="3"/>
            <charset val="128"/>
          </rPr>
          <t xml:space="preserve"> 26-4539</t>
        </r>
      </text>
    </comment>
    <comment ref="A132" authorId="0" shapeId="0" xr:uid="{1D6827A6-E9CB-4F38-B0DA-00DA2640EDBC}">
      <text>
        <r>
          <rPr>
            <sz val="9"/>
            <color indexed="81"/>
            <rFont val="MS P ゴシック"/>
            <family val="3"/>
            <charset val="128"/>
          </rPr>
          <t xml:space="preserve"> 26-4628</t>
        </r>
      </text>
    </comment>
    <comment ref="A134" authorId="0" shapeId="0" xr:uid="{F1F7D0AA-5BB1-4229-8417-039C655D1C98}">
      <text>
        <r>
          <rPr>
            <sz val="9"/>
            <color indexed="81"/>
            <rFont val="MS P ゴシック"/>
            <family val="3"/>
            <charset val="128"/>
          </rPr>
          <t xml:space="preserve"> 26-4752</t>
        </r>
      </text>
    </comment>
    <comment ref="A136" authorId="0" shapeId="0" xr:uid="{9BA128FE-4045-4FF8-985D-0D4D97BA5BA4}">
      <text>
        <r>
          <rPr>
            <sz val="9"/>
            <color indexed="81"/>
            <rFont val="MS P ゴシック"/>
            <family val="3"/>
            <charset val="128"/>
          </rPr>
          <t xml:space="preserve"> 26-4799</t>
        </r>
      </text>
    </comment>
    <comment ref="A138" authorId="0" shapeId="0" xr:uid="{D3A4BC3B-13F9-4E1D-A908-7EC0A08B96AC}">
      <text>
        <r>
          <rPr>
            <sz val="9"/>
            <color indexed="81"/>
            <rFont val="MS P ゴシック"/>
            <family val="3"/>
            <charset val="128"/>
          </rPr>
          <t xml:space="preserve"> 26-4853</t>
        </r>
      </text>
    </comment>
    <comment ref="A140" authorId="0" shapeId="0" xr:uid="{2F009DD2-D8CA-4121-9F13-26E7402F5BCB}">
      <text>
        <r>
          <rPr>
            <sz val="9"/>
            <color indexed="81"/>
            <rFont val="MS P ゴシック"/>
            <family val="3"/>
            <charset val="128"/>
          </rPr>
          <t xml:space="preserve"> 26-4858</t>
        </r>
      </text>
    </comment>
    <comment ref="A142" authorId="0" shapeId="0" xr:uid="{9D590732-30FC-49F3-8106-F3E483D3D8A1}">
      <text>
        <r>
          <rPr>
            <sz val="9"/>
            <color indexed="81"/>
            <rFont val="MS P ゴシック"/>
            <family val="3"/>
            <charset val="128"/>
          </rPr>
          <t xml:space="preserve"> 26-4893</t>
        </r>
      </text>
    </comment>
    <comment ref="A144" authorId="0" shapeId="0" xr:uid="{B16438F6-AF1E-48AF-B3D2-487D58C5C100}">
      <text>
        <r>
          <rPr>
            <sz val="9"/>
            <color indexed="81"/>
            <rFont val="MS P ゴシック"/>
            <family val="3"/>
            <charset val="128"/>
          </rPr>
          <t xml:space="preserve"> 26-5003</t>
        </r>
      </text>
    </comment>
    <comment ref="A146" authorId="0" shapeId="0" xr:uid="{713DE828-B58B-4E09-BDD1-D3D35DD5FA0A}">
      <text>
        <r>
          <rPr>
            <sz val="9"/>
            <color indexed="81"/>
            <rFont val="MS P ゴシック"/>
            <family val="3"/>
            <charset val="128"/>
          </rPr>
          <t xml:space="preserve"> 26-5030</t>
        </r>
      </text>
    </comment>
    <comment ref="A148" authorId="0" shapeId="0" xr:uid="{FF517383-214F-4445-A270-E115BABA93AF}">
      <text>
        <r>
          <rPr>
            <sz val="9"/>
            <color indexed="81"/>
            <rFont val="MS P ゴシック"/>
            <family val="3"/>
            <charset val="128"/>
          </rPr>
          <t xml:space="preserve"> 26-5035</t>
        </r>
      </text>
    </comment>
    <comment ref="A150" authorId="0" shapeId="0" xr:uid="{5C76DB5D-D9EE-40EA-87CC-444C0ED39B2E}">
      <text>
        <r>
          <rPr>
            <sz val="9"/>
            <color indexed="81"/>
            <rFont val="MS P ゴシック"/>
            <family val="3"/>
            <charset val="128"/>
          </rPr>
          <t xml:space="preserve"> 26-5087</t>
        </r>
      </text>
    </comment>
    <comment ref="A152" authorId="0" shapeId="0" xr:uid="{D2193B43-951E-4ABE-8C4C-2C27099A85BF}">
      <text>
        <r>
          <rPr>
            <sz val="9"/>
            <color indexed="81"/>
            <rFont val="MS P ゴシック"/>
            <family val="3"/>
            <charset val="128"/>
          </rPr>
          <t xml:space="preserve"> 26-5095</t>
        </r>
      </text>
    </comment>
    <comment ref="A154" authorId="0" shapeId="0" xr:uid="{122E69BF-058A-48B4-BDF9-12D83C871852}">
      <text>
        <r>
          <rPr>
            <sz val="9"/>
            <color indexed="81"/>
            <rFont val="MS P ゴシック"/>
            <family val="3"/>
            <charset val="128"/>
          </rPr>
          <t xml:space="preserve"> 26-5123</t>
        </r>
      </text>
    </comment>
    <comment ref="A156" authorId="0" shapeId="0" xr:uid="{D2CB5B2F-454B-4A0C-9D96-A4B4BE5E86DF}">
      <text>
        <r>
          <rPr>
            <sz val="9"/>
            <color indexed="81"/>
            <rFont val="MS P ゴシック"/>
            <family val="3"/>
            <charset val="128"/>
          </rPr>
          <t xml:space="preserve"> 26-5124</t>
        </r>
      </text>
    </comment>
    <comment ref="A158" authorId="0" shapeId="0" xr:uid="{7E652CEA-A843-453B-8F6E-D1E24221B5E6}">
      <text>
        <r>
          <rPr>
            <sz val="9"/>
            <color indexed="81"/>
            <rFont val="MS P ゴシック"/>
            <family val="3"/>
            <charset val="128"/>
          </rPr>
          <t xml:space="preserve"> 26-5129</t>
        </r>
      </text>
    </comment>
    <comment ref="A160" authorId="0" shapeId="0" xr:uid="{6CEFA19E-8C73-43DF-BF19-94A22CA7C1CA}">
      <text>
        <r>
          <rPr>
            <sz val="9"/>
            <color indexed="81"/>
            <rFont val="MS P ゴシック"/>
            <family val="3"/>
            <charset val="128"/>
          </rPr>
          <t xml:space="preserve"> 26-5152</t>
        </r>
      </text>
    </comment>
    <comment ref="A162" authorId="0" shapeId="0" xr:uid="{E0EE9901-FFE9-451E-8E37-C98F989B9AD1}">
      <text>
        <r>
          <rPr>
            <sz val="9"/>
            <color indexed="81"/>
            <rFont val="MS P ゴシック"/>
            <family val="3"/>
            <charset val="128"/>
          </rPr>
          <t xml:space="preserve"> 26-5163</t>
        </r>
      </text>
    </comment>
    <comment ref="A164" authorId="0" shapeId="0" xr:uid="{F7386E46-F18E-4243-8669-9E68987E6FA3}">
      <text>
        <r>
          <rPr>
            <sz val="9"/>
            <color indexed="81"/>
            <rFont val="MS P ゴシック"/>
            <family val="3"/>
            <charset val="128"/>
          </rPr>
          <t xml:space="preserve"> 26-5192</t>
        </r>
      </text>
    </comment>
    <comment ref="A166" authorId="0" shapeId="0" xr:uid="{6134EB16-114B-4080-9DDD-381E66136262}">
      <text>
        <r>
          <rPr>
            <sz val="9"/>
            <color indexed="81"/>
            <rFont val="MS P ゴシック"/>
            <family val="3"/>
            <charset val="128"/>
          </rPr>
          <t xml:space="preserve"> 26-5203</t>
        </r>
      </text>
    </comment>
    <comment ref="A168" authorId="0" shapeId="0" xr:uid="{A185279D-EBAF-4581-9567-B1BDDDB43A7B}">
      <text>
        <r>
          <rPr>
            <sz val="9"/>
            <color indexed="81"/>
            <rFont val="MS P ゴシック"/>
            <family val="3"/>
            <charset val="128"/>
          </rPr>
          <t xml:space="preserve"> 26-5227</t>
        </r>
      </text>
    </comment>
    <comment ref="A170" authorId="0" shapeId="0" xr:uid="{7903C252-1DD2-40F4-B4E0-7A48E7753A08}">
      <text>
        <r>
          <rPr>
            <sz val="9"/>
            <color indexed="81"/>
            <rFont val="MS P ゴシック"/>
            <family val="3"/>
            <charset val="128"/>
          </rPr>
          <t xml:space="preserve"> 26-5390</t>
        </r>
      </text>
    </comment>
    <comment ref="A172" authorId="0" shapeId="0" xr:uid="{666CD1D0-F52B-4356-9986-49DB74DC78F1}">
      <text>
        <r>
          <rPr>
            <sz val="9"/>
            <color indexed="81"/>
            <rFont val="MS P ゴシック"/>
            <family val="3"/>
            <charset val="128"/>
          </rPr>
          <t xml:space="preserve"> 26-5434</t>
        </r>
      </text>
    </comment>
    <comment ref="A174" authorId="0" shapeId="0" xr:uid="{57A9C7AF-9F91-4722-A3F9-EA6DAC02E4C0}">
      <text>
        <r>
          <rPr>
            <sz val="9"/>
            <color indexed="81"/>
            <rFont val="MS P ゴシック"/>
            <family val="3"/>
            <charset val="128"/>
          </rPr>
          <t xml:space="preserve"> 26-5451</t>
        </r>
      </text>
    </comment>
    <comment ref="A176" authorId="0" shapeId="0" xr:uid="{CBF42BEA-93D6-4872-B871-6EC02FD06CA7}">
      <text>
        <r>
          <rPr>
            <sz val="9"/>
            <color indexed="81"/>
            <rFont val="MS P ゴシック"/>
            <family val="3"/>
            <charset val="128"/>
          </rPr>
          <t xml:space="preserve"> 26-5457</t>
        </r>
      </text>
    </comment>
    <comment ref="A178" authorId="0" shapeId="0" xr:uid="{D707C69D-5C70-493C-A6A1-7C04CC638F30}">
      <text>
        <r>
          <rPr>
            <sz val="9"/>
            <color indexed="81"/>
            <rFont val="MS P ゴシック"/>
            <family val="3"/>
            <charset val="128"/>
          </rPr>
          <t xml:space="preserve"> 26-5498</t>
        </r>
      </text>
    </comment>
    <comment ref="A180" authorId="0" shapeId="0" xr:uid="{40B31737-1E2D-4BE9-A804-32FA5CCAF1BE}">
      <text>
        <r>
          <rPr>
            <sz val="9"/>
            <color indexed="81"/>
            <rFont val="MS P ゴシック"/>
            <family val="3"/>
            <charset val="128"/>
          </rPr>
          <t xml:space="preserve"> 26-5510</t>
        </r>
      </text>
    </comment>
    <comment ref="A182" authorId="0" shapeId="0" xr:uid="{64E5B12B-6D81-4A2B-981F-404447199DD2}">
      <text>
        <r>
          <rPr>
            <sz val="9"/>
            <color indexed="81"/>
            <rFont val="MS P ゴシック"/>
            <family val="3"/>
            <charset val="128"/>
          </rPr>
          <t xml:space="preserve"> 26-5542</t>
        </r>
      </text>
    </comment>
    <comment ref="A184" authorId="0" shapeId="0" xr:uid="{EB1A0AB8-606F-48AA-8CB6-0D0424F3FDBD}">
      <text>
        <r>
          <rPr>
            <sz val="9"/>
            <color indexed="81"/>
            <rFont val="MS P ゴシック"/>
            <family val="3"/>
            <charset val="128"/>
          </rPr>
          <t xml:space="preserve"> 26-5551</t>
        </r>
      </text>
    </comment>
    <comment ref="A186" authorId="0" shapeId="0" xr:uid="{863C62E8-9CAD-4BD0-A4B2-34086518DEBE}">
      <text>
        <r>
          <rPr>
            <sz val="9"/>
            <color indexed="81"/>
            <rFont val="MS P ゴシック"/>
            <family val="3"/>
            <charset val="128"/>
          </rPr>
          <t xml:space="preserve"> 26-5567</t>
        </r>
      </text>
    </comment>
    <comment ref="A188" authorId="0" shapeId="0" xr:uid="{21AD0332-672C-45E2-9913-44D761773CF1}">
      <text>
        <r>
          <rPr>
            <sz val="9"/>
            <color indexed="81"/>
            <rFont val="MS P ゴシック"/>
            <family val="3"/>
            <charset val="128"/>
          </rPr>
          <t xml:space="preserve"> 26-5583</t>
        </r>
      </text>
    </comment>
    <comment ref="A190" authorId="0" shapeId="0" xr:uid="{702193B7-5A25-4239-9CE8-8CE4B965EBC6}">
      <text>
        <r>
          <rPr>
            <sz val="9"/>
            <color indexed="81"/>
            <rFont val="MS P ゴシック"/>
            <family val="3"/>
            <charset val="128"/>
          </rPr>
          <t xml:space="preserve"> 26-5584</t>
        </r>
      </text>
    </comment>
    <comment ref="A192" authorId="0" shapeId="0" xr:uid="{9306B5BD-0C32-42E7-936D-433C20B80AD8}">
      <text>
        <r>
          <rPr>
            <sz val="9"/>
            <color indexed="81"/>
            <rFont val="MS P ゴシック"/>
            <family val="3"/>
            <charset val="128"/>
          </rPr>
          <t xml:space="preserve"> 26-5618</t>
        </r>
      </text>
    </comment>
    <comment ref="A194" authorId="0" shapeId="0" xr:uid="{39911A90-61A2-4E02-99C4-BDBA2FC76614}">
      <text>
        <r>
          <rPr>
            <sz val="9"/>
            <color indexed="81"/>
            <rFont val="MS P ゴシック"/>
            <family val="3"/>
            <charset val="128"/>
          </rPr>
          <t xml:space="preserve"> 26-5619</t>
        </r>
      </text>
    </comment>
    <comment ref="A196" authorId="0" shapeId="0" xr:uid="{FAD88D50-CAA8-4D91-9020-214314E09AB6}">
      <text>
        <r>
          <rPr>
            <sz val="9"/>
            <color indexed="81"/>
            <rFont val="MS P ゴシック"/>
            <family val="3"/>
            <charset val="128"/>
          </rPr>
          <t xml:space="preserve"> 26-5644</t>
        </r>
      </text>
    </comment>
    <comment ref="A198" authorId="0" shapeId="0" xr:uid="{E575AC33-17C7-42C5-9AE2-CB51CAA85BE3}">
      <text>
        <r>
          <rPr>
            <sz val="9"/>
            <color indexed="81"/>
            <rFont val="MS P ゴシック"/>
            <family val="3"/>
            <charset val="128"/>
          </rPr>
          <t xml:space="preserve"> 26-5652</t>
        </r>
      </text>
    </comment>
    <comment ref="A200" authorId="0" shapeId="0" xr:uid="{B2D54FC0-56B0-49CE-A0BE-66585D0602C2}">
      <text>
        <r>
          <rPr>
            <sz val="9"/>
            <color indexed="81"/>
            <rFont val="MS P ゴシック"/>
            <family val="3"/>
            <charset val="128"/>
          </rPr>
          <t xml:space="preserve"> 26-5653</t>
        </r>
      </text>
    </comment>
    <comment ref="A202" authorId="0" shapeId="0" xr:uid="{385F9DF2-0212-4900-8844-7084BB8D8D49}">
      <text>
        <r>
          <rPr>
            <sz val="9"/>
            <color indexed="81"/>
            <rFont val="MS P ゴシック"/>
            <family val="3"/>
            <charset val="128"/>
          </rPr>
          <t xml:space="preserve"> 26-5684</t>
        </r>
      </text>
    </comment>
    <comment ref="A204" authorId="0" shapeId="0" xr:uid="{09E75069-A8B4-4A12-84E5-0059A360FE8C}">
      <text>
        <r>
          <rPr>
            <sz val="9"/>
            <color indexed="81"/>
            <rFont val="MS P ゴシック"/>
            <family val="3"/>
            <charset val="128"/>
          </rPr>
          <t xml:space="preserve"> 26-5690</t>
        </r>
      </text>
    </comment>
    <comment ref="A206" authorId="0" shapeId="0" xr:uid="{B458EA9B-9E94-405D-BB80-9DD259357A4C}">
      <text>
        <r>
          <rPr>
            <sz val="9"/>
            <color indexed="81"/>
            <rFont val="MS P ゴシック"/>
            <family val="3"/>
            <charset val="128"/>
          </rPr>
          <t xml:space="preserve"> 26-5698</t>
        </r>
      </text>
    </comment>
    <comment ref="A208" authorId="0" shapeId="0" xr:uid="{0FB6A8AA-C9A4-48B6-87BE-74BC4CC34D14}">
      <text>
        <r>
          <rPr>
            <sz val="9"/>
            <color indexed="81"/>
            <rFont val="MS P ゴシック"/>
            <family val="3"/>
            <charset val="128"/>
          </rPr>
          <t xml:space="preserve"> 26-5712</t>
        </r>
      </text>
    </comment>
    <comment ref="A210" authorId="0" shapeId="0" xr:uid="{FC4BE021-5BF7-4424-A164-CC3B766CAFCF}">
      <text>
        <r>
          <rPr>
            <sz val="9"/>
            <color indexed="81"/>
            <rFont val="MS P ゴシック"/>
            <family val="3"/>
            <charset val="128"/>
          </rPr>
          <t xml:space="preserve"> 26-5818</t>
        </r>
      </text>
    </comment>
    <comment ref="A212" authorId="0" shapeId="0" xr:uid="{0845D282-C785-4F66-B45B-B48342D3899E}">
      <text>
        <r>
          <rPr>
            <sz val="9"/>
            <color indexed="81"/>
            <rFont val="MS P ゴシック"/>
            <family val="3"/>
            <charset val="128"/>
          </rPr>
          <t xml:space="preserve"> 26-5865</t>
        </r>
      </text>
    </comment>
    <comment ref="A214" authorId="0" shapeId="0" xr:uid="{BA6A9440-E288-466C-B6C1-3DB2FDC5876B}">
      <text>
        <r>
          <rPr>
            <sz val="9"/>
            <color indexed="81"/>
            <rFont val="MS P ゴシック"/>
            <family val="3"/>
            <charset val="128"/>
          </rPr>
          <t xml:space="preserve"> 26-5866</t>
        </r>
      </text>
    </comment>
    <comment ref="A216" authorId="0" shapeId="0" xr:uid="{022FE105-B039-453E-8B90-CC6C6661B6AD}">
      <text>
        <r>
          <rPr>
            <sz val="9"/>
            <color indexed="81"/>
            <rFont val="MS P ゴシック"/>
            <family val="3"/>
            <charset val="128"/>
          </rPr>
          <t xml:space="preserve"> 26-5867</t>
        </r>
      </text>
    </comment>
    <comment ref="A218" authorId="0" shapeId="0" xr:uid="{43D50ADB-322A-4A16-86D7-8612899E224C}">
      <text>
        <r>
          <rPr>
            <sz val="9"/>
            <color indexed="81"/>
            <rFont val="MS P ゴシック"/>
            <family val="3"/>
            <charset val="128"/>
          </rPr>
          <t xml:space="preserve"> 26-5868</t>
        </r>
      </text>
    </comment>
    <comment ref="A220" authorId="0" shapeId="0" xr:uid="{39D67C20-39E1-4955-824C-9F5EDE97DA5B}">
      <text>
        <r>
          <rPr>
            <sz val="9"/>
            <color indexed="81"/>
            <rFont val="MS P ゴシック"/>
            <family val="3"/>
            <charset val="128"/>
          </rPr>
          <t xml:space="preserve"> 26-5874</t>
        </r>
      </text>
    </comment>
    <comment ref="A222" authorId="0" shapeId="0" xr:uid="{E1E54426-D1C8-4247-B0A2-540A19188BB7}">
      <text>
        <r>
          <rPr>
            <sz val="9"/>
            <color indexed="81"/>
            <rFont val="MS P ゴシック"/>
            <family val="3"/>
            <charset val="128"/>
          </rPr>
          <t xml:space="preserve"> 26-5878</t>
        </r>
      </text>
    </comment>
    <comment ref="A224" authorId="0" shapeId="0" xr:uid="{E988A720-1632-4BED-A072-86060D549AD3}">
      <text>
        <r>
          <rPr>
            <sz val="9"/>
            <color indexed="81"/>
            <rFont val="MS P ゴシック"/>
            <family val="3"/>
            <charset val="128"/>
          </rPr>
          <t xml:space="preserve"> 26-5882</t>
        </r>
      </text>
    </comment>
    <comment ref="A226" authorId="0" shapeId="0" xr:uid="{30B9E079-3D8D-4AEE-BC01-A148652B720C}">
      <text>
        <r>
          <rPr>
            <sz val="9"/>
            <color indexed="81"/>
            <rFont val="MS P ゴシック"/>
            <family val="3"/>
            <charset val="128"/>
          </rPr>
          <t xml:space="preserve"> 26-5896</t>
        </r>
      </text>
    </comment>
    <comment ref="A228" authorId="0" shapeId="0" xr:uid="{3A4AED32-7AD5-4CC7-B38B-1FF8BAFA29D3}">
      <text>
        <r>
          <rPr>
            <sz val="9"/>
            <color indexed="81"/>
            <rFont val="MS P ゴシック"/>
            <family val="3"/>
            <charset val="128"/>
          </rPr>
          <t xml:space="preserve"> 26-5901</t>
        </r>
      </text>
    </comment>
    <comment ref="A230" authorId="0" shapeId="0" xr:uid="{D85F9A95-78C8-4FD7-9B07-5BE3969AE328}">
      <text>
        <r>
          <rPr>
            <sz val="9"/>
            <color indexed="81"/>
            <rFont val="MS P ゴシック"/>
            <family val="3"/>
            <charset val="128"/>
          </rPr>
          <t xml:space="preserve"> 26-5921</t>
        </r>
      </text>
    </comment>
    <comment ref="A232" authorId="0" shapeId="0" xr:uid="{7FBE2254-B8DD-418F-9BF7-E1F51691275D}">
      <text>
        <r>
          <rPr>
            <sz val="9"/>
            <color indexed="81"/>
            <rFont val="MS P ゴシック"/>
            <family val="3"/>
            <charset val="128"/>
          </rPr>
          <t xml:space="preserve"> 26-5929</t>
        </r>
      </text>
    </comment>
    <comment ref="A234" authorId="0" shapeId="0" xr:uid="{6A6C3668-4C88-4E1F-90CE-A81BA657E210}">
      <text>
        <r>
          <rPr>
            <sz val="9"/>
            <color indexed="81"/>
            <rFont val="MS P ゴシック"/>
            <family val="3"/>
            <charset val="128"/>
          </rPr>
          <t xml:space="preserve"> 26-5955</t>
        </r>
      </text>
    </comment>
    <comment ref="A236" authorId="0" shapeId="0" xr:uid="{13480A99-13E1-40CD-9091-11D616ABDD84}">
      <text>
        <r>
          <rPr>
            <sz val="9"/>
            <color indexed="81"/>
            <rFont val="MS P ゴシック"/>
            <family val="3"/>
            <charset val="128"/>
          </rPr>
          <t xml:space="preserve"> 26-5956</t>
        </r>
      </text>
    </comment>
    <comment ref="A238" authorId="0" shapeId="0" xr:uid="{275F968D-169F-40EF-AF3B-0E2042154591}">
      <text>
        <r>
          <rPr>
            <sz val="9"/>
            <color indexed="81"/>
            <rFont val="MS P ゴシック"/>
            <family val="3"/>
            <charset val="128"/>
          </rPr>
          <t xml:space="preserve"> 26-5989</t>
        </r>
      </text>
    </comment>
    <comment ref="A240" authorId="0" shapeId="0" xr:uid="{4D98AA16-FE07-492D-912C-E0BB3464D47D}">
      <text>
        <r>
          <rPr>
            <sz val="9"/>
            <color indexed="81"/>
            <rFont val="MS P ゴシック"/>
            <family val="3"/>
            <charset val="128"/>
          </rPr>
          <t xml:space="preserve"> 26-5993</t>
        </r>
      </text>
    </comment>
    <comment ref="A242" authorId="0" shapeId="0" xr:uid="{ECAA58DE-6965-4E15-8AFC-D45CBD7273C4}">
      <text>
        <r>
          <rPr>
            <sz val="9"/>
            <color indexed="81"/>
            <rFont val="MS P ゴシック"/>
            <family val="3"/>
            <charset val="128"/>
          </rPr>
          <t xml:space="preserve"> 26-5996</t>
        </r>
      </text>
    </comment>
    <comment ref="A244" authorId="0" shapeId="0" xr:uid="{63AA3EFF-DDC2-4AC2-8427-B75430540C02}">
      <text>
        <r>
          <rPr>
            <sz val="9"/>
            <color indexed="81"/>
            <rFont val="MS P ゴシック"/>
            <family val="3"/>
            <charset val="128"/>
          </rPr>
          <t xml:space="preserve"> 26-6001</t>
        </r>
      </text>
    </comment>
    <comment ref="A246" authorId="0" shapeId="0" xr:uid="{45B936F0-6A4A-40F7-9FE7-E4148833B21A}">
      <text>
        <r>
          <rPr>
            <sz val="9"/>
            <color indexed="81"/>
            <rFont val="MS P ゴシック"/>
            <family val="3"/>
            <charset val="128"/>
          </rPr>
          <t xml:space="preserve"> 26-6002</t>
        </r>
      </text>
    </comment>
    <comment ref="A248" authorId="0" shapeId="0" xr:uid="{ECEDF60B-5C31-4ED6-A090-EE220E1A7D2C}">
      <text>
        <r>
          <rPr>
            <sz val="9"/>
            <color indexed="81"/>
            <rFont val="MS P ゴシック"/>
            <family val="3"/>
            <charset val="128"/>
          </rPr>
          <t xml:space="preserve"> 26-6004</t>
        </r>
      </text>
    </comment>
    <comment ref="A250" authorId="0" shapeId="0" xr:uid="{3F5D0CC9-A733-4370-A2EB-8CAE405C46BE}">
      <text>
        <r>
          <rPr>
            <sz val="9"/>
            <color indexed="81"/>
            <rFont val="MS P ゴシック"/>
            <family val="3"/>
            <charset val="128"/>
          </rPr>
          <t xml:space="preserve"> 26-6008</t>
        </r>
      </text>
    </comment>
    <comment ref="A252" authorId="0" shapeId="0" xr:uid="{6BB1AFBE-7932-4B05-98CA-E9C335C2526C}">
      <text>
        <r>
          <rPr>
            <sz val="9"/>
            <color indexed="81"/>
            <rFont val="MS P ゴシック"/>
            <family val="3"/>
            <charset val="128"/>
          </rPr>
          <t xml:space="preserve"> 26-6032</t>
        </r>
      </text>
    </comment>
    <comment ref="A254" authorId="0" shapeId="0" xr:uid="{5DF83F85-1113-4874-AA6D-409DD5DA94EF}">
      <text>
        <r>
          <rPr>
            <sz val="9"/>
            <color indexed="81"/>
            <rFont val="MS P ゴシック"/>
            <family val="3"/>
            <charset val="128"/>
          </rPr>
          <t xml:space="preserve"> 26-6034</t>
        </r>
      </text>
    </comment>
    <comment ref="A256" authorId="0" shapeId="0" xr:uid="{7D4544FA-C413-4A02-BFA1-399B213353A1}">
      <text>
        <r>
          <rPr>
            <sz val="9"/>
            <color indexed="81"/>
            <rFont val="MS P ゴシック"/>
            <family val="3"/>
            <charset val="128"/>
          </rPr>
          <t xml:space="preserve"> 26-6040</t>
        </r>
      </text>
    </comment>
    <comment ref="A258" authorId="0" shapeId="0" xr:uid="{839FC75F-EC0A-4E9A-AB04-D3AAA143C0C2}">
      <text>
        <r>
          <rPr>
            <sz val="9"/>
            <color indexed="81"/>
            <rFont val="MS P ゴシック"/>
            <family val="3"/>
            <charset val="128"/>
          </rPr>
          <t xml:space="preserve"> 26-6060</t>
        </r>
      </text>
    </comment>
    <comment ref="A260" authorId="0" shapeId="0" xr:uid="{67C5809C-BBC7-4436-A450-FC829B17A880}">
      <text>
        <r>
          <rPr>
            <sz val="9"/>
            <color indexed="81"/>
            <rFont val="MS P ゴシック"/>
            <family val="3"/>
            <charset val="128"/>
          </rPr>
          <t xml:space="preserve"> 26-6081</t>
        </r>
      </text>
    </comment>
    <comment ref="A262" authorId="0" shapeId="0" xr:uid="{8640D2DD-52C4-4ADB-8792-1B0BB3C6B0EC}">
      <text>
        <r>
          <rPr>
            <sz val="9"/>
            <color indexed="81"/>
            <rFont val="MS P ゴシック"/>
            <family val="3"/>
            <charset val="128"/>
          </rPr>
          <t xml:space="preserve"> 26-6090</t>
        </r>
      </text>
    </comment>
    <comment ref="A264" authorId="0" shapeId="0" xr:uid="{2350C192-917F-4B71-8497-004147C8BB9F}">
      <text>
        <r>
          <rPr>
            <sz val="9"/>
            <color indexed="81"/>
            <rFont val="MS P ゴシック"/>
            <family val="3"/>
            <charset val="128"/>
          </rPr>
          <t xml:space="preserve"> 26-6116</t>
        </r>
      </text>
    </comment>
    <comment ref="A266" authorId="0" shapeId="0" xr:uid="{13C90BF4-7E3D-458B-9F4F-0BADF7BFC1D0}">
      <text>
        <r>
          <rPr>
            <sz val="9"/>
            <color indexed="81"/>
            <rFont val="MS P ゴシック"/>
            <family val="3"/>
            <charset val="128"/>
          </rPr>
          <t xml:space="preserve"> 26-6123</t>
        </r>
      </text>
    </comment>
    <comment ref="A268" authorId="0" shapeId="0" xr:uid="{0AD1D491-833F-49AB-B191-096D8C6E02A6}">
      <text>
        <r>
          <rPr>
            <sz val="9"/>
            <color indexed="81"/>
            <rFont val="MS P ゴシック"/>
            <family val="3"/>
            <charset val="128"/>
          </rPr>
          <t xml:space="preserve"> 26-6128</t>
        </r>
      </text>
    </comment>
    <comment ref="A270" authorId="0" shapeId="0" xr:uid="{D090555E-9317-4FAC-9EC3-6B7A4A2D670A}">
      <text>
        <r>
          <rPr>
            <sz val="9"/>
            <color indexed="81"/>
            <rFont val="MS P ゴシック"/>
            <family val="3"/>
            <charset val="128"/>
          </rPr>
          <t xml:space="preserve"> 26-6131</t>
        </r>
      </text>
    </comment>
    <comment ref="A272" authorId="0" shapeId="0" xr:uid="{7A8F740E-BF53-4AAC-864A-6B28D4973FF6}">
      <text>
        <r>
          <rPr>
            <sz val="9"/>
            <color indexed="81"/>
            <rFont val="MS P ゴシック"/>
            <family val="3"/>
            <charset val="128"/>
          </rPr>
          <t xml:space="preserve"> 26-6145</t>
        </r>
      </text>
    </comment>
    <comment ref="A274" authorId="0" shapeId="0" xr:uid="{DBCBDC5F-A9A0-4F67-B257-69FC481A5F01}">
      <text>
        <r>
          <rPr>
            <sz val="9"/>
            <color indexed="81"/>
            <rFont val="MS P ゴシック"/>
            <family val="3"/>
            <charset val="128"/>
          </rPr>
          <t xml:space="preserve"> 26-6154</t>
        </r>
      </text>
    </comment>
    <comment ref="A276" authorId="0" shapeId="0" xr:uid="{F8A8DE7F-FC7D-4124-89F6-0F990511D191}">
      <text>
        <r>
          <rPr>
            <sz val="9"/>
            <color indexed="81"/>
            <rFont val="MS P ゴシック"/>
            <family val="3"/>
            <charset val="128"/>
          </rPr>
          <t xml:space="preserve"> 26-6159</t>
        </r>
      </text>
    </comment>
    <comment ref="A278" authorId="0" shapeId="0" xr:uid="{2CFBB5D4-E2F5-4C93-8739-B77FD60A03A0}">
      <text>
        <r>
          <rPr>
            <sz val="9"/>
            <color indexed="81"/>
            <rFont val="MS P ゴシック"/>
            <family val="3"/>
            <charset val="128"/>
          </rPr>
          <t xml:space="preserve"> 26-6164</t>
        </r>
      </text>
    </comment>
    <comment ref="A280" authorId="0" shapeId="0" xr:uid="{DAF4DB98-2639-4D8A-BB9C-995DA166F145}">
      <text>
        <r>
          <rPr>
            <sz val="9"/>
            <color indexed="81"/>
            <rFont val="MS P ゴシック"/>
            <family val="3"/>
            <charset val="128"/>
          </rPr>
          <t xml:space="preserve"> 26-6166</t>
        </r>
      </text>
    </comment>
    <comment ref="A282" authorId="0" shapeId="0" xr:uid="{D96C0C95-891A-475C-9329-948DD1E4DB0D}">
      <text>
        <r>
          <rPr>
            <sz val="9"/>
            <color indexed="81"/>
            <rFont val="MS P ゴシック"/>
            <family val="3"/>
            <charset val="128"/>
          </rPr>
          <t xml:space="preserve"> 26-6169</t>
        </r>
      </text>
    </comment>
    <comment ref="A284" authorId="0" shapeId="0" xr:uid="{4975B5ED-65FD-4D73-9CAA-02A4D7324E37}">
      <text>
        <r>
          <rPr>
            <sz val="9"/>
            <color indexed="81"/>
            <rFont val="MS P ゴシック"/>
            <family val="3"/>
            <charset val="128"/>
          </rPr>
          <t xml:space="preserve"> 26-6171</t>
        </r>
      </text>
    </comment>
    <comment ref="A286" authorId="0" shapeId="0" xr:uid="{B4CDE02D-10FF-45F9-B9BE-4D4FA20B4F1E}">
      <text>
        <r>
          <rPr>
            <sz val="9"/>
            <color indexed="81"/>
            <rFont val="MS P ゴシック"/>
            <family val="3"/>
            <charset val="128"/>
          </rPr>
          <t xml:space="preserve"> 26-6174</t>
        </r>
      </text>
    </comment>
    <comment ref="A288" authorId="0" shapeId="0" xr:uid="{7E0D8B66-5F7D-45BF-80AE-01596D6E1804}">
      <text>
        <r>
          <rPr>
            <sz val="9"/>
            <color indexed="81"/>
            <rFont val="MS P ゴシック"/>
            <family val="3"/>
            <charset val="128"/>
          </rPr>
          <t xml:space="preserve"> 26-6187</t>
        </r>
      </text>
    </comment>
    <comment ref="A290" authorId="0" shapeId="0" xr:uid="{123DB0F0-7307-44FC-A1DA-60DF6C715FDA}">
      <text>
        <r>
          <rPr>
            <sz val="9"/>
            <color indexed="81"/>
            <rFont val="MS P ゴシック"/>
            <family val="3"/>
            <charset val="128"/>
          </rPr>
          <t xml:space="preserve"> 26-6196</t>
        </r>
      </text>
    </comment>
    <comment ref="A292" authorId="0" shapeId="0" xr:uid="{70ECA32B-243C-4455-9FEF-A52A7A3F9D32}">
      <text>
        <r>
          <rPr>
            <sz val="9"/>
            <color indexed="81"/>
            <rFont val="MS P ゴシック"/>
            <family val="3"/>
            <charset val="128"/>
          </rPr>
          <t xml:space="preserve"> 26-6198</t>
        </r>
      </text>
    </comment>
    <comment ref="A294" authorId="0" shapeId="0" xr:uid="{EA631BC2-03D1-4297-A22F-62BEA498CBF2}">
      <text>
        <r>
          <rPr>
            <sz val="9"/>
            <color indexed="81"/>
            <rFont val="MS P ゴシック"/>
            <family val="3"/>
            <charset val="128"/>
          </rPr>
          <t xml:space="preserve"> 26-6208</t>
        </r>
      </text>
    </comment>
    <comment ref="A296" authorId="0" shapeId="0" xr:uid="{DAB90CB5-5CB6-43B0-8D41-E3A73D51F14D}">
      <text>
        <r>
          <rPr>
            <sz val="9"/>
            <color indexed="81"/>
            <rFont val="MS P ゴシック"/>
            <family val="3"/>
            <charset val="128"/>
          </rPr>
          <t xml:space="preserve"> 26-6235</t>
        </r>
      </text>
    </comment>
    <comment ref="A298" authorId="0" shapeId="0" xr:uid="{2D5E0074-AE7A-47BC-BDED-6168EAA1FB29}">
      <text>
        <r>
          <rPr>
            <sz val="9"/>
            <color indexed="81"/>
            <rFont val="MS P ゴシック"/>
            <family val="3"/>
            <charset val="128"/>
          </rPr>
          <t xml:space="preserve"> 26-6263</t>
        </r>
      </text>
    </comment>
    <comment ref="A300" authorId="0" shapeId="0" xr:uid="{BDBF241C-4C1F-4227-8EC7-C3B28CD1F886}">
      <text>
        <r>
          <rPr>
            <sz val="9"/>
            <color indexed="81"/>
            <rFont val="MS P ゴシック"/>
            <family val="3"/>
            <charset val="128"/>
          </rPr>
          <t xml:space="preserve"> 26-6269</t>
        </r>
      </text>
    </comment>
    <comment ref="A302" authorId="0" shapeId="0" xr:uid="{06A52AD1-FFAD-4711-A1F8-F5247ECF7796}">
      <text>
        <r>
          <rPr>
            <sz val="9"/>
            <color indexed="81"/>
            <rFont val="MS P ゴシック"/>
            <family val="3"/>
            <charset val="128"/>
          </rPr>
          <t xml:space="preserve"> 26-6271</t>
        </r>
      </text>
    </comment>
    <comment ref="A304" authorId="0" shapeId="0" xr:uid="{2F8DCF27-B278-4F47-B1D1-587333A9B07B}">
      <text>
        <r>
          <rPr>
            <sz val="9"/>
            <color indexed="81"/>
            <rFont val="MS P ゴシック"/>
            <family val="3"/>
            <charset val="128"/>
          </rPr>
          <t xml:space="preserve"> 26-6283</t>
        </r>
      </text>
    </comment>
    <comment ref="A306" authorId="0" shapeId="0" xr:uid="{F5E324B8-4DA2-4E12-B6C3-289438A2AF01}">
      <text>
        <r>
          <rPr>
            <sz val="9"/>
            <color indexed="81"/>
            <rFont val="MS P ゴシック"/>
            <family val="3"/>
            <charset val="128"/>
          </rPr>
          <t xml:space="preserve"> 26-6287</t>
        </r>
      </text>
    </comment>
    <comment ref="A308" authorId="0" shapeId="0" xr:uid="{097C5B31-06AD-44E1-B35B-A9D2688C6053}">
      <text>
        <r>
          <rPr>
            <sz val="9"/>
            <color indexed="81"/>
            <rFont val="MS P ゴシック"/>
            <family val="3"/>
            <charset val="128"/>
          </rPr>
          <t xml:space="preserve"> 26-6292</t>
        </r>
      </text>
    </comment>
    <comment ref="A310" authorId="0" shapeId="0" xr:uid="{AE05A385-5345-42D4-BEC6-16E14AF9F308}">
      <text>
        <r>
          <rPr>
            <sz val="9"/>
            <color indexed="81"/>
            <rFont val="MS P ゴシック"/>
            <family val="3"/>
            <charset val="128"/>
          </rPr>
          <t xml:space="preserve"> 26-6294</t>
        </r>
      </text>
    </comment>
    <comment ref="A312" authorId="0" shapeId="0" xr:uid="{E32CF911-5F9B-490F-B32D-0C7C7E8ECE55}">
      <text>
        <r>
          <rPr>
            <sz val="9"/>
            <color indexed="81"/>
            <rFont val="MS P ゴシック"/>
            <family val="3"/>
            <charset val="128"/>
          </rPr>
          <t xml:space="preserve"> 26-6295</t>
        </r>
      </text>
    </comment>
    <comment ref="A314" authorId="0" shapeId="0" xr:uid="{9B1B7F68-FB35-4A9A-BFA0-44B5EBAC6933}">
      <text>
        <r>
          <rPr>
            <sz val="9"/>
            <color indexed="81"/>
            <rFont val="MS P ゴシック"/>
            <family val="3"/>
            <charset val="128"/>
          </rPr>
          <t xml:space="preserve"> 26-6300</t>
        </r>
      </text>
    </comment>
    <comment ref="A316" authorId="0" shapeId="0" xr:uid="{17A8F87C-A329-491E-96D8-62D9A0446E14}">
      <text>
        <r>
          <rPr>
            <sz val="9"/>
            <color indexed="81"/>
            <rFont val="MS P ゴシック"/>
            <family val="3"/>
            <charset val="128"/>
          </rPr>
          <t xml:space="preserve"> 26-6308</t>
        </r>
      </text>
    </comment>
    <comment ref="A318" authorId="0" shapeId="0" xr:uid="{58072CEB-1425-49C1-9CF8-CA39F0425738}">
      <text>
        <r>
          <rPr>
            <sz val="9"/>
            <color indexed="81"/>
            <rFont val="MS P ゴシック"/>
            <family val="3"/>
            <charset val="128"/>
          </rPr>
          <t xml:space="preserve"> 26-6313</t>
        </r>
      </text>
    </comment>
    <comment ref="A320" authorId="0" shapeId="0" xr:uid="{BFDEAA55-0657-4C0A-BCED-E13034529D2F}">
      <text>
        <r>
          <rPr>
            <sz val="9"/>
            <color indexed="81"/>
            <rFont val="MS P ゴシック"/>
            <family val="3"/>
            <charset val="128"/>
          </rPr>
          <t xml:space="preserve"> 26-6315</t>
        </r>
      </text>
    </comment>
    <comment ref="A322" authorId="0" shapeId="0" xr:uid="{F146E0AB-A615-4B19-8ADF-FD3D8D229283}">
      <text>
        <r>
          <rPr>
            <sz val="9"/>
            <color indexed="81"/>
            <rFont val="MS P ゴシック"/>
            <family val="3"/>
            <charset val="128"/>
          </rPr>
          <t xml:space="preserve"> 26-6317</t>
        </r>
      </text>
    </comment>
    <comment ref="A324" authorId="0" shapeId="0" xr:uid="{83CFAC7E-BD1A-4A0B-94D6-7CD411CB862A}">
      <text>
        <r>
          <rPr>
            <sz val="9"/>
            <color indexed="81"/>
            <rFont val="MS P ゴシック"/>
            <family val="3"/>
            <charset val="128"/>
          </rPr>
          <t xml:space="preserve"> 26-6323</t>
        </r>
      </text>
    </comment>
    <comment ref="A326" authorId="0" shapeId="0" xr:uid="{222B83C0-4B7F-4FDC-B7B1-304EBDDF4E01}">
      <text>
        <r>
          <rPr>
            <sz val="9"/>
            <color indexed="81"/>
            <rFont val="MS P ゴシック"/>
            <family val="3"/>
            <charset val="128"/>
          </rPr>
          <t xml:space="preserve"> 26-6328</t>
        </r>
      </text>
    </comment>
    <comment ref="A328" authorId="0" shapeId="0" xr:uid="{10668B48-6AA1-440F-932D-DBA98D2D9CEF}">
      <text>
        <r>
          <rPr>
            <sz val="9"/>
            <color indexed="81"/>
            <rFont val="MS P ゴシック"/>
            <family val="3"/>
            <charset val="128"/>
          </rPr>
          <t xml:space="preserve"> 26-6329</t>
        </r>
      </text>
    </comment>
    <comment ref="A330" authorId="0" shapeId="0" xr:uid="{632F5E2F-C8AC-4D91-8F43-0C0C84EFA02D}">
      <text>
        <r>
          <rPr>
            <sz val="9"/>
            <color indexed="81"/>
            <rFont val="MS P ゴシック"/>
            <family val="3"/>
            <charset val="128"/>
          </rPr>
          <t xml:space="preserve"> 26-6333</t>
        </r>
      </text>
    </comment>
    <comment ref="A332" authorId="0" shapeId="0" xr:uid="{55D91603-B70D-4D3A-88F3-F9782996C96C}">
      <text>
        <r>
          <rPr>
            <sz val="9"/>
            <color indexed="81"/>
            <rFont val="MS P ゴシック"/>
            <family val="3"/>
            <charset val="128"/>
          </rPr>
          <t xml:space="preserve"> 26-6341</t>
        </r>
      </text>
    </comment>
    <comment ref="A334" authorId="0" shapeId="0" xr:uid="{F806F909-7858-4B83-BB22-9DCF4E591A09}">
      <text>
        <r>
          <rPr>
            <sz val="9"/>
            <color indexed="81"/>
            <rFont val="MS P ゴシック"/>
            <family val="3"/>
            <charset val="128"/>
          </rPr>
          <t xml:space="preserve"> 26-6347</t>
        </r>
      </text>
    </comment>
    <comment ref="A336" authorId="0" shapeId="0" xr:uid="{EC898DC4-A85A-46AD-822B-2C9EB9F79346}">
      <text>
        <r>
          <rPr>
            <sz val="9"/>
            <color indexed="81"/>
            <rFont val="MS P ゴシック"/>
            <family val="3"/>
            <charset val="128"/>
          </rPr>
          <t xml:space="preserve"> 26-6349</t>
        </r>
      </text>
    </comment>
    <comment ref="A338" authorId="0" shapeId="0" xr:uid="{F6B1AEC3-00C3-4761-9A9D-37AA02758F90}">
      <text>
        <r>
          <rPr>
            <sz val="9"/>
            <color indexed="81"/>
            <rFont val="MS P ゴシック"/>
            <family val="3"/>
            <charset val="128"/>
          </rPr>
          <t xml:space="preserve"> 26-6354</t>
        </r>
      </text>
    </comment>
    <comment ref="A340" authorId="0" shapeId="0" xr:uid="{CEAC90A9-3CA8-4C53-9EED-1B2CF5177E6D}">
      <text>
        <r>
          <rPr>
            <sz val="9"/>
            <color indexed="81"/>
            <rFont val="MS P ゴシック"/>
            <family val="3"/>
            <charset val="128"/>
          </rPr>
          <t xml:space="preserve"> 26-6362</t>
        </r>
      </text>
    </comment>
    <comment ref="A342" authorId="0" shapeId="0" xr:uid="{B3E73470-AA51-486F-AE29-10A4F67B79F6}">
      <text>
        <r>
          <rPr>
            <sz val="9"/>
            <color indexed="81"/>
            <rFont val="MS P ゴシック"/>
            <family val="3"/>
            <charset val="128"/>
          </rPr>
          <t xml:space="preserve"> 26-6380</t>
        </r>
      </text>
    </comment>
    <comment ref="A344" authorId="0" shapeId="0" xr:uid="{2EFB3C44-BD91-4DF2-9068-EB29936227CA}">
      <text>
        <r>
          <rPr>
            <sz val="9"/>
            <color indexed="81"/>
            <rFont val="MS P ゴシック"/>
            <family val="3"/>
            <charset val="128"/>
          </rPr>
          <t xml:space="preserve"> 26-6383</t>
        </r>
      </text>
    </comment>
    <comment ref="A346" authorId="0" shapeId="0" xr:uid="{54F44DBE-F595-426A-BA40-E80BCECE9426}">
      <text>
        <r>
          <rPr>
            <sz val="9"/>
            <color indexed="81"/>
            <rFont val="MS P ゴシック"/>
            <family val="3"/>
            <charset val="128"/>
          </rPr>
          <t xml:space="preserve"> 26-6386</t>
        </r>
      </text>
    </comment>
    <comment ref="A348" authorId="0" shapeId="0" xr:uid="{01D2B111-F549-487C-AA3A-303C18E4CA44}">
      <text>
        <r>
          <rPr>
            <sz val="9"/>
            <color indexed="81"/>
            <rFont val="MS P ゴシック"/>
            <family val="3"/>
            <charset val="128"/>
          </rPr>
          <t xml:space="preserve"> 26-6393</t>
        </r>
      </text>
    </comment>
    <comment ref="A350" authorId="0" shapeId="0" xr:uid="{158733CF-78B7-4AF3-B281-B6ADBA79D29A}">
      <text>
        <r>
          <rPr>
            <sz val="9"/>
            <color indexed="81"/>
            <rFont val="MS P ゴシック"/>
            <family val="3"/>
            <charset val="128"/>
          </rPr>
          <t xml:space="preserve"> 26-6400</t>
        </r>
      </text>
    </comment>
    <comment ref="A352" authorId="0" shapeId="0" xr:uid="{359EC124-2427-4EF3-86B2-53A362885BAC}">
      <text>
        <r>
          <rPr>
            <sz val="9"/>
            <color indexed="81"/>
            <rFont val="MS P ゴシック"/>
            <family val="3"/>
            <charset val="128"/>
          </rPr>
          <t xml:space="preserve"> 26-6401</t>
        </r>
      </text>
    </comment>
    <comment ref="A354" authorId="0" shapeId="0" xr:uid="{138D4BF5-6EAC-4652-A75C-81232D316E08}">
      <text>
        <r>
          <rPr>
            <sz val="9"/>
            <color indexed="81"/>
            <rFont val="MS P ゴシック"/>
            <family val="3"/>
            <charset val="128"/>
          </rPr>
          <t xml:space="preserve"> 26-6404</t>
        </r>
      </text>
    </comment>
    <comment ref="A356" authorId="0" shapeId="0" xr:uid="{97CCBDC5-0D25-4A02-912A-D7572C90D649}">
      <text>
        <r>
          <rPr>
            <sz val="9"/>
            <color indexed="81"/>
            <rFont val="MS P ゴシック"/>
            <family val="3"/>
            <charset val="128"/>
          </rPr>
          <t xml:space="preserve"> 26-6405</t>
        </r>
      </text>
    </comment>
    <comment ref="A358" authorId="0" shapeId="0" xr:uid="{13ABFBDD-F3DC-4298-B1C8-3EC9C9C3671B}">
      <text>
        <r>
          <rPr>
            <sz val="9"/>
            <color indexed="81"/>
            <rFont val="MS P ゴシック"/>
            <family val="3"/>
            <charset val="128"/>
          </rPr>
          <t xml:space="preserve"> 26-6414</t>
        </r>
      </text>
    </comment>
    <comment ref="A360" authorId="0" shapeId="0" xr:uid="{6B9FD6DC-A5EF-4C65-B3B1-E2639B5931E7}">
      <text>
        <r>
          <rPr>
            <sz val="9"/>
            <color indexed="81"/>
            <rFont val="MS P ゴシック"/>
            <family val="3"/>
            <charset val="128"/>
          </rPr>
          <t xml:space="preserve"> 26-6420</t>
        </r>
      </text>
    </comment>
    <comment ref="A362" authorId="0" shapeId="0" xr:uid="{16EC34D7-27B7-4B60-8AD4-ACC18183E368}">
      <text>
        <r>
          <rPr>
            <sz val="9"/>
            <color indexed="81"/>
            <rFont val="MS P ゴシック"/>
            <family val="3"/>
            <charset val="128"/>
          </rPr>
          <t xml:space="preserve"> 26-6429</t>
        </r>
      </text>
    </comment>
    <comment ref="A364" authorId="0" shapeId="0" xr:uid="{5B5F8873-7B5B-4396-8A10-4F1DB4A575EF}">
      <text>
        <r>
          <rPr>
            <sz val="9"/>
            <color indexed="81"/>
            <rFont val="MS P ゴシック"/>
            <family val="3"/>
            <charset val="128"/>
          </rPr>
          <t xml:space="preserve"> 26-6431</t>
        </r>
      </text>
    </comment>
    <comment ref="A366" authorId="0" shapeId="0" xr:uid="{28CBEC8C-E826-417D-A677-296673DAAC8A}">
      <text>
        <r>
          <rPr>
            <sz val="9"/>
            <color indexed="81"/>
            <rFont val="MS P ゴシック"/>
            <family val="3"/>
            <charset val="128"/>
          </rPr>
          <t xml:space="preserve"> 26-6432</t>
        </r>
      </text>
    </comment>
    <comment ref="A368" authorId="0" shapeId="0" xr:uid="{4DF7DED7-65C2-4F9F-AD8C-7C2BF08EBAE5}">
      <text>
        <r>
          <rPr>
            <sz val="9"/>
            <color indexed="81"/>
            <rFont val="MS P ゴシック"/>
            <family val="3"/>
            <charset val="128"/>
          </rPr>
          <t xml:space="preserve"> 26-6437</t>
        </r>
      </text>
    </comment>
    <comment ref="A370" authorId="0" shapeId="0" xr:uid="{3F5BE2DB-3490-44E6-B8F8-21053493BDE2}">
      <text>
        <r>
          <rPr>
            <sz val="9"/>
            <color indexed="81"/>
            <rFont val="MS P ゴシック"/>
            <family val="3"/>
            <charset val="128"/>
          </rPr>
          <t xml:space="preserve"> 26-6440</t>
        </r>
      </text>
    </comment>
    <comment ref="A372" authorId="0" shapeId="0" xr:uid="{0799E601-8254-479E-A716-7A61C641D336}">
      <text>
        <r>
          <rPr>
            <sz val="9"/>
            <color indexed="81"/>
            <rFont val="MS P ゴシック"/>
            <family val="3"/>
            <charset val="128"/>
          </rPr>
          <t xml:space="preserve"> 26-6449</t>
        </r>
      </text>
    </comment>
    <comment ref="A374" authorId="0" shapeId="0" xr:uid="{EB05B9BB-AE8D-4C21-8BF4-059E91FE3131}">
      <text>
        <r>
          <rPr>
            <sz val="9"/>
            <color indexed="81"/>
            <rFont val="MS P ゴシック"/>
            <family val="3"/>
            <charset val="128"/>
          </rPr>
          <t xml:space="preserve"> 26-6453</t>
        </r>
      </text>
    </comment>
    <comment ref="A376" authorId="0" shapeId="0" xr:uid="{0F8221C5-73BC-4F92-8169-445193AECF60}">
      <text>
        <r>
          <rPr>
            <sz val="9"/>
            <color indexed="81"/>
            <rFont val="MS P ゴシック"/>
            <family val="3"/>
            <charset val="128"/>
          </rPr>
          <t xml:space="preserve"> 26-6456</t>
        </r>
      </text>
    </comment>
    <comment ref="A378" authorId="0" shapeId="0" xr:uid="{09931BFD-8E43-4E8B-B60A-A76F879D5C21}">
      <text>
        <r>
          <rPr>
            <sz val="9"/>
            <color indexed="81"/>
            <rFont val="MS P ゴシック"/>
            <family val="3"/>
            <charset val="128"/>
          </rPr>
          <t xml:space="preserve"> 26-6459</t>
        </r>
      </text>
    </comment>
    <comment ref="A380" authorId="0" shapeId="0" xr:uid="{F9CEF854-BD7D-45DD-A9CF-E786FEE32EE3}">
      <text>
        <r>
          <rPr>
            <sz val="9"/>
            <color indexed="81"/>
            <rFont val="MS P ゴシック"/>
            <family val="3"/>
            <charset val="128"/>
          </rPr>
          <t xml:space="preserve"> 26-6461</t>
        </r>
      </text>
    </comment>
    <comment ref="A382" authorId="0" shapeId="0" xr:uid="{2FE6B43F-537C-4A04-8F47-01E9CC5E64FF}">
      <text>
        <r>
          <rPr>
            <sz val="9"/>
            <color indexed="81"/>
            <rFont val="MS P ゴシック"/>
            <family val="3"/>
            <charset val="128"/>
          </rPr>
          <t xml:space="preserve"> 26-6474</t>
        </r>
      </text>
    </comment>
    <comment ref="A384" authorId="0" shapeId="0" xr:uid="{DCDE86FD-18CB-470C-8373-D24E0058832D}">
      <text>
        <r>
          <rPr>
            <sz val="9"/>
            <color indexed="81"/>
            <rFont val="MS P ゴシック"/>
            <family val="3"/>
            <charset val="128"/>
          </rPr>
          <t xml:space="preserve"> 26-6475</t>
        </r>
      </text>
    </comment>
    <comment ref="A386" authorId="0" shapeId="0" xr:uid="{365E15C6-ACC2-4589-8AC5-0BC2532F0D93}">
      <text>
        <r>
          <rPr>
            <sz val="9"/>
            <color indexed="81"/>
            <rFont val="MS P ゴシック"/>
            <family val="3"/>
            <charset val="128"/>
          </rPr>
          <t xml:space="preserve"> 26-6477</t>
        </r>
      </text>
    </comment>
    <comment ref="A388" authorId="0" shapeId="0" xr:uid="{DEB5E356-92EF-4388-96E9-023A19653F20}">
      <text>
        <r>
          <rPr>
            <sz val="9"/>
            <color indexed="81"/>
            <rFont val="MS P ゴシック"/>
            <family val="3"/>
            <charset val="128"/>
          </rPr>
          <t xml:space="preserve"> 26-6479</t>
        </r>
      </text>
    </comment>
    <comment ref="A390" authorId="0" shapeId="0" xr:uid="{A8C3AFA8-DBD3-4C8E-9B5A-CBE36F2831BC}">
      <text>
        <r>
          <rPr>
            <sz val="9"/>
            <color indexed="81"/>
            <rFont val="MS P ゴシック"/>
            <family val="3"/>
            <charset val="128"/>
          </rPr>
          <t xml:space="preserve"> 26-6481</t>
        </r>
      </text>
    </comment>
    <comment ref="A392" authorId="0" shapeId="0" xr:uid="{8992C486-4B21-4023-97B1-7FCC4458D533}">
      <text>
        <r>
          <rPr>
            <sz val="9"/>
            <color indexed="81"/>
            <rFont val="MS P ゴシック"/>
            <family val="3"/>
            <charset val="128"/>
          </rPr>
          <t xml:space="preserve"> 26-6484</t>
        </r>
      </text>
    </comment>
    <comment ref="A394" authorId="0" shapeId="0" xr:uid="{2CF22025-D182-439F-806B-837B0947251E}">
      <text>
        <r>
          <rPr>
            <sz val="9"/>
            <color indexed="81"/>
            <rFont val="MS P ゴシック"/>
            <family val="3"/>
            <charset val="128"/>
          </rPr>
          <t xml:space="preserve"> 26-6485</t>
        </r>
      </text>
    </comment>
    <comment ref="A396" authorId="0" shapeId="0" xr:uid="{818A79EE-5A6B-4618-88D0-194E139D0485}">
      <text>
        <r>
          <rPr>
            <sz val="9"/>
            <color indexed="81"/>
            <rFont val="MS P ゴシック"/>
            <family val="3"/>
            <charset val="128"/>
          </rPr>
          <t xml:space="preserve"> 26-6487</t>
        </r>
      </text>
    </comment>
    <comment ref="A398" authorId="0" shapeId="0" xr:uid="{71A1250F-93F0-4350-B595-3115B7B10D8A}">
      <text>
        <r>
          <rPr>
            <sz val="9"/>
            <color indexed="81"/>
            <rFont val="MS P ゴシック"/>
            <family val="3"/>
            <charset val="128"/>
          </rPr>
          <t xml:space="preserve"> 26-6491</t>
        </r>
      </text>
    </comment>
    <comment ref="A400" authorId="0" shapeId="0" xr:uid="{27371123-350A-4034-9BB3-2841C4B98681}">
      <text>
        <r>
          <rPr>
            <sz val="9"/>
            <color indexed="81"/>
            <rFont val="MS P ゴシック"/>
            <family val="3"/>
            <charset val="128"/>
          </rPr>
          <t xml:space="preserve"> 26-6492</t>
        </r>
      </text>
    </comment>
    <comment ref="A402" authorId="0" shapeId="0" xr:uid="{31821231-B866-414B-9B9D-3BD18CEBCBAE}">
      <text>
        <r>
          <rPr>
            <sz val="9"/>
            <color indexed="81"/>
            <rFont val="MS P ゴシック"/>
            <family val="3"/>
            <charset val="128"/>
          </rPr>
          <t xml:space="preserve"> 26-6493</t>
        </r>
      </text>
    </comment>
    <comment ref="A404" authorId="0" shapeId="0" xr:uid="{B72682FD-D35E-457C-9BDB-BEFF2AE4B49C}">
      <text>
        <r>
          <rPr>
            <sz val="9"/>
            <color indexed="81"/>
            <rFont val="MS P ゴシック"/>
            <family val="3"/>
            <charset val="128"/>
          </rPr>
          <t xml:space="preserve"> 26-6495</t>
        </r>
      </text>
    </comment>
    <comment ref="A406" authorId="0" shapeId="0" xr:uid="{9503032A-F744-4ACB-8207-130576A1D8CE}">
      <text>
        <r>
          <rPr>
            <sz val="9"/>
            <color indexed="81"/>
            <rFont val="MS P ゴシック"/>
            <family val="3"/>
            <charset val="128"/>
          </rPr>
          <t xml:space="preserve"> 26-6511</t>
        </r>
      </text>
    </comment>
    <comment ref="A408" authorId="0" shapeId="0" xr:uid="{F0F0D74F-AED0-45C2-927A-D53CFAFEC140}">
      <text>
        <r>
          <rPr>
            <sz val="9"/>
            <color indexed="81"/>
            <rFont val="MS P ゴシック"/>
            <family val="3"/>
            <charset val="128"/>
          </rPr>
          <t xml:space="preserve"> 26-6519</t>
        </r>
      </text>
    </comment>
    <comment ref="A410" authorId="0" shapeId="0" xr:uid="{BEAAAA25-617E-4F75-A50C-891C763D984B}">
      <text>
        <r>
          <rPr>
            <sz val="9"/>
            <color indexed="81"/>
            <rFont val="MS P ゴシック"/>
            <family val="3"/>
            <charset val="128"/>
          </rPr>
          <t xml:space="preserve"> 26-6521</t>
        </r>
      </text>
    </comment>
    <comment ref="A412" authorId="0" shapeId="0" xr:uid="{DE942E14-4BAF-4BEB-841F-E754BA9C6D0C}">
      <text>
        <r>
          <rPr>
            <sz val="9"/>
            <color indexed="81"/>
            <rFont val="MS P ゴシック"/>
            <family val="3"/>
            <charset val="128"/>
          </rPr>
          <t xml:space="preserve"> 26-6523</t>
        </r>
      </text>
    </comment>
    <comment ref="A414" authorId="0" shapeId="0" xr:uid="{9E04A182-A153-44A7-AB75-78A7F9F8E8E9}">
      <text>
        <r>
          <rPr>
            <sz val="9"/>
            <color indexed="81"/>
            <rFont val="MS P ゴシック"/>
            <family val="3"/>
            <charset val="128"/>
          </rPr>
          <t xml:space="preserve"> 26-6524</t>
        </r>
      </text>
    </comment>
    <comment ref="A416" authorId="0" shapeId="0" xr:uid="{9A91D920-5E49-4AE3-8E51-BF7A7856B31D}">
      <text>
        <r>
          <rPr>
            <sz val="9"/>
            <color indexed="81"/>
            <rFont val="MS P ゴシック"/>
            <family val="3"/>
            <charset val="128"/>
          </rPr>
          <t xml:space="preserve"> 26-6525</t>
        </r>
      </text>
    </comment>
    <comment ref="A418" authorId="0" shapeId="0" xr:uid="{0F922E99-44E4-448E-9235-348345049E21}">
      <text>
        <r>
          <rPr>
            <sz val="9"/>
            <color indexed="81"/>
            <rFont val="MS P ゴシック"/>
            <family val="3"/>
            <charset val="128"/>
          </rPr>
          <t xml:space="preserve"> 26-6527</t>
        </r>
      </text>
    </comment>
    <comment ref="A420" authorId="0" shapeId="0" xr:uid="{095F19D6-9E42-4D9C-A400-822EF2686509}">
      <text>
        <r>
          <rPr>
            <sz val="9"/>
            <color indexed="81"/>
            <rFont val="MS P ゴシック"/>
            <family val="3"/>
            <charset val="128"/>
          </rPr>
          <t xml:space="preserve"> 26-6528</t>
        </r>
      </text>
    </comment>
    <comment ref="A422" authorId="0" shapeId="0" xr:uid="{64405173-993B-4B32-9405-2EEF86ED6E8A}">
      <text>
        <r>
          <rPr>
            <sz val="9"/>
            <color indexed="81"/>
            <rFont val="MS P ゴシック"/>
            <family val="3"/>
            <charset val="128"/>
          </rPr>
          <t xml:space="preserve"> 26-6529</t>
        </r>
      </text>
    </comment>
    <comment ref="A424" authorId="0" shapeId="0" xr:uid="{D343FDED-4DE0-4741-B0B2-20A22589CBEA}">
      <text>
        <r>
          <rPr>
            <sz val="9"/>
            <color indexed="81"/>
            <rFont val="MS P ゴシック"/>
            <family val="3"/>
            <charset val="128"/>
          </rPr>
          <t xml:space="preserve"> 26-6531</t>
        </r>
      </text>
    </comment>
    <comment ref="A426" authorId="0" shapeId="0" xr:uid="{D79322A7-A233-4206-8961-A3D85E9B983E}">
      <text>
        <r>
          <rPr>
            <sz val="9"/>
            <color indexed="81"/>
            <rFont val="MS P ゴシック"/>
            <family val="3"/>
            <charset val="128"/>
          </rPr>
          <t xml:space="preserve"> 26-6535</t>
        </r>
      </text>
    </comment>
    <comment ref="A428" authorId="0" shapeId="0" xr:uid="{4B093E58-A777-4FB7-8E01-6C84C20BF11F}">
      <text>
        <r>
          <rPr>
            <sz val="9"/>
            <color indexed="81"/>
            <rFont val="MS P ゴシック"/>
            <family val="3"/>
            <charset val="128"/>
          </rPr>
          <t xml:space="preserve"> 26-6540</t>
        </r>
      </text>
    </comment>
    <comment ref="A430" authorId="0" shapeId="0" xr:uid="{7F679F30-363D-4367-BA5A-0873EED04FC4}">
      <text>
        <r>
          <rPr>
            <sz val="9"/>
            <color indexed="81"/>
            <rFont val="MS P ゴシック"/>
            <family val="3"/>
            <charset val="128"/>
          </rPr>
          <t xml:space="preserve"> 26-6541</t>
        </r>
      </text>
    </comment>
    <comment ref="A432" authorId="0" shapeId="0" xr:uid="{AA16C0FE-DABD-49CE-9E2A-8055959ED04F}">
      <text>
        <r>
          <rPr>
            <sz val="9"/>
            <color indexed="81"/>
            <rFont val="MS P ゴシック"/>
            <family val="3"/>
            <charset val="128"/>
          </rPr>
          <t xml:space="preserve"> 26-6542</t>
        </r>
      </text>
    </comment>
    <comment ref="A434" authorId="0" shapeId="0" xr:uid="{0742FEBB-52C4-4555-BAA4-774F42C21216}">
      <text>
        <r>
          <rPr>
            <sz val="9"/>
            <color indexed="81"/>
            <rFont val="MS P ゴシック"/>
            <family val="3"/>
            <charset val="128"/>
          </rPr>
          <t xml:space="preserve"> 26-6544</t>
        </r>
      </text>
    </comment>
    <comment ref="A436" authorId="0" shapeId="0" xr:uid="{3F2BBF37-C508-4EA5-AD3B-62084BCE56EE}">
      <text>
        <r>
          <rPr>
            <sz val="9"/>
            <color indexed="81"/>
            <rFont val="MS P ゴシック"/>
            <family val="3"/>
            <charset val="128"/>
          </rPr>
          <t xml:space="preserve"> 26-6545</t>
        </r>
      </text>
    </comment>
    <comment ref="A438" authorId="0" shapeId="0" xr:uid="{12105537-0295-4D0E-B8DA-03F40A2BEF05}">
      <text>
        <r>
          <rPr>
            <sz val="9"/>
            <color indexed="81"/>
            <rFont val="MS P ゴシック"/>
            <family val="3"/>
            <charset val="128"/>
          </rPr>
          <t xml:space="preserve"> 26-6546</t>
        </r>
      </text>
    </comment>
    <comment ref="A440" authorId="0" shapeId="0" xr:uid="{FB8133DA-B213-4A0E-9504-B7256B5F3807}">
      <text>
        <r>
          <rPr>
            <sz val="9"/>
            <color indexed="81"/>
            <rFont val="MS P ゴシック"/>
            <family val="3"/>
            <charset val="128"/>
          </rPr>
          <t xml:space="preserve"> 26-6548</t>
        </r>
      </text>
    </comment>
    <comment ref="A442" authorId="0" shapeId="0" xr:uid="{88305881-BD88-4DA8-BC04-EBC61A7CC735}">
      <text>
        <r>
          <rPr>
            <sz val="9"/>
            <color indexed="81"/>
            <rFont val="MS P ゴシック"/>
            <family val="3"/>
            <charset val="128"/>
          </rPr>
          <t xml:space="preserve"> 26-6550</t>
        </r>
      </text>
    </comment>
    <comment ref="A444" authorId="0" shapeId="0" xr:uid="{0B7813D7-09AB-4A43-B01F-BA1A5B36ED51}">
      <text>
        <r>
          <rPr>
            <sz val="9"/>
            <color indexed="81"/>
            <rFont val="MS P ゴシック"/>
            <family val="3"/>
            <charset val="128"/>
          </rPr>
          <t xml:space="preserve"> 26-6552</t>
        </r>
      </text>
    </comment>
    <comment ref="A446" authorId="0" shapeId="0" xr:uid="{C28A53CA-C5DC-4C86-9360-EAB52FD430BC}">
      <text>
        <r>
          <rPr>
            <sz val="9"/>
            <color indexed="81"/>
            <rFont val="MS P ゴシック"/>
            <family val="3"/>
            <charset val="128"/>
          </rPr>
          <t xml:space="preserve"> 26-6553</t>
        </r>
      </text>
    </comment>
    <comment ref="A448" authorId="0" shapeId="0" xr:uid="{13C1ECF4-8D2C-4269-8104-0E8A7B152123}">
      <text>
        <r>
          <rPr>
            <sz val="9"/>
            <color indexed="81"/>
            <rFont val="MS P ゴシック"/>
            <family val="3"/>
            <charset val="128"/>
          </rPr>
          <t xml:space="preserve"> 26-6554</t>
        </r>
      </text>
    </comment>
    <comment ref="A450" authorId="0" shapeId="0" xr:uid="{8A7363BE-E9B7-4A90-A513-2B0171C43BA0}">
      <text>
        <r>
          <rPr>
            <sz val="9"/>
            <color indexed="81"/>
            <rFont val="MS P ゴシック"/>
            <family val="3"/>
            <charset val="128"/>
          </rPr>
          <t xml:space="preserve"> 26-6559</t>
        </r>
      </text>
    </comment>
    <comment ref="A452" authorId="0" shapeId="0" xr:uid="{21C2A44B-F179-4300-9635-2C2365BB8ED7}">
      <text>
        <r>
          <rPr>
            <sz val="9"/>
            <color indexed="81"/>
            <rFont val="MS P ゴシック"/>
            <family val="3"/>
            <charset val="128"/>
          </rPr>
          <t xml:space="preserve"> 26-6561</t>
        </r>
      </text>
    </comment>
    <comment ref="A454" authorId="0" shapeId="0" xr:uid="{AFBCD972-22C9-47A4-BAC4-C066870B2082}">
      <text>
        <r>
          <rPr>
            <sz val="9"/>
            <color indexed="81"/>
            <rFont val="MS P ゴシック"/>
            <family val="3"/>
            <charset val="128"/>
          </rPr>
          <t xml:space="preserve"> 26-6563</t>
        </r>
      </text>
    </comment>
    <comment ref="A456" authorId="0" shapeId="0" xr:uid="{89B0ACC9-D7FB-4ADF-931A-F975BB939C50}">
      <text>
        <r>
          <rPr>
            <sz val="9"/>
            <color indexed="81"/>
            <rFont val="MS P ゴシック"/>
            <family val="3"/>
            <charset val="128"/>
          </rPr>
          <t xml:space="preserve"> 26-6566</t>
        </r>
      </text>
    </comment>
    <comment ref="A458" authorId="0" shapeId="0" xr:uid="{20B0A045-4A35-489F-ACE7-76E9A2716165}">
      <text>
        <r>
          <rPr>
            <sz val="9"/>
            <color indexed="81"/>
            <rFont val="MS P ゴシック"/>
            <family val="3"/>
            <charset val="128"/>
          </rPr>
          <t xml:space="preserve"> 26-6567</t>
        </r>
      </text>
    </comment>
    <comment ref="A460" authorId="0" shapeId="0" xr:uid="{A0DACAF9-7A1A-4D0A-8F35-58EC46A07051}">
      <text>
        <r>
          <rPr>
            <sz val="9"/>
            <color indexed="81"/>
            <rFont val="MS P ゴシック"/>
            <family val="3"/>
            <charset val="128"/>
          </rPr>
          <t xml:space="preserve"> 26-6568</t>
        </r>
      </text>
    </comment>
    <comment ref="A462" authorId="0" shapeId="0" xr:uid="{346ABC73-8881-4A33-9A16-33DE7655F44D}">
      <text>
        <r>
          <rPr>
            <sz val="9"/>
            <color indexed="81"/>
            <rFont val="MS P ゴシック"/>
            <family val="3"/>
            <charset val="128"/>
          </rPr>
          <t xml:space="preserve"> 26-6570</t>
        </r>
      </text>
    </comment>
    <comment ref="A464" authorId="0" shapeId="0" xr:uid="{54E80861-9B6E-448C-9846-ABF8459A7A9D}">
      <text>
        <r>
          <rPr>
            <sz val="9"/>
            <color indexed="81"/>
            <rFont val="MS P ゴシック"/>
            <family val="3"/>
            <charset val="128"/>
          </rPr>
          <t xml:space="preserve"> 26-6571</t>
        </r>
      </text>
    </comment>
    <comment ref="A466" authorId="0" shapeId="0" xr:uid="{92BE8801-189F-4D01-94B9-4F551C061B7F}">
      <text>
        <r>
          <rPr>
            <sz val="9"/>
            <color indexed="81"/>
            <rFont val="MS P ゴシック"/>
            <family val="3"/>
            <charset val="128"/>
          </rPr>
          <t xml:space="preserve"> 26-6575</t>
        </r>
      </text>
    </comment>
    <comment ref="A468" authorId="0" shapeId="0" xr:uid="{4CC9D229-3601-45AF-851F-C892D5AE67F6}">
      <text>
        <r>
          <rPr>
            <sz val="9"/>
            <color indexed="81"/>
            <rFont val="MS P ゴシック"/>
            <family val="3"/>
            <charset val="128"/>
          </rPr>
          <t xml:space="preserve"> 26-6576</t>
        </r>
      </text>
    </comment>
    <comment ref="A470" authorId="0" shapeId="0" xr:uid="{71D6F2E1-0777-447C-99D3-24C810731522}">
      <text>
        <r>
          <rPr>
            <sz val="9"/>
            <color indexed="81"/>
            <rFont val="MS P ゴシック"/>
            <family val="3"/>
            <charset val="128"/>
          </rPr>
          <t xml:space="preserve"> 26-6577</t>
        </r>
      </text>
    </comment>
    <comment ref="A472" authorId="0" shapeId="0" xr:uid="{06A2DA16-1D08-4481-9593-A2266347FA94}">
      <text>
        <r>
          <rPr>
            <sz val="9"/>
            <color indexed="81"/>
            <rFont val="MS P ゴシック"/>
            <family val="3"/>
            <charset val="128"/>
          </rPr>
          <t xml:space="preserve"> 26-6584</t>
        </r>
      </text>
    </comment>
    <comment ref="A474" authorId="0" shapeId="0" xr:uid="{801ABE0C-DA75-4294-9743-A9BEE7E2DA3C}">
      <text>
        <r>
          <rPr>
            <sz val="9"/>
            <color indexed="81"/>
            <rFont val="MS P ゴシック"/>
            <family val="3"/>
            <charset val="128"/>
          </rPr>
          <t xml:space="preserve"> 26-6586</t>
        </r>
      </text>
    </comment>
    <comment ref="A476" authorId="0" shapeId="0" xr:uid="{ECB7B707-D64B-4B95-B645-BE9914615250}">
      <text>
        <r>
          <rPr>
            <sz val="9"/>
            <color indexed="81"/>
            <rFont val="MS P ゴシック"/>
            <family val="3"/>
            <charset val="128"/>
          </rPr>
          <t xml:space="preserve"> 26-6587</t>
        </r>
      </text>
    </comment>
    <comment ref="A478" authorId="0" shapeId="0" xr:uid="{F19E1BFE-C3D0-4854-B024-4615B2D88F54}">
      <text>
        <r>
          <rPr>
            <sz val="9"/>
            <color indexed="81"/>
            <rFont val="MS P ゴシック"/>
            <family val="3"/>
            <charset val="128"/>
          </rPr>
          <t xml:space="preserve"> 26-6588</t>
        </r>
      </text>
    </comment>
    <comment ref="A480" authorId="0" shapeId="0" xr:uid="{A28E2EA7-FBB1-494B-B9BE-02E08837F35F}">
      <text>
        <r>
          <rPr>
            <sz val="9"/>
            <color indexed="81"/>
            <rFont val="MS P ゴシック"/>
            <family val="3"/>
            <charset val="128"/>
          </rPr>
          <t xml:space="preserve"> 26-6590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瀧井良介</author>
  </authors>
  <commentList>
    <comment ref="A10" authorId="0" shapeId="0" xr:uid="{69ABB438-99B3-41AD-9482-037D3496AFF4}">
      <text>
        <r>
          <rPr>
            <sz val="9"/>
            <color indexed="81"/>
            <rFont val="MS P ゴシック"/>
            <family val="3"/>
            <charset val="128"/>
          </rPr>
          <t xml:space="preserve"> 26-5963</t>
        </r>
      </text>
    </comment>
    <comment ref="A12" authorId="0" shapeId="0" xr:uid="{7D648D69-63F8-4438-A19E-63D34F0B692C}">
      <text>
        <r>
          <rPr>
            <sz val="9"/>
            <color indexed="81"/>
            <rFont val="MS P ゴシック"/>
            <family val="3"/>
            <charset val="128"/>
          </rPr>
          <t xml:space="preserve"> 26-6478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瀧井良介</author>
  </authors>
  <commentList>
    <comment ref="A10" authorId="0" shapeId="0" xr:uid="{C5C9451D-3D24-4A33-B841-393F307AB01D}">
      <text>
        <r>
          <rPr>
            <sz val="9"/>
            <color indexed="81"/>
            <rFont val="MS P ゴシック"/>
            <family val="3"/>
            <charset val="128"/>
          </rPr>
          <t>13-001 14-001 15-001 16-001 17-001 18-001 19-001 20-001 21-001 22-001 23-001 24-001 25-001 26-001</t>
        </r>
      </text>
    </comment>
    <comment ref="A12" authorId="0" shapeId="0" xr:uid="{6C056C63-13AC-46A0-956A-3F33E84C860E}">
      <text>
        <r>
          <rPr>
            <sz val="9"/>
            <color indexed="81"/>
            <rFont val="MS P ゴシック"/>
            <family val="3"/>
            <charset val="128"/>
          </rPr>
          <t>13-002 14-002 15-002 16-002 17-002 18-002 19-002 20-002 21-003 21-002 22-002a 23-002 24-002 25-002 26-002</t>
        </r>
      </text>
    </comment>
    <comment ref="A14" authorId="0" shapeId="0" xr:uid="{520F791D-3340-47B9-BB39-BC1A8C9D8D16}">
      <text>
        <r>
          <rPr>
            <sz val="9"/>
            <color indexed="81"/>
            <rFont val="MS P ゴシック"/>
            <family val="3"/>
            <charset val="128"/>
          </rPr>
          <t>13-003 14-003 15-003 16-003 17-003 18-003 19-003 20-003 21-003 22-002b 23-003 24-003 25-003 26-003</t>
        </r>
      </text>
    </comment>
    <comment ref="A16" authorId="0" shapeId="0" xr:uid="{59F48FA4-4FBF-4D34-92D3-2E17D44E3FFF}">
      <text>
        <r>
          <rPr>
            <sz val="9"/>
            <color indexed="81"/>
            <rFont val="MS P ゴシック"/>
            <family val="3"/>
            <charset val="128"/>
          </rPr>
          <t>12-007 13-006 14-006 15-005 16-005 17-005 18-005 19-005 20-005 21-004 22-003 23-004 24-004 25-004 26-004</t>
        </r>
      </text>
    </comment>
    <comment ref="A18" authorId="0" shapeId="0" xr:uid="{30FDC0DA-6418-46AC-9746-AD4B1FD34D60}">
      <text>
        <r>
          <rPr>
            <sz val="9"/>
            <color indexed="81"/>
            <rFont val="MS P ゴシック"/>
            <family val="3"/>
            <charset val="128"/>
          </rPr>
          <t>12-009 13-008 14-007 15-006 16-006 17-006 18-006 19-006 20-006 21-005 22-004 23-005 24-005 25-005 26-005</t>
        </r>
      </text>
    </comment>
    <comment ref="A20" authorId="0" shapeId="0" xr:uid="{07FC533D-7263-40D1-A1FE-DEAF6ACBED02}">
      <text>
        <r>
          <rPr>
            <sz val="9"/>
            <color indexed="81"/>
            <rFont val="MS P ゴシック"/>
            <family val="3"/>
            <charset val="128"/>
          </rPr>
          <t>10-015 12-010 13-009 14-008 15-007 16-007 17-007 18-007 19-007 20-007 21-006 22-005 23-006 24-006 25-006 26-006</t>
        </r>
      </text>
    </comment>
    <comment ref="A22" authorId="0" shapeId="0" xr:uid="{F50847A6-9C76-4AA8-8D9D-55EDF0ED1D06}">
      <text>
        <r>
          <rPr>
            <sz val="9"/>
            <color indexed="81"/>
            <rFont val="MS P ゴシック"/>
            <family val="3"/>
            <charset val="128"/>
          </rPr>
          <t>10-018 12-012 13-010 14-009 15-008 16-008 17-008 18-008 19-008 20-008 21-007 22-006 23-007 24-007 25-007 26-007</t>
        </r>
      </text>
    </comment>
    <comment ref="A24" authorId="0" shapeId="0" xr:uid="{97FBEDEE-96DA-4734-996D-52A488CC9E29}">
      <text>
        <r>
          <rPr>
            <sz val="9"/>
            <color indexed="81"/>
            <rFont val="MS P ゴシック"/>
            <family val="3"/>
            <charset val="128"/>
          </rPr>
          <t>12-020 13-017 14-015 15-012 16-011 17-010 18-009 19-009 20-009 21-008 22-007 23-008 24-008 25-008 26-008</t>
        </r>
      </text>
    </comment>
    <comment ref="A26" authorId="0" shapeId="0" xr:uid="{07EAE8A4-3326-4D12-8626-566237D300CA}">
      <text>
        <r>
          <rPr>
            <sz val="9"/>
            <color indexed="81"/>
            <rFont val="MS P ゴシック"/>
            <family val="3"/>
            <charset val="128"/>
          </rPr>
          <t>12-030 13-025 14-020 15-016 16-015 17-012 18-011 19-011 20-011 21-010 22-009 23-010 24-010 25-010 26-009</t>
        </r>
      </text>
    </comment>
    <comment ref="A28" authorId="0" shapeId="0" xr:uid="{B30F55A8-89FC-4D5C-9C22-9351EA0F2CA9}">
      <text>
        <r>
          <rPr>
            <sz val="9"/>
            <color indexed="81"/>
            <rFont val="MS P ゴシック"/>
            <family val="3"/>
            <charset val="128"/>
          </rPr>
          <t>12-035 13-027 14-021 15-017 16-016 17-013 18-012 19-012 20-012 21-011 22-010 23-011 24-011 25-011 26-010</t>
        </r>
      </text>
    </comment>
    <comment ref="A30" authorId="0" shapeId="0" xr:uid="{C4CA86F8-1A36-40FE-A4D3-10EFDCA17BC0}">
      <text>
        <r>
          <rPr>
            <sz val="9"/>
            <color indexed="81"/>
            <rFont val="MS P ゴシック"/>
            <family val="3"/>
            <charset val="128"/>
          </rPr>
          <t>12-040 13-030 14-023 15-019 16-018 17-015 18-014 19-013 20-013 21-012 22-011 23-012 24-012 25-012 26-011</t>
        </r>
      </text>
    </comment>
    <comment ref="A32" authorId="0" shapeId="0" xr:uid="{74D8CD1B-D5DF-44E3-B461-D9C3EA0DCC7E}">
      <text>
        <r>
          <rPr>
            <sz val="9"/>
            <color indexed="81"/>
            <rFont val="MS P ゴシック"/>
            <family val="3"/>
            <charset val="128"/>
          </rPr>
          <t>12-043 13-031 14-024 15-020 16-019 17-016 18-015 19-014 20-014 21-013 22-012 23-013 24-013 25-013 26-012</t>
        </r>
      </text>
    </comment>
    <comment ref="A34" authorId="0" shapeId="0" xr:uid="{9FDED033-88EB-4EEB-8750-8B92129BDD3E}">
      <text>
        <r>
          <rPr>
            <sz val="9"/>
            <color indexed="81"/>
            <rFont val="MS P ゴシック"/>
            <family val="3"/>
            <charset val="128"/>
          </rPr>
          <t>12-395 13-045 14-031 15-024a 16-022 17-019 18-018 19-017 20-017 21-015 22-013 23-014 24-014 25-014 26-013</t>
        </r>
      </text>
    </comment>
    <comment ref="A36" authorId="0" shapeId="0" xr:uid="{43473DD3-9FCC-47FB-BEA6-1EC49E54F01A}">
      <text>
        <r>
          <rPr>
            <sz val="9"/>
            <color indexed="81"/>
            <rFont val="MS P ゴシック"/>
            <family val="3"/>
            <charset val="128"/>
          </rPr>
          <t>12-896 13-102 14-043 15-028 16-025 17-023 18-022 19-019 20-019 21-017 22-015 23-015 24-015 25-015 26-014</t>
        </r>
      </text>
    </comment>
    <comment ref="A38" authorId="0" shapeId="0" xr:uid="{5216F04E-B036-4F93-9451-349EDADEE95B}">
      <text>
        <r>
          <rPr>
            <sz val="9"/>
            <color indexed="81"/>
            <rFont val="MS P ゴシック"/>
            <family val="3"/>
            <charset val="128"/>
          </rPr>
          <t>13-336 14-052 15-031 16-026 17-024 18-023 19-020 20-020 21-018 22-016 23-016 24-016 25-016 26-015</t>
        </r>
      </text>
    </comment>
    <comment ref="A40" authorId="0" shapeId="0" xr:uid="{4E23334E-48A7-428E-9195-5CCC42BA1558}">
      <text>
        <r>
          <rPr>
            <sz val="9"/>
            <color indexed="81"/>
            <rFont val="MS P ゴシック"/>
            <family val="3"/>
            <charset val="128"/>
          </rPr>
          <t>13-362 14-054 15-032 16-027 17-025 18-024 19-021 20-021 21-019 22-017 23-017 24-017 25-017 26-016</t>
        </r>
      </text>
    </comment>
    <comment ref="A42" authorId="0" shapeId="0" xr:uid="{BD37BF17-7725-4566-AA16-421F51123010}">
      <text>
        <r>
          <rPr>
            <sz val="9"/>
            <color indexed="81"/>
            <rFont val="MS P ゴシック"/>
            <family val="3"/>
            <charset val="128"/>
          </rPr>
          <t>13-794 14-061 15-036 16-031 17-028 18-026 19-022 20-022 21-020 22-018 23-018 24-018 25-018 26-017</t>
        </r>
      </text>
    </comment>
    <comment ref="A44" authorId="0" shapeId="0" xr:uid="{75A6D768-DF7E-488D-BC66-2E7CECA40FB6}">
      <text>
        <r>
          <rPr>
            <sz val="9"/>
            <color indexed="81"/>
            <rFont val="MS P ゴシック"/>
            <family val="3"/>
            <charset val="128"/>
          </rPr>
          <t>13-1607 14-136 15-039 16-033 17-029 18-027 19-023 20-023 21-021 22-019 23-019 24-019 25-019 26-018</t>
        </r>
      </text>
    </comment>
    <comment ref="A46" authorId="0" shapeId="0" xr:uid="{361A74CE-636E-437A-98AD-65518EB31BC8}">
      <text>
        <r>
          <rPr>
            <sz val="9"/>
            <color indexed="81"/>
            <rFont val="MS P ゴシック"/>
            <family val="3"/>
            <charset val="128"/>
          </rPr>
          <t>14-1723 15-072 16-039 17-032 18-030 19-026 20-025 21-023 22-020 23-020 24-020 25-020 26-019</t>
        </r>
      </text>
    </comment>
    <comment ref="A48" authorId="0" shapeId="0" xr:uid="{49B2652B-2D01-4E51-808F-D5564A2029B1}">
      <text>
        <r>
          <rPr>
            <sz val="9"/>
            <color indexed="81"/>
            <rFont val="MS P ゴシック"/>
            <family val="3"/>
            <charset val="128"/>
          </rPr>
          <t>15-1776 16-072 17-041 18-037 19-030 20-029 21-025 22-023 23-023 24-023 25-022 26-021</t>
        </r>
      </text>
    </comment>
    <comment ref="A50" authorId="0" shapeId="0" xr:uid="{1FD7F60B-5AED-4732-AAFF-AB80A3DB5F5A}">
      <text>
        <r>
          <rPr>
            <sz val="9"/>
            <color indexed="81"/>
            <rFont val="MS P ゴシック"/>
            <family val="3"/>
            <charset val="128"/>
          </rPr>
          <t>15-2558 16-101 17-048 18-038 19-031 20-030 21-026 22-024 23-024 24-024 25-023 26-022</t>
        </r>
      </text>
    </comment>
    <comment ref="A52" authorId="0" shapeId="0" xr:uid="{B774D7F0-FEBD-4BDA-8A9B-1225C04848C0}">
      <text>
        <r>
          <rPr>
            <sz val="9"/>
            <color indexed="81"/>
            <rFont val="MS P ゴシック"/>
            <family val="3"/>
            <charset val="128"/>
          </rPr>
          <t>15-2600 16-104 17-049 18-039 19-032 20-031 21-027 22-025 23-025 24-025 25-024 26-023</t>
        </r>
      </text>
    </comment>
    <comment ref="A54" authorId="0" shapeId="0" xr:uid="{406501D5-8C2B-4B1A-9FC7-E705BA708B5B}">
      <text>
        <r>
          <rPr>
            <sz val="9"/>
            <color indexed="81"/>
            <rFont val="MS P ゴシック"/>
            <family val="3"/>
            <charset val="128"/>
          </rPr>
          <t>15-3249 16-203 17-058 18-045 19-036 20-034 21-029 22-027 23-026 24-026 25-025 26-024</t>
        </r>
      </text>
    </comment>
    <comment ref="A56" authorId="0" shapeId="0" xr:uid="{6A3BACB4-89B5-4E7D-9D2F-90FC9C0486B2}">
      <text>
        <r>
          <rPr>
            <sz val="9"/>
            <color indexed="81"/>
            <rFont val="MS P ゴシック"/>
            <family val="3"/>
            <charset val="128"/>
          </rPr>
          <t>15-3516 16-278 17-062 18-048 19-038 20-036 21-031 22-029 23-028 24-027 25-026 26-025</t>
        </r>
      </text>
    </comment>
    <comment ref="A58" authorId="0" shapeId="0" xr:uid="{E61475BB-3314-4442-91DC-C03E63ABCFAA}">
      <text>
        <r>
          <rPr>
            <sz val="9"/>
            <color indexed="81"/>
            <rFont val="MS P ゴシック"/>
            <family val="3"/>
            <charset val="128"/>
          </rPr>
          <t>16-1314 17-068 18-050 19-040 20-038 21-033 22-031 23-030 24-028 25-027 26-026</t>
        </r>
      </text>
    </comment>
    <comment ref="A60" authorId="0" shapeId="0" xr:uid="{D3CAB607-5A22-4437-870E-7AE03B9E8968}">
      <text>
        <r>
          <rPr>
            <sz val="9"/>
            <color indexed="81"/>
            <rFont val="MS P ゴシック"/>
            <family val="3"/>
            <charset val="128"/>
          </rPr>
          <t>16-1655 17-071 18-052 19-042 20-040 21-034 22-032 23-031 24-029 25-028 26-027</t>
        </r>
      </text>
    </comment>
    <comment ref="A62" authorId="0" shapeId="0" xr:uid="{662AAF90-E9DD-4D90-B20A-FD86E54EA685}">
      <text>
        <r>
          <rPr>
            <sz val="9"/>
            <color indexed="81"/>
            <rFont val="MS P ゴシック"/>
            <family val="3"/>
            <charset val="128"/>
          </rPr>
          <t>16-2288 17-085 18-055 19-043 20-041 21-035 22-033 23-032 24-030 25-029 26-028</t>
        </r>
      </text>
    </comment>
    <comment ref="A64" authorId="0" shapeId="0" xr:uid="{87E5222B-6717-4BE3-B500-6D269E41D761}">
      <text>
        <r>
          <rPr>
            <sz val="9"/>
            <color indexed="81"/>
            <rFont val="MS P ゴシック"/>
            <family val="3"/>
            <charset val="128"/>
          </rPr>
          <t>16-3228 17-107 18-059 19-045 20-043 21-036 22-034 23-033 24-031 25-030 26-029</t>
        </r>
      </text>
    </comment>
    <comment ref="A66" authorId="0" shapeId="0" xr:uid="{642F1FDB-8921-4DC6-A245-3B5085D79497}">
      <text>
        <r>
          <rPr>
            <sz val="9"/>
            <color indexed="81"/>
            <rFont val="MS P ゴシック"/>
            <family val="3"/>
            <charset val="128"/>
          </rPr>
          <t>16-4237 17-139 18-064 19-049 20-045 21-038 22-035 23-034 24-032 25-031 26-030</t>
        </r>
      </text>
    </comment>
    <comment ref="A68" authorId="0" shapeId="0" xr:uid="{D82789EC-DD49-4DEB-9352-2F78DD46C5D7}">
      <text>
        <r>
          <rPr>
            <sz val="9"/>
            <color indexed="81"/>
            <rFont val="MS P ゴシック"/>
            <family val="3"/>
            <charset val="128"/>
          </rPr>
          <t>16-4449 17-166 18-067 19-051 20-046 21-039 22-036 23-035 24-033 25-032 26-031</t>
        </r>
      </text>
    </comment>
    <comment ref="A70" authorId="0" shapeId="0" xr:uid="{A8E8F92A-173C-4B42-B332-99C3AA5468EC}">
      <text>
        <r>
          <rPr>
            <sz val="9"/>
            <color indexed="81"/>
            <rFont val="MS P ゴシック"/>
            <family val="3"/>
            <charset val="128"/>
          </rPr>
          <t>16-5030 17-269 18-090 19-053 20-047 21-040 22-037 23-036 24-034 25-033 26-032</t>
        </r>
      </text>
    </comment>
    <comment ref="A72" authorId="0" shapeId="0" xr:uid="{156F0D3C-0BC6-4FC0-8A35-C079B6DAE3D0}">
      <text>
        <r>
          <rPr>
            <sz val="9"/>
            <color indexed="81"/>
            <rFont val="MS P ゴシック"/>
            <family val="3"/>
            <charset val="128"/>
          </rPr>
          <t>D21-002 D22-002 23-040 24-037 25-035 26-033</t>
        </r>
      </text>
    </comment>
    <comment ref="A74" authorId="0" shapeId="0" xr:uid="{5BAE087D-2D29-432D-8319-F014174F3094}">
      <text>
        <r>
          <rPr>
            <sz val="9"/>
            <color indexed="81"/>
            <rFont val="MS P ゴシック"/>
            <family val="3"/>
            <charset val="128"/>
          </rPr>
          <t>17-3479 18-140ａ 19-063 20-054 21-045 22-042 23-041 24-038 25-036 26-034</t>
        </r>
      </text>
    </comment>
    <comment ref="A76" authorId="0" shapeId="0" xr:uid="{595C36A0-22E6-4A38-A810-0CD294394969}">
      <text>
        <r>
          <rPr>
            <sz val="9"/>
            <color indexed="81"/>
            <rFont val="MS P ゴシック"/>
            <family val="3"/>
            <charset val="128"/>
          </rPr>
          <t>17-4062 18-151 19-065 20-055 21-046 22-043 23-042 24-039 25-037 26-035</t>
        </r>
      </text>
    </comment>
    <comment ref="A78" authorId="0" shapeId="0" xr:uid="{42E327B0-EF60-49AC-A77A-9D39B9BB1EC1}">
      <text>
        <r>
          <rPr>
            <sz val="9"/>
            <color indexed="81"/>
            <rFont val="MS P ゴシック"/>
            <family val="3"/>
            <charset val="128"/>
          </rPr>
          <t>17-4597 18-157 19-066 20-056 21-047 22-044 23-043 24-040 25-038 26-036</t>
        </r>
      </text>
    </comment>
    <comment ref="A80" authorId="0" shapeId="0" xr:uid="{772F84AB-E3AD-44F9-BA90-0391A4F509CE}">
      <text>
        <r>
          <rPr>
            <sz val="9"/>
            <color indexed="81"/>
            <rFont val="MS P ゴシック"/>
            <family val="3"/>
            <charset val="128"/>
          </rPr>
          <t>17-5636 18-186 19-070 20-059 21-048 22-045 23-044 24-041 25-039 26-037</t>
        </r>
      </text>
    </comment>
    <comment ref="A82" authorId="0" shapeId="0" xr:uid="{70B1FFA5-0DCF-4A21-A752-7D3E92ABF8B7}">
      <text>
        <r>
          <rPr>
            <sz val="9"/>
            <color indexed="81"/>
            <rFont val="MS P ゴシック"/>
            <family val="3"/>
            <charset val="128"/>
          </rPr>
          <t>17-5766 18-193 19-071 20-060 21-049 22-046 23-046 24-042 25-040 26-038</t>
        </r>
      </text>
    </comment>
    <comment ref="A84" authorId="0" shapeId="0" xr:uid="{F856567D-28C3-410B-9AB6-3703EAD00588}">
      <text>
        <r>
          <rPr>
            <sz val="9"/>
            <color indexed="81"/>
            <rFont val="MS P ゴシック"/>
            <family val="3"/>
            <charset val="128"/>
          </rPr>
          <t>17-5913 18-203 19-073 20-062 21-051 22-048 23-047 24-043 25-041 26-039</t>
        </r>
      </text>
    </comment>
    <comment ref="A86" authorId="0" shapeId="0" xr:uid="{B13A908D-A876-41FF-BB41-4F4EFB119DCC}">
      <text>
        <r>
          <rPr>
            <sz val="9"/>
            <color indexed="81"/>
            <rFont val="MS P ゴシック"/>
            <family val="3"/>
            <charset val="128"/>
          </rPr>
          <t>17-6900 18-324 19-082 20-065 21-053 22-050 23-048 24-044 25-042 26-040</t>
        </r>
      </text>
    </comment>
    <comment ref="A88" authorId="0" shapeId="0" xr:uid="{72544E88-DBA5-49CB-8ACF-42AF5458D002}">
      <text>
        <r>
          <rPr>
            <sz val="9"/>
            <color indexed="81"/>
            <rFont val="MS P ゴシック"/>
            <family val="3"/>
            <charset val="128"/>
          </rPr>
          <t>17-6936 18-332 19-084a 20-067 21-055 22-051 23-049 24-045 25-043 26-041</t>
        </r>
      </text>
    </comment>
    <comment ref="A90" authorId="0" shapeId="0" xr:uid="{4B360FC3-3EC5-47D9-8490-7FB572F49985}">
      <text>
        <r>
          <rPr>
            <sz val="9"/>
            <color indexed="81"/>
            <rFont val="MS P ゴシック"/>
            <family val="3"/>
            <charset val="128"/>
          </rPr>
          <t>17-7565b 18-568 19-086b 20-069 21-057 22-053 23-051 24-047 25-044 26-042</t>
        </r>
      </text>
    </comment>
    <comment ref="A92" authorId="0" shapeId="0" xr:uid="{7248F7D8-3594-4A6E-807A-A1FBA3DE351B}">
      <text>
        <r>
          <rPr>
            <sz val="9"/>
            <color indexed="81"/>
            <rFont val="MS P ゴシック"/>
            <family val="3"/>
            <charset val="128"/>
          </rPr>
          <t>17-7630 18-615 19-088 20-070 21-058 22-054 23-052 24-048 25-045 26-043</t>
        </r>
      </text>
    </comment>
    <comment ref="A94" authorId="0" shapeId="0" xr:uid="{FD365E65-C6B0-4812-8691-D9EE62C58868}">
      <text>
        <r>
          <rPr>
            <sz val="9"/>
            <color indexed="81"/>
            <rFont val="MS P ゴシック"/>
            <family val="3"/>
            <charset val="128"/>
          </rPr>
          <t>17-7859 18-811 19-091 20-072 21-060 22-056 23-053 24-049 25-046 26-044</t>
        </r>
      </text>
    </comment>
    <comment ref="A96" authorId="0" shapeId="0" xr:uid="{3BE4CA2A-C0F7-4A5A-B734-876BC2EF240E}">
      <text>
        <r>
          <rPr>
            <sz val="9"/>
            <color indexed="81"/>
            <rFont val="MS P ゴシック"/>
            <family val="3"/>
            <charset val="128"/>
          </rPr>
          <t>17-8137 18-1089 19-093 20-073 21-061 22-057 23-054 24-050 25-047 26-045</t>
        </r>
      </text>
    </comment>
    <comment ref="A98" authorId="0" shapeId="0" xr:uid="{38D213F8-F7AF-49D0-AE41-A83F3D0D679A}">
      <text>
        <r>
          <rPr>
            <sz val="9"/>
            <color indexed="81"/>
            <rFont val="MS P ゴシック"/>
            <family val="3"/>
            <charset val="128"/>
          </rPr>
          <t>17-8629 18-1579 19-100 20-078 21-065 22-059 23-055 24-051 25-048 26-046</t>
        </r>
      </text>
    </comment>
    <comment ref="A100" authorId="0" shapeId="0" xr:uid="{8D19EFEA-4C1E-44B9-93E9-079BC9909111}">
      <text>
        <r>
          <rPr>
            <sz val="9"/>
            <color indexed="81"/>
            <rFont val="MS P ゴシック"/>
            <family val="3"/>
            <charset val="128"/>
          </rPr>
          <t>17-9151 18-2101 19-107 20-080 21-067 22-061 23-057 24-053 25-049 26-047</t>
        </r>
      </text>
    </comment>
    <comment ref="A102" authorId="0" shapeId="0" xr:uid="{8F2CD740-1C43-4798-911C-F19D0A048DFD}">
      <text>
        <r>
          <rPr>
            <sz val="9"/>
            <color indexed="81"/>
            <rFont val="MS P ゴシック"/>
            <family val="3"/>
            <charset val="128"/>
          </rPr>
          <t>K18-44 K19-12 K20-11 D21-004 D22-004 23-059 24-055 25-051 26-049</t>
        </r>
      </text>
    </comment>
    <comment ref="A104" authorId="0" shapeId="0" xr:uid="{87F51CF9-22D8-4D73-ACE7-3E49C8806306}">
      <text>
        <r>
          <rPr>
            <sz val="9"/>
            <color indexed="81"/>
            <rFont val="MS P ゴシック"/>
            <family val="3"/>
            <charset val="128"/>
          </rPr>
          <t>18-3932 19-127 20-087 21-071 22-064 23-060 24-056 25-052 26-050</t>
        </r>
      </text>
    </comment>
    <comment ref="A106" authorId="0" shapeId="0" xr:uid="{9122E3B3-901E-4A4B-985E-142E6DB47618}">
      <text>
        <r>
          <rPr>
            <sz val="9"/>
            <color indexed="81"/>
            <rFont val="MS P ゴシック"/>
            <family val="3"/>
            <charset val="128"/>
          </rPr>
          <t>18-4033 19-131 20-088 21-072 22-065 23-061 24-057 25-053 26-051</t>
        </r>
      </text>
    </comment>
    <comment ref="A108" authorId="0" shapeId="0" xr:uid="{234B39B3-BC09-4674-9539-757BCC3DA25E}">
      <text>
        <r>
          <rPr>
            <sz val="9"/>
            <color indexed="81"/>
            <rFont val="MS P ゴシック"/>
            <family val="3"/>
            <charset val="128"/>
          </rPr>
          <t>18-4622 19-146 20-093 21-076 22-068 23-063 24-058 25-054 26-052</t>
        </r>
      </text>
    </comment>
    <comment ref="A110" authorId="0" shapeId="0" xr:uid="{31FF0888-1220-4F5F-AB7A-29960644D918}">
      <text>
        <r>
          <rPr>
            <sz val="9"/>
            <color indexed="81"/>
            <rFont val="MS P ゴシック"/>
            <family val="3"/>
            <charset val="128"/>
          </rPr>
          <t>18-4937 19-162 20-098 21-080 22-072 23-066 24-059 25-055 26-053</t>
        </r>
      </text>
    </comment>
    <comment ref="A112" authorId="0" shapeId="0" xr:uid="{713BA965-DBF5-43EC-ABAD-637316A5B67D}">
      <text>
        <r>
          <rPr>
            <sz val="9"/>
            <color indexed="81"/>
            <rFont val="MS P ゴシック"/>
            <family val="3"/>
            <charset val="128"/>
          </rPr>
          <t>18-5566 19-181 20-101 21-081 22-073 23-067 24-060 25-056 26-054</t>
        </r>
      </text>
    </comment>
    <comment ref="A114" authorId="0" shapeId="0" xr:uid="{8747E3BE-C78B-4E94-8920-468625C5B733}">
      <text>
        <r>
          <rPr>
            <sz val="9"/>
            <color indexed="81"/>
            <rFont val="MS P ゴシック"/>
            <family val="3"/>
            <charset val="128"/>
          </rPr>
          <t>18-6453 19-206 20-102 21-082 22-074 23-068 24-061 25-057 26-055</t>
        </r>
      </text>
    </comment>
    <comment ref="A116" authorId="0" shapeId="0" xr:uid="{62036621-A829-4A0E-B9CF-AEC6EB43F371}">
      <text>
        <r>
          <rPr>
            <sz val="9"/>
            <color indexed="81"/>
            <rFont val="MS P ゴシック"/>
            <family val="3"/>
            <charset val="128"/>
          </rPr>
          <t>18-6670 19-219 20-105 21-084 22-076 23-070 24-062 25-058 26-056</t>
        </r>
      </text>
    </comment>
    <comment ref="A118" authorId="0" shapeId="0" xr:uid="{B9DCC601-CF94-49BC-8824-11F38027E95B}">
      <text>
        <r>
          <rPr>
            <sz val="9"/>
            <color indexed="81"/>
            <rFont val="MS P ゴシック"/>
            <family val="3"/>
            <charset val="128"/>
          </rPr>
          <t>18-6949 19-242 20-106 21-085 22-077 23-071 24-063 25-059 26-057</t>
        </r>
      </text>
    </comment>
    <comment ref="A120" authorId="0" shapeId="0" xr:uid="{59A85868-FB9B-4FB7-95E2-A46FD140318E}">
      <text>
        <r>
          <rPr>
            <sz val="9"/>
            <color indexed="81"/>
            <rFont val="MS P ゴシック"/>
            <family val="3"/>
            <charset val="128"/>
          </rPr>
          <t>18-7195 19-269 20-109 21-087 22-079 23-073 24-064 25-060 26-058</t>
        </r>
      </text>
    </comment>
    <comment ref="A122" authorId="0" shapeId="0" xr:uid="{2ED4482C-B593-43A0-A654-3909FACAC96C}">
      <text>
        <r>
          <rPr>
            <sz val="9"/>
            <color indexed="81"/>
            <rFont val="MS P ゴシック"/>
            <family val="3"/>
            <charset val="128"/>
          </rPr>
          <t>18-7731 19-346 20-113 21-089 22-080 23-074 24-065 25-061 26-059</t>
        </r>
      </text>
    </comment>
    <comment ref="A124" authorId="0" shapeId="0" xr:uid="{35B2CB7E-FFDE-4B69-849B-60A68D7EECA3}">
      <text>
        <r>
          <rPr>
            <sz val="9"/>
            <color indexed="81"/>
            <rFont val="MS P ゴシック"/>
            <family val="3"/>
            <charset val="128"/>
          </rPr>
          <t>18-8806 19-720 20-138 21-100 22-086 23-077 24-067 25-063 26-060</t>
        </r>
      </text>
    </comment>
    <comment ref="A126" authorId="0" shapeId="0" xr:uid="{5A447AB9-4CBC-40C4-967C-85FC9A2F77EC}">
      <text>
        <r>
          <rPr>
            <sz val="9"/>
            <color indexed="81"/>
            <rFont val="MS P ゴシック"/>
            <family val="3"/>
            <charset val="128"/>
          </rPr>
          <t>18-9168 19-1052 20-148 21-105 22-090 23-079 24-068 25-064 26-061</t>
        </r>
      </text>
    </comment>
    <comment ref="A128" authorId="0" shapeId="0" xr:uid="{EBD87AB0-753E-4899-AC28-A569B64521D4}">
      <text>
        <r>
          <rPr>
            <sz val="9"/>
            <color indexed="81"/>
            <rFont val="MS P ゴシック"/>
            <family val="3"/>
            <charset val="128"/>
          </rPr>
          <t>19-1294 20-156 21-109 22-093 23-083 24-070 25-065 26-062</t>
        </r>
      </text>
    </comment>
    <comment ref="A130" authorId="0" shapeId="0" xr:uid="{0247D9DF-11F7-4371-90FA-4D63C6C32ED4}">
      <text>
        <r>
          <rPr>
            <sz val="9"/>
            <color indexed="81"/>
            <rFont val="MS P ゴシック"/>
            <family val="3"/>
            <charset val="128"/>
          </rPr>
          <t>19-1334 20-158 21-110 22-094 23-084 24-071 25-066 26-063</t>
        </r>
      </text>
    </comment>
    <comment ref="A132" authorId="0" shapeId="0" xr:uid="{D0A62F1F-C16B-452E-BB1A-991722A39325}">
      <text>
        <r>
          <rPr>
            <sz val="9"/>
            <color indexed="81"/>
            <rFont val="MS P ゴシック"/>
            <family val="3"/>
            <charset val="128"/>
          </rPr>
          <t>19-1464 20-163 D21-007 D22-006 23-085 24-072 25-067 26-064</t>
        </r>
      </text>
    </comment>
    <comment ref="A134" authorId="0" shapeId="0" xr:uid="{4D4B471A-DD86-48BA-85C2-786B057371FA}">
      <text>
        <r>
          <rPr>
            <sz val="9"/>
            <color indexed="81"/>
            <rFont val="MS P ゴシック"/>
            <family val="3"/>
            <charset val="128"/>
          </rPr>
          <t>19-1527 20-165 21-112 22-095 23-086 24-073 25-068 26-065</t>
        </r>
      </text>
    </comment>
    <comment ref="A136" authorId="0" shapeId="0" xr:uid="{193EB987-47E2-413C-BFAC-BB2C6B3933E8}">
      <text>
        <r>
          <rPr>
            <sz val="9"/>
            <color indexed="81"/>
            <rFont val="MS P ゴシック"/>
            <family val="3"/>
            <charset val="128"/>
          </rPr>
          <t>19-2208 20-184 D21-009 D22-007 23-087 24-074 25-069 26-066</t>
        </r>
      </text>
    </comment>
    <comment ref="A138" authorId="0" shapeId="0" xr:uid="{48AD85AB-4567-49E2-A8B3-2A60AE13AD06}">
      <text>
        <r>
          <rPr>
            <sz val="9"/>
            <color indexed="81"/>
            <rFont val="MS P ゴシック"/>
            <family val="3"/>
            <charset val="128"/>
          </rPr>
          <t>19-2275 20-187 21-120 22-099 23-088a 24-075 25-070 26-067</t>
        </r>
      </text>
    </comment>
    <comment ref="A140" authorId="0" shapeId="0" xr:uid="{2D51F082-45A9-4782-868C-FB292F406089}">
      <text>
        <r>
          <rPr>
            <sz val="9"/>
            <color indexed="81"/>
            <rFont val="MS P ゴシック"/>
            <family val="3"/>
            <charset val="128"/>
          </rPr>
          <t>19-2418 20-192 21-122 22-100 23-088b 24-076 25-071 26-068</t>
        </r>
      </text>
    </comment>
    <comment ref="A142" authorId="0" shapeId="0" xr:uid="{18D4DE89-16F2-4530-B07F-B5806B2060A3}">
      <text>
        <r>
          <rPr>
            <sz val="9"/>
            <color indexed="81"/>
            <rFont val="MS P ゴシック"/>
            <family val="3"/>
            <charset val="128"/>
          </rPr>
          <t>19-2638 20-201 21-126 22-103 23-091 24-077 25-072 26-069</t>
        </r>
      </text>
    </comment>
    <comment ref="A144" authorId="0" shapeId="0" xr:uid="{F7CE03E9-6039-4BD4-9BD1-09C7CF11C123}">
      <text>
        <r>
          <rPr>
            <sz val="9"/>
            <color indexed="81"/>
            <rFont val="MS P ゴシック"/>
            <family val="3"/>
            <charset val="128"/>
          </rPr>
          <t>19-2963 20-222 21-134 22-108b 23-094 24-078 25-073 26-070</t>
        </r>
      </text>
    </comment>
    <comment ref="A146" authorId="0" shapeId="0" xr:uid="{A308D0CC-D144-446A-BD67-8B261B972DF6}">
      <text>
        <r>
          <rPr>
            <sz val="9"/>
            <color indexed="81"/>
            <rFont val="MS P ゴシック"/>
            <family val="3"/>
            <charset val="128"/>
          </rPr>
          <t>19-3808 20-275 21-142 22-113 23-097 24-080 25-075 26-072</t>
        </r>
      </text>
    </comment>
    <comment ref="A148" authorId="0" shapeId="0" xr:uid="{54DE4390-4A8C-46FA-BB1B-495FD31E873D}">
      <text>
        <r>
          <rPr>
            <sz val="9"/>
            <color indexed="81"/>
            <rFont val="MS P ゴシック"/>
            <family val="3"/>
            <charset val="128"/>
          </rPr>
          <t>19-4110 20-291 21-146 22-116 23-098 24-081 25-076 26-073</t>
        </r>
      </text>
    </comment>
    <comment ref="A150" authorId="0" shapeId="0" xr:uid="{183F84A2-7F9C-4EAF-97D2-846A09AA554E}">
      <text>
        <r>
          <rPr>
            <sz val="9"/>
            <color indexed="81"/>
            <rFont val="MS P ゴシック"/>
            <family val="3"/>
            <charset val="128"/>
          </rPr>
          <t>19-4445 20-323 21-148a 22-118 23-100 24-082 25-077 26-074</t>
        </r>
      </text>
    </comment>
    <comment ref="A152" authorId="0" shapeId="0" xr:uid="{EFA26972-F0D4-427A-BBB4-0A8612D8C41D}">
      <text>
        <r>
          <rPr>
            <sz val="9"/>
            <color indexed="81"/>
            <rFont val="MS P ゴシック"/>
            <family val="3"/>
            <charset val="128"/>
          </rPr>
          <t>19-5099 20-415 D21-010 D22-008 23-101 24-083 25-078 26-075</t>
        </r>
      </text>
    </comment>
    <comment ref="A154" authorId="0" shapeId="0" xr:uid="{E9837ABA-2CAD-4D82-BC9D-BD35F51BA2AD}">
      <text>
        <r>
          <rPr>
            <sz val="9"/>
            <color indexed="81"/>
            <rFont val="MS P ゴシック"/>
            <family val="3"/>
            <charset val="128"/>
          </rPr>
          <t>20-1208ｂ 21-180 22-132 23-109 24-086 25-080 26-077</t>
        </r>
      </text>
    </comment>
    <comment ref="A156" authorId="0" shapeId="0" xr:uid="{7E03AF4E-86D5-4E8A-B3DA-43F0F021CBFB}">
      <text>
        <r>
          <rPr>
            <sz val="9"/>
            <color indexed="81"/>
            <rFont val="MS P ゴシック"/>
            <family val="3"/>
            <charset val="128"/>
          </rPr>
          <t>20-1537 21-189 22-136 23-112 24-088 25-082 26-079</t>
        </r>
      </text>
    </comment>
    <comment ref="A158" authorId="0" shapeId="0" xr:uid="{49F7D8A5-1C25-404A-A52A-4F982EC489F5}">
      <text>
        <r>
          <rPr>
            <sz val="9"/>
            <color indexed="81"/>
            <rFont val="MS P ゴシック"/>
            <family val="3"/>
            <charset val="128"/>
          </rPr>
          <t>20-1565 21-191 22-137 23-113 24-089 25-083 26-080</t>
        </r>
      </text>
    </comment>
    <comment ref="A160" authorId="0" shapeId="0" xr:uid="{10D1E6C7-9213-4E98-8A2B-7A99FA2ABBE4}">
      <text>
        <r>
          <rPr>
            <sz val="9"/>
            <color indexed="81"/>
            <rFont val="MS P ゴシック"/>
            <family val="3"/>
            <charset val="128"/>
          </rPr>
          <t>20-1623 21-193 22-138 23-114 24-090 25-084 26-081</t>
        </r>
      </text>
    </comment>
    <comment ref="A162" authorId="0" shapeId="0" xr:uid="{3D60D78E-4913-4125-852E-0D8988C9F7B1}">
      <text>
        <r>
          <rPr>
            <sz val="9"/>
            <color indexed="81"/>
            <rFont val="MS P ゴシック"/>
            <family val="3"/>
            <charset val="128"/>
          </rPr>
          <t>20-1931 21-204 22-141 23-118 24-091 25-085 26-082</t>
        </r>
      </text>
    </comment>
    <comment ref="A164" authorId="0" shapeId="0" xr:uid="{36FDD733-8478-4891-BE0C-E218B88125CA}">
      <text>
        <r>
          <rPr>
            <sz val="9"/>
            <color indexed="81"/>
            <rFont val="MS P ゴシック"/>
            <family val="3"/>
            <charset val="128"/>
          </rPr>
          <t>20-2111 21-241 22-144 23-119 24-092 25-086 26-083</t>
        </r>
      </text>
    </comment>
    <comment ref="A166" authorId="0" shapeId="0" xr:uid="{8ABFD9CC-7540-464A-9E84-AC8F9345312B}">
      <text>
        <r>
          <rPr>
            <sz val="9"/>
            <color indexed="81"/>
            <rFont val="MS P ゴシック"/>
            <family val="3"/>
            <charset val="128"/>
          </rPr>
          <t>20-2291 21-245 22-145 23-120 24-093 25-087 26-084</t>
        </r>
      </text>
    </comment>
    <comment ref="A168" authorId="0" shapeId="0" xr:uid="{38333C2B-65F3-49B4-A9B0-9BE798205E77}">
      <text>
        <r>
          <rPr>
            <sz val="9"/>
            <color indexed="81"/>
            <rFont val="MS P ゴシック"/>
            <family val="3"/>
            <charset val="128"/>
          </rPr>
          <t>20-2340 21-248 22-147 23-121 24-094 25-088 26-085</t>
        </r>
      </text>
    </comment>
    <comment ref="A170" authorId="0" shapeId="0" xr:uid="{1EE1082C-9A59-4128-A5D3-28249CA8F233}">
      <text>
        <r>
          <rPr>
            <sz val="9"/>
            <color indexed="81"/>
            <rFont val="MS P ゴシック"/>
            <family val="3"/>
            <charset val="128"/>
          </rPr>
          <t>20-2410 21-251 22-148 23-122 24-095 25-089 26-086</t>
        </r>
      </text>
    </comment>
    <comment ref="A172" authorId="0" shapeId="0" xr:uid="{26C597B2-3F6E-4DD6-8D7A-F8EAD5C82261}">
      <text>
        <r>
          <rPr>
            <sz val="9"/>
            <color indexed="81"/>
            <rFont val="MS P ゴシック"/>
            <family val="3"/>
            <charset val="128"/>
          </rPr>
          <t>20-2510 21-257 22-150 23-124 24-096 25-090 26-087</t>
        </r>
      </text>
    </comment>
    <comment ref="A174" authorId="0" shapeId="0" xr:uid="{05BCC154-0A4E-4894-93B4-E0FA2953B180}">
      <text>
        <r>
          <rPr>
            <sz val="9"/>
            <color indexed="81"/>
            <rFont val="MS P ゴシック"/>
            <family val="3"/>
            <charset val="128"/>
          </rPr>
          <t>20-2513 21-258 22-151 23-125 24-097 25-091 26-088</t>
        </r>
      </text>
    </comment>
    <comment ref="A176" authorId="0" shapeId="0" xr:uid="{47C028A9-D185-4374-9966-ED04C60774AA}">
      <text>
        <r>
          <rPr>
            <sz val="9"/>
            <color indexed="81"/>
            <rFont val="MS P ゴシック"/>
            <family val="3"/>
            <charset val="128"/>
          </rPr>
          <t>20-2711 21-263 22-152 23-126 24-098 25-092 26-089</t>
        </r>
      </text>
    </comment>
    <comment ref="A178" authorId="0" shapeId="0" xr:uid="{CB07069A-1165-4EB0-99C7-E73F9C3788F9}">
      <text>
        <r>
          <rPr>
            <sz val="9"/>
            <color indexed="81"/>
            <rFont val="MS P ゴシック"/>
            <family val="3"/>
            <charset val="128"/>
          </rPr>
          <t>20-3096 21-278 22-153 23-127 24-099 25-093 26-090</t>
        </r>
      </text>
    </comment>
    <comment ref="A180" authorId="0" shapeId="0" xr:uid="{DF92E562-EB59-454E-B29A-07958EA3E230}">
      <text>
        <r>
          <rPr>
            <sz val="9"/>
            <color indexed="81"/>
            <rFont val="MS P ゴシック"/>
            <family val="3"/>
            <charset val="128"/>
          </rPr>
          <t>20-3743 21-309 22-161 23-132 24-100 25-094 26-091</t>
        </r>
      </text>
    </comment>
    <comment ref="A182" authorId="0" shapeId="0" xr:uid="{FBC96713-6D0E-429A-89A9-51229EA298BA}">
      <text>
        <r>
          <rPr>
            <sz val="9"/>
            <color indexed="81"/>
            <rFont val="MS P ゴシック"/>
            <family val="3"/>
            <charset val="128"/>
          </rPr>
          <t>20-3826 21-314 22-162 23-133 24-101 25-095 26-092</t>
        </r>
      </text>
    </comment>
    <comment ref="A184" authorId="0" shapeId="0" xr:uid="{382020FE-A11B-4485-B8B9-297A4D229E35}">
      <text>
        <r>
          <rPr>
            <sz val="9"/>
            <color indexed="81"/>
            <rFont val="MS P ゴシック"/>
            <family val="3"/>
            <charset val="128"/>
          </rPr>
          <t>20-3902 21-320 22-163 23-135 24-102 25-096 26-093</t>
        </r>
      </text>
    </comment>
    <comment ref="A186" authorId="0" shapeId="0" xr:uid="{E4E73B3A-3B5D-47E3-844A-315562D6014C}">
      <text>
        <r>
          <rPr>
            <sz val="9"/>
            <color indexed="81"/>
            <rFont val="MS P ゴシック"/>
            <family val="3"/>
            <charset val="128"/>
          </rPr>
          <t>20-3963 21-327 22-167 23-136 24-103 25-097 26-094</t>
        </r>
      </text>
    </comment>
    <comment ref="A188" authorId="0" shapeId="0" xr:uid="{97DE2CF4-7B7C-4947-AE08-1F75E4497994}">
      <text>
        <r>
          <rPr>
            <sz val="9"/>
            <color indexed="81"/>
            <rFont val="MS P ゴシック"/>
            <family val="3"/>
            <charset val="128"/>
          </rPr>
          <t>20-3991 21-329 22-168 23-137 24-104 25-098 26-095</t>
        </r>
      </text>
    </comment>
    <comment ref="A190" authorId="0" shapeId="0" xr:uid="{E18CE978-178B-47B0-B784-581AA0935181}">
      <text>
        <r>
          <rPr>
            <sz val="9"/>
            <color indexed="81"/>
            <rFont val="MS P ゴシック"/>
            <family val="3"/>
            <charset val="128"/>
          </rPr>
          <t>20-4133 21-343 22-171 23-139 24-105 25-099 26-096</t>
        </r>
      </text>
    </comment>
    <comment ref="A192" authorId="0" shapeId="0" xr:uid="{A725ED23-356F-4B1B-BF55-EA32321C6FBC}">
      <text>
        <r>
          <rPr>
            <sz val="9"/>
            <color indexed="81"/>
            <rFont val="MS P ゴシック"/>
            <family val="3"/>
            <charset val="128"/>
          </rPr>
          <t>20-4222 21-346 22-172 23-140 24-106 25-100 26-097</t>
        </r>
      </text>
    </comment>
    <comment ref="A194" authorId="0" shapeId="0" xr:uid="{FAB2DDC1-8FCC-4505-864B-845559FC55C9}">
      <text>
        <r>
          <rPr>
            <sz val="9"/>
            <color indexed="81"/>
            <rFont val="MS P ゴシック"/>
            <family val="3"/>
            <charset val="128"/>
          </rPr>
          <t>20-4303 21-350 22-173 23-141 24-107 25-101 26-098</t>
        </r>
      </text>
    </comment>
    <comment ref="A196" authorId="0" shapeId="0" xr:uid="{D3EE41A7-26FB-4DC5-A013-4DD6D6C3E1D6}">
      <text>
        <r>
          <rPr>
            <sz val="9"/>
            <color indexed="81"/>
            <rFont val="MS P ゴシック"/>
            <family val="3"/>
            <charset val="128"/>
          </rPr>
          <t>20-4426 21-364 22-175 23-144 24-110 25-104 26-101</t>
        </r>
      </text>
    </comment>
    <comment ref="A198" authorId="0" shapeId="0" xr:uid="{7BD2B91D-E9C8-491B-ADEE-4FB50FD9940B}">
      <text>
        <r>
          <rPr>
            <sz val="9"/>
            <color indexed="81"/>
            <rFont val="MS P ゴシック"/>
            <family val="3"/>
            <charset val="128"/>
          </rPr>
          <t>20-4465 21-368 22-176 23-145 24-111 25-105 26-102</t>
        </r>
      </text>
    </comment>
    <comment ref="A200" authorId="0" shapeId="0" xr:uid="{6E323068-4811-4967-AEE6-064AE7AEAAE3}">
      <text>
        <r>
          <rPr>
            <sz val="9"/>
            <color indexed="81"/>
            <rFont val="MS P ゴシック"/>
            <family val="3"/>
            <charset val="128"/>
          </rPr>
          <t>20-4473 21-369 22-177 23-146 24-112 25-106 26-103</t>
        </r>
      </text>
    </comment>
    <comment ref="A202" authorId="0" shapeId="0" xr:uid="{6E01B70A-BF3C-4424-9D4E-F26DA9B2B459}">
      <text>
        <r>
          <rPr>
            <sz val="9"/>
            <color indexed="81"/>
            <rFont val="MS P ゴシック"/>
            <family val="3"/>
            <charset val="128"/>
          </rPr>
          <t>20-4966 D21-016 D22-013 23-149 24-114 25-108 26-104</t>
        </r>
      </text>
    </comment>
    <comment ref="A204" authorId="0" shapeId="0" xr:uid="{48C0CC3F-A1A1-42E0-B731-0AE90DF69491}">
      <text>
        <r>
          <rPr>
            <sz val="9"/>
            <color indexed="81"/>
            <rFont val="MS P ゴシック"/>
            <family val="3"/>
            <charset val="128"/>
          </rPr>
          <t>20-5069 21-441 22-186 23-152 24-115 25-109 26-105</t>
        </r>
      </text>
    </comment>
    <comment ref="A206" authorId="0" shapeId="0" xr:uid="{E26D8C1F-5BDC-469B-9797-AEEE44A407A1}">
      <text>
        <r>
          <rPr>
            <sz val="9"/>
            <color indexed="81"/>
            <rFont val="MS P ゴシック"/>
            <family val="3"/>
            <charset val="128"/>
          </rPr>
          <t>20-5324 21-476 22-190 23-153 24-116 25-110 26-106</t>
        </r>
      </text>
    </comment>
    <comment ref="A208" authorId="0" shapeId="0" xr:uid="{B756C12F-186C-405E-A97E-D7BE82C477C7}">
      <text>
        <r>
          <rPr>
            <sz val="9"/>
            <color indexed="81"/>
            <rFont val="MS P ゴシック"/>
            <family val="3"/>
            <charset val="128"/>
          </rPr>
          <t>20-5325 21-477a 22-191 23-154 24-117 25-111 26-107</t>
        </r>
      </text>
    </comment>
    <comment ref="A210" authorId="0" shapeId="0" xr:uid="{FFA7F856-2041-4D54-9B5A-53F1B2BFD99D}">
      <text>
        <r>
          <rPr>
            <sz val="9"/>
            <color indexed="81"/>
            <rFont val="MS P ゴシック"/>
            <family val="3"/>
            <charset val="128"/>
          </rPr>
          <t>20-5343 21-479 22-192 23-155 24-118 25-112 26-108</t>
        </r>
      </text>
    </comment>
    <comment ref="A212" authorId="0" shapeId="0" xr:uid="{3814051C-1E93-4D72-862A-41A97E67386E}">
      <text>
        <r>
          <rPr>
            <sz val="9"/>
            <color indexed="81"/>
            <rFont val="MS P ゴシック"/>
            <family val="3"/>
            <charset val="128"/>
          </rPr>
          <t>20-5366 21-483 22-193 23-156 24-119 25-113 26-109</t>
        </r>
      </text>
    </comment>
    <comment ref="A214" authorId="0" shapeId="0" xr:uid="{488C8C87-057F-4C66-886B-0CFA7E1EFBBE}">
      <text>
        <r>
          <rPr>
            <sz val="9"/>
            <color indexed="81"/>
            <rFont val="MS P ゴシック"/>
            <family val="3"/>
            <charset val="128"/>
          </rPr>
          <t>20-5464 21-511 22-196 23-157 24-120 25-114 26-110</t>
        </r>
      </text>
    </comment>
    <comment ref="A216" authorId="0" shapeId="0" xr:uid="{C64D0EB0-7FBE-4F55-BD17-DD2C95C86E74}">
      <text>
        <r>
          <rPr>
            <sz val="9"/>
            <color indexed="81"/>
            <rFont val="MS P ゴシック"/>
            <family val="3"/>
            <charset val="128"/>
          </rPr>
          <t>20-5660 21-584 22-198 23-159 24-121 25-115 26-111</t>
        </r>
      </text>
    </comment>
    <comment ref="A218" authorId="0" shapeId="0" xr:uid="{56D2CA74-0DEA-4AC4-BA7C-BF0A12ABC2FA}">
      <text>
        <r>
          <rPr>
            <sz val="9"/>
            <color indexed="81"/>
            <rFont val="MS P ゴシック"/>
            <family val="3"/>
            <charset val="128"/>
          </rPr>
          <t>21-1428 22-212 23-166 24-125 25-117 26-112</t>
        </r>
      </text>
    </comment>
    <comment ref="A220" authorId="0" shapeId="0" xr:uid="{4674BBC3-582D-443E-8501-0C977090B94F}">
      <text>
        <r>
          <rPr>
            <sz val="9"/>
            <color indexed="81"/>
            <rFont val="MS P ゴシック"/>
            <family val="3"/>
            <charset val="128"/>
          </rPr>
          <t>D21-020 D22-016 23-176 24-132 25-119 26-114</t>
        </r>
      </text>
    </comment>
    <comment ref="A222" authorId="0" shapeId="0" xr:uid="{2F393387-AD88-447F-979E-BBA3BD6C442D}">
      <text>
        <r>
          <rPr>
            <sz val="9"/>
            <color indexed="81"/>
            <rFont val="MS P ゴシック"/>
            <family val="3"/>
            <charset val="128"/>
          </rPr>
          <t>21-3723 22-270 23-186 24-134 25-121 26-115</t>
        </r>
      </text>
    </comment>
    <comment ref="A224" authorId="0" shapeId="0" xr:uid="{4B335A2B-4487-42C1-B9C1-051C254625E4}">
      <text>
        <r>
          <rPr>
            <sz val="9"/>
            <color indexed="81"/>
            <rFont val="MS P ゴシック"/>
            <family val="3"/>
            <charset val="128"/>
          </rPr>
          <t>21-3811 D22-019 23-187a 24-135 25-122 26-116</t>
        </r>
      </text>
    </comment>
    <comment ref="A226" authorId="0" shapeId="0" xr:uid="{4F0A8F34-13D4-4562-8365-202020AB2A39}">
      <text>
        <r>
          <rPr>
            <sz val="9"/>
            <color indexed="81"/>
            <rFont val="MS P ゴシック"/>
            <family val="3"/>
            <charset val="128"/>
          </rPr>
          <t>21-3911 22-276 23-187b 24-136 25-123 26-117</t>
        </r>
      </text>
    </comment>
    <comment ref="A228" authorId="0" shapeId="0" xr:uid="{0775E844-3968-4CFD-AF45-A32002D1F5F7}">
      <text>
        <r>
          <rPr>
            <sz val="9"/>
            <color indexed="81"/>
            <rFont val="MS P ゴシック"/>
            <family val="3"/>
            <charset val="128"/>
          </rPr>
          <t>21-4021 22-282 23-190 24-137 25-124 26-118</t>
        </r>
      </text>
    </comment>
    <comment ref="A230" authorId="0" shapeId="0" xr:uid="{3ECD471B-B15C-4EA3-83B5-8B1119EA7605}">
      <text>
        <r>
          <rPr>
            <sz val="9"/>
            <color indexed="81"/>
            <rFont val="MS P ゴシック"/>
            <family val="3"/>
            <charset val="128"/>
          </rPr>
          <t>21-4303 22-307 23-195 24-142 25-127 26-120</t>
        </r>
      </text>
    </comment>
    <comment ref="A232" authorId="0" shapeId="0" xr:uid="{6156877C-C68E-4A35-979F-FC433EC89BBA}">
      <text>
        <r>
          <rPr>
            <sz val="9"/>
            <color indexed="81"/>
            <rFont val="MS P ゴシック"/>
            <family val="3"/>
            <charset val="128"/>
          </rPr>
          <t>21-4401 22-321 23-196 24-143 25-128 26-121</t>
        </r>
      </text>
    </comment>
    <comment ref="A234" authorId="0" shapeId="0" xr:uid="{D2FD8915-C31E-46BC-A2BD-C6F8FB3D63FB}">
      <text>
        <r>
          <rPr>
            <sz val="9"/>
            <color indexed="81"/>
            <rFont val="MS P ゴシック"/>
            <family val="3"/>
            <charset val="128"/>
          </rPr>
          <t>21-4493 22-334 23-198 24-145 25-129 26-122</t>
        </r>
      </text>
    </comment>
    <comment ref="A236" authorId="0" shapeId="0" xr:uid="{3D7E04EE-B6C0-4D69-AF03-9E481BC05951}">
      <text>
        <r>
          <rPr>
            <sz val="9"/>
            <color indexed="81"/>
            <rFont val="MS P ゴシック"/>
            <family val="3"/>
            <charset val="128"/>
          </rPr>
          <t>21-4614 22-357 23-200 24-147 25-131 26-124</t>
        </r>
      </text>
    </comment>
    <comment ref="A238" authorId="0" shapeId="0" xr:uid="{3BF68F7C-9A70-4F6F-A932-384A6E1EE81D}">
      <text>
        <r>
          <rPr>
            <sz val="9"/>
            <color indexed="81"/>
            <rFont val="MS P ゴシック"/>
            <family val="3"/>
            <charset val="128"/>
          </rPr>
          <t>21-4654 22-363 23-202 24-148 25-132 26-125</t>
        </r>
      </text>
    </comment>
    <comment ref="A240" authorId="0" shapeId="0" xr:uid="{A0A300E7-D7A2-437D-943A-1FE3B4D03D87}">
      <text>
        <r>
          <rPr>
            <sz val="9"/>
            <color indexed="81"/>
            <rFont val="MS P ゴシック"/>
            <family val="3"/>
            <charset val="128"/>
          </rPr>
          <t>21-4695 22-372 23-203 24-149 25-133 26-126</t>
        </r>
      </text>
    </comment>
    <comment ref="A242" authorId="0" shapeId="0" xr:uid="{5EE9FB45-67F8-4D98-8213-E4CE5724BEE2}">
      <text>
        <r>
          <rPr>
            <sz val="9"/>
            <color indexed="81"/>
            <rFont val="MS P ゴシック"/>
            <family val="3"/>
            <charset val="128"/>
          </rPr>
          <t>21-5010 22-458 23-205 24-150 25-134 26-127</t>
        </r>
      </text>
    </comment>
    <comment ref="A244" authorId="0" shapeId="0" xr:uid="{6D8D3249-6E5C-4312-9F70-98FE3A833AAE}">
      <text>
        <r>
          <rPr>
            <sz val="9"/>
            <color indexed="81"/>
            <rFont val="MS P ゴシック"/>
            <family val="3"/>
            <charset val="128"/>
          </rPr>
          <t>21-5074 22-491 23-207 24-152 25-135 26-128</t>
        </r>
      </text>
    </comment>
    <comment ref="A246" authorId="0" shapeId="0" xr:uid="{4D86DFFB-ECB3-4E1E-9B05-9329BF5F67AA}">
      <text>
        <r>
          <rPr>
            <sz val="9"/>
            <color indexed="81"/>
            <rFont val="MS P ゴシック"/>
            <family val="3"/>
            <charset val="128"/>
          </rPr>
          <t>21-5141 22-522 23-209 24-154 25-136 26-129</t>
        </r>
      </text>
    </comment>
    <comment ref="A248" authorId="0" shapeId="0" xr:uid="{58CCB30D-ACEE-4677-B170-CC43589847C5}">
      <text>
        <r>
          <rPr>
            <sz val="9"/>
            <color indexed="81"/>
            <rFont val="MS P ゴシック"/>
            <family val="3"/>
            <charset val="128"/>
          </rPr>
          <t>21-5146 22-526 23-211 24-156 25-138 26-131</t>
        </r>
      </text>
    </comment>
    <comment ref="A250" authorId="0" shapeId="0" xr:uid="{6D7F003F-4DD7-4AC7-BC91-9077CC37568C}">
      <text>
        <r>
          <rPr>
            <sz val="9"/>
            <color indexed="81"/>
            <rFont val="MS P ゴシック"/>
            <family val="3"/>
            <charset val="128"/>
          </rPr>
          <t>21-5208 22-563 23-213 24-158 25-139 26-132</t>
        </r>
      </text>
    </comment>
    <comment ref="A252" authorId="0" shapeId="0" xr:uid="{395B132E-9238-4870-86D8-5D117F44C955}">
      <text>
        <r>
          <rPr>
            <sz val="9"/>
            <color indexed="81"/>
            <rFont val="MS P ゴシック"/>
            <family val="3"/>
            <charset val="128"/>
          </rPr>
          <t>21-5275 22-611 23-217 24-159 25-140 26-133</t>
        </r>
      </text>
    </comment>
    <comment ref="A254" authorId="0" shapeId="0" xr:uid="{FB6ECC52-19D1-4CBB-9418-8450F00A75B4}">
      <text>
        <r>
          <rPr>
            <sz val="9"/>
            <color indexed="81"/>
            <rFont val="MS P ゴシック"/>
            <family val="3"/>
            <charset val="128"/>
          </rPr>
          <t>21-5369 22-693 23-220 24-160 25-141 26-134</t>
        </r>
      </text>
    </comment>
    <comment ref="A256" authorId="0" shapeId="0" xr:uid="{37C0D299-BA46-4771-BA90-B4A605EC7072}">
      <text>
        <r>
          <rPr>
            <sz val="9"/>
            <color indexed="81"/>
            <rFont val="MS P ゴシック"/>
            <family val="3"/>
            <charset val="128"/>
          </rPr>
          <t>21-5465 22-785 23-224 24-161 25-142 26-135</t>
        </r>
      </text>
    </comment>
    <comment ref="A258" authorId="0" shapeId="0" xr:uid="{CC920B55-8D4E-48B6-B267-C64E665124CE}">
      <text>
        <r>
          <rPr>
            <sz val="9"/>
            <color indexed="81"/>
            <rFont val="MS P ゴシック"/>
            <family val="3"/>
            <charset val="128"/>
          </rPr>
          <t xml:space="preserve"> 22-910 23-228 24-163 25-143 26-136</t>
        </r>
      </text>
    </comment>
    <comment ref="A260" authorId="0" shapeId="0" xr:uid="{043C7F0F-4F3C-47BC-AF1C-8435CF866C8F}">
      <text>
        <r>
          <rPr>
            <sz val="9"/>
            <color indexed="81"/>
            <rFont val="MS P ゴシック"/>
            <family val="3"/>
            <charset val="128"/>
          </rPr>
          <t xml:space="preserve"> 22-1037 23-230 24-165 25-144 26-137</t>
        </r>
      </text>
    </comment>
    <comment ref="A262" authorId="0" shapeId="0" xr:uid="{24A3ABF4-175E-432A-A636-120AD09E21A5}">
      <text>
        <r>
          <rPr>
            <sz val="9"/>
            <color indexed="81"/>
            <rFont val="MS P ゴシック"/>
            <family val="3"/>
            <charset val="128"/>
          </rPr>
          <t xml:space="preserve"> 22-1177 23-233 24-168 25-146 26-138</t>
        </r>
      </text>
    </comment>
    <comment ref="A264" authorId="0" shapeId="0" xr:uid="{2751897D-022D-4505-911D-2547613EB326}">
      <text>
        <r>
          <rPr>
            <sz val="9"/>
            <color indexed="81"/>
            <rFont val="MS P ゴシック"/>
            <family val="3"/>
            <charset val="128"/>
          </rPr>
          <t xml:space="preserve"> 22-1180 23-234 24-169 25-147 26-139</t>
        </r>
      </text>
    </comment>
    <comment ref="A266" authorId="0" shapeId="0" xr:uid="{228E5179-F409-48AC-806C-30F7A49D3714}">
      <text>
        <r>
          <rPr>
            <sz val="9"/>
            <color indexed="81"/>
            <rFont val="MS P ゴシック"/>
            <family val="3"/>
            <charset val="128"/>
          </rPr>
          <t xml:space="preserve"> 22-1320 23-237 24-170 25-148 26-140</t>
        </r>
      </text>
    </comment>
    <comment ref="A268" authorId="0" shapeId="0" xr:uid="{9CCFBDE7-711C-4CA0-83A8-14103389C41D}">
      <text>
        <r>
          <rPr>
            <sz val="9"/>
            <color indexed="81"/>
            <rFont val="MS P ゴシック"/>
            <family val="3"/>
            <charset val="128"/>
          </rPr>
          <t xml:space="preserve"> 22-1398 23-241 24-171 25-149 26-141</t>
        </r>
      </text>
    </comment>
    <comment ref="A270" authorId="0" shapeId="0" xr:uid="{1080FD6E-710D-4FF9-81BE-AF176FCDFFBC}">
      <text>
        <r>
          <rPr>
            <sz val="9"/>
            <color indexed="81"/>
            <rFont val="MS P ゴシック"/>
            <family val="3"/>
            <charset val="128"/>
          </rPr>
          <t xml:space="preserve"> 22-1472 23-244 24-173 25-151 26-143</t>
        </r>
      </text>
    </comment>
    <comment ref="A272" authorId="0" shapeId="0" xr:uid="{DA94F34F-D8DF-43CB-A5C8-B82993257C62}">
      <text>
        <r>
          <rPr>
            <sz val="9"/>
            <color indexed="81"/>
            <rFont val="MS P ゴシック"/>
            <family val="3"/>
            <charset val="128"/>
          </rPr>
          <t xml:space="preserve"> 22-1513 23-245 24-174 25-152 26-144</t>
        </r>
      </text>
    </comment>
    <comment ref="A274" authorId="0" shapeId="0" xr:uid="{9E5638BF-0C51-486F-A0E8-FA4DA2149623}">
      <text>
        <r>
          <rPr>
            <sz val="9"/>
            <color indexed="81"/>
            <rFont val="MS P ゴシック"/>
            <family val="3"/>
            <charset val="128"/>
          </rPr>
          <t xml:space="preserve"> 22-1601 23-248 24-176 25-153 26-145</t>
        </r>
      </text>
    </comment>
    <comment ref="A276" authorId="0" shapeId="0" xr:uid="{A656E301-1C5D-4EF0-AF35-1F8A8872F644}">
      <text>
        <r>
          <rPr>
            <sz val="9"/>
            <color indexed="81"/>
            <rFont val="MS P ゴシック"/>
            <family val="3"/>
            <charset val="128"/>
          </rPr>
          <t xml:space="preserve"> 22-1610ｃ 23-251 24-177 25-154 26-146</t>
        </r>
      </text>
    </comment>
    <comment ref="A278" authorId="0" shapeId="0" xr:uid="{C8A40D16-124F-40D1-A939-35B0E99BD4CA}">
      <text>
        <r>
          <rPr>
            <sz val="9"/>
            <color indexed="81"/>
            <rFont val="MS P ゴシック"/>
            <family val="3"/>
            <charset val="128"/>
          </rPr>
          <t xml:space="preserve"> 22-1612 23-253 24-178 25-155 26-147</t>
        </r>
      </text>
    </comment>
    <comment ref="A280" authorId="0" shapeId="0" xr:uid="{E11AD51A-9778-473B-A24B-15E9C0107276}">
      <text>
        <r>
          <rPr>
            <sz val="9"/>
            <color indexed="81"/>
            <rFont val="MS P ゴシック"/>
            <family val="3"/>
            <charset val="128"/>
          </rPr>
          <t xml:space="preserve"> 22-1613 23-254 24-179 25-156 26-148</t>
        </r>
      </text>
    </comment>
    <comment ref="A282" authorId="0" shapeId="0" xr:uid="{9FDCC2C4-2163-4458-832E-CC141098F139}">
      <text>
        <r>
          <rPr>
            <sz val="9"/>
            <color indexed="81"/>
            <rFont val="MS P ゴシック"/>
            <family val="3"/>
            <charset val="128"/>
          </rPr>
          <t xml:space="preserve"> 22-1630 23-255 24-180 25-157 26-149</t>
        </r>
      </text>
    </comment>
    <comment ref="A284" authorId="0" shapeId="0" xr:uid="{F043FAFD-7E74-490A-B9AA-DF4FB1BCB243}">
      <text>
        <r>
          <rPr>
            <sz val="9"/>
            <color indexed="81"/>
            <rFont val="MS P ゴシック"/>
            <family val="3"/>
            <charset val="128"/>
          </rPr>
          <t xml:space="preserve"> 22-1633 23-256 24-181 25-158 26-150</t>
        </r>
      </text>
    </comment>
    <comment ref="A286" authorId="0" shapeId="0" xr:uid="{ECDA5446-49B3-4BFA-B15F-15B3532A52EF}">
      <text>
        <r>
          <rPr>
            <sz val="9"/>
            <color indexed="81"/>
            <rFont val="MS P ゴシック"/>
            <family val="3"/>
            <charset val="128"/>
          </rPr>
          <t xml:space="preserve"> 22-1641 23-258 24-183 25-160 26-152</t>
        </r>
      </text>
    </comment>
    <comment ref="A288" authorId="0" shapeId="0" xr:uid="{98F377B9-664A-4298-A5AD-DE52FAA08C84}">
      <text>
        <r>
          <rPr>
            <sz val="9"/>
            <color indexed="81"/>
            <rFont val="MS P ゴシック"/>
            <family val="3"/>
            <charset val="128"/>
          </rPr>
          <t xml:space="preserve"> 22-1661 23-259 24-184 25-161 26-153</t>
        </r>
      </text>
    </comment>
    <comment ref="A290" authorId="0" shapeId="0" xr:uid="{48AB0B42-1ACF-4611-BD5D-9AA231B9B170}">
      <text>
        <r>
          <rPr>
            <sz val="9"/>
            <color indexed="81"/>
            <rFont val="MS P ゴシック"/>
            <family val="3"/>
            <charset val="128"/>
          </rPr>
          <t xml:space="preserve"> 22-1697 23-261 24-186 25-163 26-154</t>
        </r>
      </text>
    </comment>
    <comment ref="A292" authorId="0" shapeId="0" xr:uid="{0BCA2D23-55D1-4176-9DE6-8C8F59ACDF96}">
      <text>
        <r>
          <rPr>
            <sz val="9"/>
            <color indexed="81"/>
            <rFont val="MS P ゴシック"/>
            <family val="3"/>
            <charset val="128"/>
          </rPr>
          <t xml:space="preserve"> 22-1700 23-262 24-187 25-164 26-155</t>
        </r>
      </text>
    </comment>
    <comment ref="A294" authorId="0" shapeId="0" xr:uid="{9920FF86-58AB-4134-8866-7E6B8FCEEF1D}">
      <text>
        <r>
          <rPr>
            <sz val="9"/>
            <color indexed="81"/>
            <rFont val="MS P ゴシック"/>
            <family val="3"/>
            <charset val="128"/>
          </rPr>
          <t xml:space="preserve"> 22-1703 23-263 24-188 25-165 26-156</t>
        </r>
      </text>
    </comment>
    <comment ref="A296" authorId="0" shapeId="0" xr:uid="{0D41E819-4AC2-440C-B93B-FF627479C333}">
      <text>
        <r>
          <rPr>
            <sz val="9"/>
            <color indexed="81"/>
            <rFont val="MS P ゴシック"/>
            <family val="3"/>
            <charset val="128"/>
          </rPr>
          <t xml:space="preserve"> 22-1832 23-270 24-193 25-167 26-157</t>
        </r>
      </text>
    </comment>
    <comment ref="A298" authorId="0" shapeId="0" xr:uid="{E3D46534-6F67-4C7D-9C15-3DA5D0CC5769}">
      <text>
        <r>
          <rPr>
            <sz val="9"/>
            <color indexed="81"/>
            <rFont val="MS P ゴシック"/>
            <family val="3"/>
            <charset val="128"/>
          </rPr>
          <t xml:space="preserve"> 22-1928 23-275 24-194 25-168 26-158</t>
        </r>
      </text>
    </comment>
    <comment ref="A300" authorId="0" shapeId="0" xr:uid="{751864A9-7D70-42A1-9C1A-6B7197D8D116}">
      <text>
        <r>
          <rPr>
            <sz val="9"/>
            <color indexed="81"/>
            <rFont val="MS P ゴシック"/>
            <family val="3"/>
            <charset val="128"/>
          </rPr>
          <t xml:space="preserve"> 22-1983 23-277 24-195 25-169 26-159</t>
        </r>
      </text>
    </comment>
    <comment ref="A302" authorId="0" shapeId="0" xr:uid="{11897803-D3EA-4235-98BC-6329433581CA}">
      <text>
        <r>
          <rPr>
            <sz val="9"/>
            <color indexed="81"/>
            <rFont val="MS P ゴシック"/>
            <family val="3"/>
            <charset val="128"/>
          </rPr>
          <t xml:space="preserve"> 22-2004 23-278 24-196 25-170 26-160</t>
        </r>
      </text>
    </comment>
    <comment ref="A304" authorId="0" shapeId="0" xr:uid="{EE488B12-07D0-4AD7-8F26-0E3D73E12D82}">
      <text>
        <r>
          <rPr>
            <sz val="9"/>
            <color indexed="81"/>
            <rFont val="MS P ゴシック"/>
            <family val="3"/>
            <charset val="128"/>
          </rPr>
          <t xml:space="preserve"> 22-2070 23-281 24-198 25-171 26-161</t>
        </r>
      </text>
    </comment>
    <comment ref="A306" authorId="0" shapeId="0" xr:uid="{0AB67A3C-15E5-4012-B0AB-BB56AA882767}">
      <text>
        <r>
          <rPr>
            <sz val="9"/>
            <color indexed="81"/>
            <rFont val="MS P ゴシック"/>
            <family val="3"/>
            <charset val="128"/>
          </rPr>
          <t xml:space="preserve"> 22-2164 23-284 24-200 25-172 26-162</t>
        </r>
      </text>
    </comment>
    <comment ref="A308" authorId="0" shapeId="0" xr:uid="{A1DB752F-5968-461E-8965-F13EA903E51C}">
      <text>
        <r>
          <rPr>
            <sz val="9"/>
            <color indexed="81"/>
            <rFont val="MS P ゴシック"/>
            <family val="3"/>
            <charset val="128"/>
          </rPr>
          <t xml:space="preserve"> 22-2174 23-285 24-201 25-173 26-163</t>
        </r>
      </text>
    </comment>
    <comment ref="A310" authorId="0" shapeId="0" xr:uid="{09E2AC7B-0588-481C-A3AF-C570D9B68F15}">
      <text>
        <r>
          <rPr>
            <sz val="9"/>
            <color indexed="81"/>
            <rFont val="MS P ゴシック"/>
            <family val="3"/>
            <charset val="128"/>
          </rPr>
          <t xml:space="preserve"> 22-2222 23-286 24-202 25-174 26-164</t>
        </r>
      </text>
    </comment>
    <comment ref="A312" authorId="0" shapeId="0" xr:uid="{60956CBC-49BF-4F7A-8ACF-4DDE2C340870}">
      <text>
        <r>
          <rPr>
            <sz val="9"/>
            <color indexed="81"/>
            <rFont val="MS P ゴシック"/>
            <family val="3"/>
            <charset val="128"/>
          </rPr>
          <t xml:space="preserve"> 22-2373 23-289 24-203 25-175 26-165</t>
        </r>
      </text>
    </comment>
    <comment ref="A314" authorId="0" shapeId="0" xr:uid="{E511C04E-4B7A-4E63-A666-3B7052D87EE7}">
      <text>
        <r>
          <rPr>
            <sz val="9"/>
            <color indexed="81"/>
            <rFont val="MS P ゴシック"/>
            <family val="3"/>
            <charset val="128"/>
          </rPr>
          <t xml:space="preserve"> 22-2388 23-290 24-204 25-176 26-166</t>
        </r>
      </text>
    </comment>
    <comment ref="A316" authorId="0" shapeId="0" xr:uid="{12869F9F-89E1-4640-B62F-5E9997AFB3E5}">
      <text>
        <r>
          <rPr>
            <sz val="9"/>
            <color indexed="81"/>
            <rFont val="MS P ゴシック"/>
            <family val="3"/>
            <charset val="128"/>
          </rPr>
          <t xml:space="preserve"> 22-2471 23-292 24-206 25-177 26-167</t>
        </r>
      </text>
    </comment>
    <comment ref="A318" authorId="0" shapeId="0" xr:uid="{D1B5D72D-6A91-4CA0-8115-EEB12A8B9551}">
      <text>
        <r>
          <rPr>
            <sz val="9"/>
            <color indexed="81"/>
            <rFont val="MS P ゴシック"/>
            <family val="3"/>
            <charset val="128"/>
          </rPr>
          <t xml:space="preserve"> 22-2919 23-305 24-209 25-180 26-169</t>
        </r>
      </text>
    </comment>
    <comment ref="A320" authorId="0" shapeId="0" xr:uid="{90FADDA0-51B0-4399-B35E-8F3857F18D65}">
      <text>
        <r>
          <rPr>
            <sz val="9"/>
            <color indexed="81"/>
            <rFont val="MS P ゴシック"/>
            <family val="3"/>
            <charset val="128"/>
          </rPr>
          <t xml:space="preserve"> 22-2959 23-307 24-210 25-181 26-170</t>
        </r>
      </text>
    </comment>
    <comment ref="A322" authorId="0" shapeId="0" xr:uid="{ADBADAD5-7FAE-4455-ABE2-4558956562B3}">
      <text>
        <r>
          <rPr>
            <sz val="9"/>
            <color indexed="81"/>
            <rFont val="MS P ゴシック"/>
            <family val="3"/>
            <charset val="128"/>
          </rPr>
          <t xml:space="preserve"> 22-2960 23-308 24-211 25-182 26-171</t>
        </r>
      </text>
    </comment>
    <comment ref="A324" authorId="0" shapeId="0" xr:uid="{9C93898C-C870-401E-BDD5-CC7A93DF494D}">
      <text>
        <r>
          <rPr>
            <sz val="9"/>
            <color indexed="81"/>
            <rFont val="MS P ゴシック"/>
            <family val="3"/>
            <charset val="128"/>
          </rPr>
          <t xml:space="preserve"> 22-3102 23-313 24-212 25-183 26-172</t>
        </r>
      </text>
    </comment>
    <comment ref="A326" authorId="0" shapeId="0" xr:uid="{54609640-CEE6-438C-BF97-4B2DFFE47292}">
      <text>
        <r>
          <rPr>
            <sz val="9"/>
            <color indexed="81"/>
            <rFont val="MS P ゴシック"/>
            <family val="3"/>
            <charset val="128"/>
          </rPr>
          <t xml:space="preserve"> 22-3353 23-317 24-215 25-184 26-173</t>
        </r>
      </text>
    </comment>
    <comment ref="A328" authorId="0" shapeId="0" xr:uid="{1366BC9D-6362-44F2-AB90-DD6397AAD580}">
      <text>
        <r>
          <rPr>
            <sz val="9"/>
            <color indexed="81"/>
            <rFont val="MS P ゴシック"/>
            <family val="3"/>
            <charset val="128"/>
          </rPr>
          <t xml:space="preserve"> 22-3403 23-320 24-217 25-185 26-174</t>
        </r>
      </text>
    </comment>
    <comment ref="A330" authorId="0" shapeId="0" xr:uid="{C710F150-99F4-444F-885A-9A2DC94FBBF8}">
      <text>
        <r>
          <rPr>
            <sz val="9"/>
            <color indexed="81"/>
            <rFont val="MS P ゴシック"/>
            <family val="3"/>
            <charset val="128"/>
          </rPr>
          <t xml:space="preserve"> 22-3480 23-324 24-218 25-186 26-175</t>
        </r>
      </text>
    </comment>
    <comment ref="A332" authorId="0" shapeId="0" xr:uid="{D60F99D1-8A1F-4056-AB08-28F7323F0F8D}">
      <text>
        <r>
          <rPr>
            <sz val="9"/>
            <color indexed="81"/>
            <rFont val="MS P ゴシック"/>
            <family val="3"/>
            <charset val="128"/>
          </rPr>
          <t xml:space="preserve"> 22-3551 23-328 24-219 25-187 26-176</t>
        </r>
      </text>
    </comment>
    <comment ref="A334" authorId="0" shapeId="0" xr:uid="{D6FECB04-8D1A-44FE-95AF-0C28AF1EE00B}">
      <text>
        <r>
          <rPr>
            <sz val="9"/>
            <color indexed="81"/>
            <rFont val="MS P ゴシック"/>
            <family val="3"/>
            <charset val="128"/>
          </rPr>
          <t xml:space="preserve"> 22-3815 23-342 24-226 25-191 26-178</t>
        </r>
      </text>
    </comment>
    <comment ref="A336" authorId="0" shapeId="0" xr:uid="{732C37EF-81C2-400B-80A6-7F22750D730B}">
      <text>
        <r>
          <rPr>
            <sz val="9"/>
            <color indexed="81"/>
            <rFont val="MS P ゴシック"/>
            <family val="3"/>
            <charset val="128"/>
          </rPr>
          <t xml:space="preserve"> 22-4042 23-352 24-228 25-193 26-179</t>
        </r>
      </text>
    </comment>
    <comment ref="A338" authorId="0" shapeId="0" xr:uid="{0BAFDBDA-4E63-4211-AF43-50225730A072}">
      <text>
        <r>
          <rPr>
            <sz val="9"/>
            <color indexed="81"/>
            <rFont val="MS P ゴシック"/>
            <family val="3"/>
            <charset val="128"/>
          </rPr>
          <t xml:space="preserve"> 22-4094 23-354 24-229 25-194 26-180</t>
        </r>
      </text>
    </comment>
    <comment ref="A340" authorId="0" shapeId="0" xr:uid="{9B023FEB-60ED-49B8-B7B1-114907BC7186}">
      <text>
        <r>
          <rPr>
            <sz val="9"/>
            <color indexed="81"/>
            <rFont val="MS P ゴシック"/>
            <family val="3"/>
            <charset val="128"/>
          </rPr>
          <t xml:space="preserve"> 22-4146 23-357 24-230 25-195 26-181</t>
        </r>
      </text>
    </comment>
    <comment ref="A342" authorId="0" shapeId="0" xr:uid="{9DE1F6F1-71AE-4635-893B-A2EE2B6249AD}">
      <text>
        <r>
          <rPr>
            <sz val="9"/>
            <color indexed="81"/>
            <rFont val="MS P ゴシック"/>
            <family val="3"/>
            <charset val="128"/>
          </rPr>
          <t xml:space="preserve"> 22-4243 23-365 24-231 25-196 26-182</t>
        </r>
      </text>
    </comment>
    <comment ref="A344" authorId="0" shapeId="0" xr:uid="{92C736DE-5F51-40FB-9E1C-72667D8C487B}">
      <text>
        <r>
          <rPr>
            <sz val="9"/>
            <color indexed="81"/>
            <rFont val="MS P ゴシック"/>
            <family val="3"/>
            <charset val="128"/>
          </rPr>
          <t xml:space="preserve"> 22-4265 23-369 24-232 25-197 26-183</t>
        </r>
      </text>
    </comment>
    <comment ref="A346" authorId="0" shapeId="0" xr:uid="{59FD4DEF-98C9-4A02-9845-382D1491934D}">
      <text>
        <r>
          <rPr>
            <sz val="9"/>
            <color indexed="81"/>
            <rFont val="MS P ゴシック"/>
            <family val="3"/>
            <charset val="128"/>
          </rPr>
          <t xml:space="preserve"> 22-4340 23-374 24-233 25-198 26-184</t>
        </r>
      </text>
    </comment>
    <comment ref="A348" authorId="0" shapeId="0" xr:uid="{B341DBE2-1273-4559-915C-F58ADEABAFDC}">
      <text>
        <r>
          <rPr>
            <sz val="9"/>
            <color indexed="81"/>
            <rFont val="MS P ゴシック"/>
            <family val="3"/>
            <charset val="128"/>
          </rPr>
          <t xml:space="preserve"> 22-4439 23-385 24-237 25-200 26-185</t>
        </r>
      </text>
    </comment>
    <comment ref="A350" authorId="0" shapeId="0" xr:uid="{A7E7B524-53D8-403D-8D15-5A955F37D61D}">
      <text>
        <r>
          <rPr>
            <sz val="9"/>
            <color indexed="81"/>
            <rFont val="MS P ゴシック"/>
            <family val="3"/>
            <charset val="128"/>
          </rPr>
          <t xml:space="preserve"> 22-4480 23-389 24-238 25-201 26-186</t>
        </r>
      </text>
    </comment>
    <comment ref="A352" authorId="0" shapeId="0" xr:uid="{0E2F44F1-6223-473F-BFFE-F14A6A4A6A54}">
      <text>
        <r>
          <rPr>
            <sz val="9"/>
            <color indexed="81"/>
            <rFont val="MS P ゴシック"/>
            <family val="3"/>
            <charset val="128"/>
          </rPr>
          <t xml:space="preserve"> 22-4542 23-395 24-241 25-203 26-187</t>
        </r>
      </text>
    </comment>
    <comment ref="A354" authorId="0" shapeId="0" xr:uid="{43B4EE4D-F3F9-4B9F-AEFF-8EF10A397AF6}">
      <text>
        <r>
          <rPr>
            <sz val="9"/>
            <color indexed="81"/>
            <rFont val="MS P ゴシック"/>
            <family val="3"/>
            <charset val="128"/>
          </rPr>
          <t xml:space="preserve"> 22-4618 23-404 24-242 25-204 26-188</t>
        </r>
      </text>
    </comment>
    <comment ref="A356" authorId="0" shapeId="0" xr:uid="{67DE9FEE-9B62-426F-8455-4AA9040ED8F7}">
      <text>
        <r>
          <rPr>
            <sz val="9"/>
            <color indexed="81"/>
            <rFont val="MS P ゴシック"/>
            <family val="3"/>
            <charset val="128"/>
          </rPr>
          <t xml:space="preserve"> 22-4635 23-406 24-243 25-205 26-189</t>
        </r>
      </text>
    </comment>
    <comment ref="A358" authorId="0" shapeId="0" xr:uid="{D2AFD472-67E0-4DD7-84F5-862F3B6A15B0}">
      <text>
        <r>
          <rPr>
            <sz val="9"/>
            <color indexed="81"/>
            <rFont val="MS P ゴシック"/>
            <family val="3"/>
            <charset val="128"/>
          </rPr>
          <t xml:space="preserve"> 22-4696 23-409 24-244 25-206 26-190</t>
        </r>
      </text>
    </comment>
    <comment ref="A360" authorId="0" shapeId="0" xr:uid="{7DA8E6D5-F45A-4EE0-8DFA-368CF8A0C446}">
      <text>
        <r>
          <rPr>
            <sz val="9"/>
            <color indexed="81"/>
            <rFont val="MS P ゴシック"/>
            <family val="3"/>
            <charset val="128"/>
          </rPr>
          <t xml:space="preserve"> 22-4702 23-411 24-245 25-207 26-191</t>
        </r>
      </text>
    </comment>
    <comment ref="A362" authorId="0" shapeId="0" xr:uid="{49F1340B-EA41-4DAA-A317-473E019A49B7}">
      <text>
        <r>
          <rPr>
            <sz val="9"/>
            <color indexed="81"/>
            <rFont val="MS P ゴシック"/>
            <family val="3"/>
            <charset val="128"/>
          </rPr>
          <t xml:space="preserve"> 22-4703 23-412 24-246 25-208 26-192</t>
        </r>
      </text>
    </comment>
    <comment ref="A364" authorId="0" shapeId="0" xr:uid="{EDB71325-B2E9-46E5-A29C-C8393A828050}">
      <text>
        <r>
          <rPr>
            <sz val="9"/>
            <color indexed="81"/>
            <rFont val="MS P ゴシック"/>
            <family val="3"/>
            <charset val="128"/>
          </rPr>
          <t xml:space="preserve"> 22-4758 23-415 24-247 25-209 26-193</t>
        </r>
      </text>
    </comment>
    <comment ref="A366" authorId="0" shapeId="0" xr:uid="{5FAA280D-F2D1-47DA-AA01-496796E3D5A1}">
      <text>
        <r>
          <rPr>
            <sz val="9"/>
            <color indexed="81"/>
            <rFont val="MS P ゴシック"/>
            <family val="3"/>
            <charset val="128"/>
          </rPr>
          <t xml:space="preserve"> 22-4762 23-417 24-248 25-210 26-194</t>
        </r>
      </text>
    </comment>
    <comment ref="A368" authorId="0" shapeId="0" xr:uid="{9BC320F9-885A-41E0-A163-2E6FEF2D3A9B}">
      <text>
        <r>
          <rPr>
            <sz val="9"/>
            <color indexed="81"/>
            <rFont val="MS P ゴシック"/>
            <family val="3"/>
            <charset val="128"/>
          </rPr>
          <t xml:space="preserve"> 22-4815 23-426 24-249 25-211 26-195</t>
        </r>
      </text>
    </comment>
    <comment ref="A370" authorId="0" shapeId="0" xr:uid="{2C158ECF-DB0D-4AD4-9021-8256F4A4FB83}">
      <text>
        <r>
          <rPr>
            <sz val="9"/>
            <color indexed="81"/>
            <rFont val="MS P ゴシック"/>
            <family val="3"/>
            <charset val="128"/>
          </rPr>
          <t xml:space="preserve"> 22-4880 23-436 24-251 25-212 26-196</t>
        </r>
      </text>
    </comment>
    <comment ref="A372" authorId="0" shapeId="0" xr:uid="{DD31CF69-CC73-40CC-9887-6FA47ECD1CA9}">
      <text>
        <r>
          <rPr>
            <sz val="9"/>
            <color indexed="81"/>
            <rFont val="MS P ゴシック"/>
            <family val="3"/>
            <charset val="128"/>
          </rPr>
          <t xml:space="preserve"> 22-4886 23-437 24-252 25-213 26-197</t>
        </r>
      </text>
    </comment>
    <comment ref="A374" authorId="0" shapeId="0" xr:uid="{A7970511-C6B3-4DEE-943C-D3C11F89DE48}">
      <text>
        <r>
          <rPr>
            <sz val="9"/>
            <color indexed="81"/>
            <rFont val="MS P ゴシック"/>
            <family val="3"/>
            <charset val="128"/>
          </rPr>
          <t xml:space="preserve"> 22-4909 23-441 24-253 25-214 26-198</t>
        </r>
      </text>
    </comment>
    <comment ref="A376" authorId="0" shapeId="0" xr:uid="{29CE7A77-08E5-4BC7-92EE-52C50E4FA02E}">
      <text>
        <r>
          <rPr>
            <sz val="9"/>
            <color indexed="81"/>
            <rFont val="MS P ゴシック"/>
            <family val="3"/>
            <charset val="128"/>
          </rPr>
          <t xml:space="preserve"> 22-4912 23-443 24-254 25-215 26-199</t>
        </r>
      </text>
    </comment>
    <comment ref="A378" authorId="0" shapeId="0" xr:uid="{F0175F9E-EAE4-41B1-9B20-644E9D640479}">
      <text>
        <r>
          <rPr>
            <sz val="9"/>
            <color indexed="81"/>
            <rFont val="MS P ゴシック"/>
            <family val="3"/>
            <charset val="128"/>
          </rPr>
          <t xml:space="preserve"> 22-5063 23-479 24-257 25-217 26-201</t>
        </r>
      </text>
    </comment>
    <comment ref="A380" authorId="0" shapeId="0" xr:uid="{7C3B84D3-6208-4BA0-99CD-296CA6941A6B}">
      <text>
        <r>
          <rPr>
            <sz val="9"/>
            <color indexed="81"/>
            <rFont val="MS P ゴシック"/>
            <family val="3"/>
            <charset val="128"/>
          </rPr>
          <t xml:space="preserve"> 22-5082 23-485 24-258 25-218 26-202</t>
        </r>
      </text>
    </comment>
    <comment ref="A382" authorId="0" shapeId="0" xr:uid="{66A19D2B-CCC8-4549-9AE0-B154FDD0F029}">
      <text>
        <r>
          <rPr>
            <sz val="9"/>
            <color indexed="81"/>
            <rFont val="MS P ゴシック"/>
            <family val="3"/>
            <charset val="128"/>
          </rPr>
          <t xml:space="preserve"> 22-5185 23-535 24-260 25-219 26-203</t>
        </r>
      </text>
    </comment>
    <comment ref="A384" authorId="0" shapeId="0" xr:uid="{3B7C49A8-710B-4561-9B25-42CD332DCBE6}">
      <text>
        <r>
          <rPr>
            <sz val="9"/>
            <color indexed="81"/>
            <rFont val="MS P ゴシック"/>
            <family val="3"/>
            <charset val="128"/>
          </rPr>
          <t xml:space="preserve"> 22-5186 23-536 24-261 25-220 26-204</t>
        </r>
      </text>
    </comment>
    <comment ref="A386" authorId="0" shapeId="0" xr:uid="{50E5F497-2D39-4F03-88DA-D7F35A9F4948}">
      <text>
        <r>
          <rPr>
            <sz val="9"/>
            <color indexed="81"/>
            <rFont val="MS P ゴシック"/>
            <family val="3"/>
            <charset val="128"/>
          </rPr>
          <t xml:space="preserve"> 22-5195 23-545 24-262 25-221 26-205</t>
        </r>
      </text>
    </comment>
    <comment ref="A388" authorId="0" shapeId="0" xr:uid="{9DEA5156-CEDC-4013-BC57-FB43CF978095}">
      <text>
        <r>
          <rPr>
            <sz val="9"/>
            <color indexed="81"/>
            <rFont val="MS P ゴシック"/>
            <family val="3"/>
            <charset val="128"/>
          </rPr>
          <t xml:space="preserve"> 22-5217 23-565 24-264 25-222 26-206</t>
        </r>
      </text>
    </comment>
    <comment ref="A390" authorId="0" shapeId="0" xr:uid="{46F4AE2B-9393-4870-80F3-EF8DA25237D6}">
      <text>
        <r>
          <rPr>
            <sz val="9"/>
            <color indexed="81"/>
            <rFont val="MS P ゴシック"/>
            <family val="3"/>
            <charset val="128"/>
          </rPr>
          <t xml:space="preserve"> 22-5313 23-652 24-269 25-223 26-207</t>
        </r>
      </text>
    </comment>
    <comment ref="A392" authorId="0" shapeId="0" xr:uid="{6BE8C350-9AED-4F6F-AC93-414BA5FFC9F1}">
      <text>
        <r>
          <rPr>
            <sz val="9"/>
            <color indexed="81"/>
            <rFont val="MS P ゴシック"/>
            <family val="3"/>
            <charset val="128"/>
          </rPr>
          <t xml:space="preserve"> 23-754 24-273 25-226 26-209</t>
        </r>
      </text>
    </comment>
    <comment ref="A394" authorId="0" shapeId="0" xr:uid="{6F7B6F21-FF52-4E96-954C-9331575F91CD}">
      <text>
        <r>
          <rPr>
            <sz val="9"/>
            <color indexed="81"/>
            <rFont val="MS P ゴシック"/>
            <family val="3"/>
            <charset val="128"/>
          </rPr>
          <t xml:space="preserve"> 23-807 24-274 25-227 26-210</t>
        </r>
      </text>
    </comment>
    <comment ref="A396" authorId="0" shapeId="0" xr:uid="{2F630D05-43DC-4261-822D-B70E5429B8E7}">
      <text>
        <r>
          <rPr>
            <sz val="9"/>
            <color indexed="81"/>
            <rFont val="MS P ゴシック"/>
            <family val="3"/>
            <charset val="128"/>
          </rPr>
          <t xml:space="preserve"> 23-835 24-276 25-228 26-211</t>
        </r>
      </text>
    </comment>
    <comment ref="A398" authorId="0" shapeId="0" xr:uid="{EC80510B-74C5-4A59-9027-2238D6A233A4}">
      <text>
        <r>
          <rPr>
            <sz val="9"/>
            <color indexed="81"/>
            <rFont val="MS P ゴシック"/>
            <family val="3"/>
            <charset val="128"/>
          </rPr>
          <t xml:space="preserve"> 23-857 24-277 25-229 26-212</t>
        </r>
      </text>
    </comment>
    <comment ref="A400" authorId="0" shapeId="0" xr:uid="{349DD27D-7AEB-4F6B-8102-7D86DEB15C4A}">
      <text>
        <r>
          <rPr>
            <sz val="9"/>
            <color indexed="81"/>
            <rFont val="MS P ゴシック"/>
            <family val="3"/>
            <charset val="128"/>
          </rPr>
          <t xml:space="preserve"> 23-858 24-278 25-230 26-213</t>
        </r>
      </text>
    </comment>
    <comment ref="A402" authorId="0" shapeId="0" xr:uid="{3EEBFFA7-8330-4123-8605-6B4C8954D34C}">
      <text>
        <r>
          <rPr>
            <sz val="9"/>
            <color indexed="81"/>
            <rFont val="MS P ゴシック"/>
            <family val="3"/>
            <charset val="128"/>
          </rPr>
          <t xml:space="preserve"> 23-885 24-279 25-231 26-214</t>
        </r>
      </text>
    </comment>
    <comment ref="A404" authorId="0" shapeId="0" xr:uid="{5C2AEE40-B3E0-456E-94E5-5D4085953070}">
      <text>
        <r>
          <rPr>
            <sz val="9"/>
            <color indexed="81"/>
            <rFont val="MS P ゴシック"/>
            <family val="3"/>
            <charset val="128"/>
          </rPr>
          <t xml:space="preserve"> 23-899 24-280 25-232 26-215</t>
        </r>
      </text>
    </comment>
    <comment ref="A406" authorId="0" shapeId="0" xr:uid="{2E584D55-F3B8-4016-A099-211B66C68FAC}">
      <text>
        <r>
          <rPr>
            <sz val="9"/>
            <color indexed="81"/>
            <rFont val="MS P ゴシック"/>
            <family val="3"/>
            <charset val="128"/>
          </rPr>
          <t xml:space="preserve"> 23-979 24-281 25-233 26-216</t>
        </r>
      </text>
    </comment>
    <comment ref="A408" authorId="0" shapeId="0" xr:uid="{E5862D5B-D73A-4649-BC77-FFB8C11D02FE}">
      <text>
        <r>
          <rPr>
            <sz val="9"/>
            <color indexed="81"/>
            <rFont val="MS P ゴシック"/>
            <family val="3"/>
            <charset val="128"/>
          </rPr>
          <t xml:space="preserve"> 23-1031 24-282 25-234 26-217</t>
        </r>
      </text>
    </comment>
    <comment ref="A410" authorId="0" shapeId="0" xr:uid="{8AAEA7FC-45CA-4CB9-84DA-0BAA1F2023C0}">
      <text>
        <r>
          <rPr>
            <sz val="9"/>
            <color indexed="81"/>
            <rFont val="MS P ゴシック"/>
            <family val="3"/>
            <charset val="128"/>
          </rPr>
          <t xml:space="preserve"> 23-1079 24-284 25-235 26-218</t>
        </r>
      </text>
    </comment>
    <comment ref="A412" authorId="0" shapeId="0" xr:uid="{C8E2504D-18A6-46C7-B1A3-A5F2764741F9}">
      <text>
        <r>
          <rPr>
            <sz val="9"/>
            <color indexed="81"/>
            <rFont val="MS P ゴシック"/>
            <family val="3"/>
            <charset val="128"/>
          </rPr>
          <t xml:space="preserve"> 23-1150 24-287 25-236 26-219</t>
        </r>
      </text>
    </comment>
    <comment ref="A414" authorId="0" shapeId="0" xr:uid="{721B79D3-EDB4-49C4-AD19-10478CAE046B}">
      <text>
        <r>
          <rPr>
            <sz val="9"/>
            <color indexed="81"/>
            <rFont val="MS P ゴシック"/>
            <family val="3"/>
            <charset val="128"/>
          </rPr>
          <t xml:space="preserve"> 23-1165 24-288 25-237 26-220</t>
        </r>
      </text>
    </comment>
    <comment ref="A416" authorId="0" shapeId="0" xr:uid="{D6FDA18A-9781-49B5-8EF7-3978001D5AF5}">
      <text>
        <r>
          <rPr>
            <sz val="9"/>
            <color indexed="81"/>
            <rFont val="MS P ゴシック"/>
            <family val="3"/>
            <charset val="128"/>
          </rPr>
          <t xml:space="preserve"> 23-1177 24-290 25-238 26-221</t>
        </r>
      </text>
    </comment>
    <comment ref="A418" authorId="0" shapeId="0" xr:uid="{E0BA299F-EDFD-48E1-A372-FB0536C0621E}">
      <text>
        <r>
          <rPr>
            <sz val="9"/>
            <color indexed="81"/>
            <rFont val="MS P ゴシック"/>
            <family val="3"/>
            <charset val="128"/>
          </rPr>
          <t xml:space="preserve"> 23-1230 24-293 25-239 26-222</t>
        </r>
      </text>
    </comment>
    <comment ref="A420" authorId="0" shapeId="0" xr:uid="{972DED6B-16FF-44BE-845F-1C8D5D456FE8}">
      <text>
        <r>
          <rPr>
            <sz val="9"/>
            <color indexed="81"/>
            <rFont val="MS P ゴシック"/>
            <family val="3"/>
            <charset val="128"/>
          </rPr>
          <t xml:space="preserve"> 23-1337 24-298 25-242 26-225</t>
        </r>
      </text>
    </comment>
    <comment ref="A422" authorId="0" shapeId="0" xr:uid="{50312968-96B4-483B-A959-7B68250F5503}">
      <text>
        <r>
          <rPr>
            <sz val="9"/>
            <color indexed="81"/>
            <rFont val="MS P ゴシック"/>
            <family val="3"/>
            <charset val="128"/>
          </rPr>
          <t xml:space="preserve"> 23-1366 24-299 25-243 26-226</t>
        </r>
      </text>
    </comment>
    <comment ref="A424" authorId="0" shapeId="0" xr:uid="{E67A78AF-ED06-429A-BF0D-2B70274DFBC7}">
      <text>
        <r>
          <rPr>
            <sz val="9"/>
            <color indexed="81"/>
            <rFont val="MS P ゴシック"/>
            <family val="3"/>
            <charset val="128"/>
          </rPr>
          <t xml:space="preserve"> 23-1368 24-300 25-244 26-227</t>
        </r>
      </text>
    </comment>
    <comment ref="A426" authorId="0" shapeId="0" xr:uid="{1E4BB233-BB34-45B7-B351-9E810A9D8EDC}">
      <text>
        <r>
          <rPr>
            <sz val="9"/>
            <color indexed="81"/>
            <rFont val="MS P ゴシック"/>
            <family val="3"/>
            <charset val="128"/>
          </rPr>
          <t xml:space="preserve"> 23-1414 24-301 25-245 26-228</t>
        </r>
      </text>
    </comment>
    <comment ref="A428" authorId="0" shapeId="0" xr:uid="{4455E406-82CB-4EE7-8661-99808C8B28FF}">
      <text>
        <r>
          <rPr>
            <sz val="9"/>
            <color indexed="81"/>
            <rFont val="MS P ゴシック"/>
            <family val="3"/>
            <charset val="128"/>
          </rPr>
          <t xml:space="preserve"> 23-1441 24-303 25-246 26-229</t>
        </r>
      </text>
    </comment>
    <comment ref="A430" authorId="0" shapeId="0" xr:uid="{B8EB330C-74A6-481E-8D21-2480F999B02B}">
      <text>
        <r>
          <rPr>
            <sz val="9"/>
            <color indexed="81"/>
            <rFont val="MS P ゴシック"/>
            <family val="3"/>
            <charset val="128"/>
          </rPr>
          <t xml:space="preserve"> 23-1451 24-305 25-247 26-230</t>
        </r>
      </text>
    </comment>
    <comment ref="A432" authorId="0" shapeId="0" xr:uid="{A9E015D4-621F-4CA5-AA41-EB26B5D61EC4}">
      <text>
        <r>
          <rPr>
            <sz val="9"/>
            <color indexed="81"/>
            <rFont val="MS P ゴシック"/>
            <family val="3"/>
            <charset val="128"/>
          </rPr>
          <t xml:space="preserve"> 23-1452 24-306 25-248 26-231</t>
        </r>
      </text>
    </comment>
    <comment ref="A434" authorId="0" shapeId="0" xr:uid="{97C37824-4BBB-4A66-9A3F-92A8DCFED39C}">
      <text>
        <r>
          <rPr>
            <sz val="9"/>
            <color indexed="81"/>
            <rFont val="MS P ゴシック"/>
            <family val="3"/>
            <charset val="128"/>
          </rPr>
          <t xml:space="preserve"> 23-1488 24-308 25-249 26-232</t>
        </r>
      </text>
    </comment>
    <comment ref="A436" authorId="0" shapeId="0" xr:uid="{65032DA8-8512-498D-943B-BF1EE4F9658F}">
      <text>
        <r>
          <rPr>
            <sz val="9"/>
            <color indexed="81"/>
            <rFont val="MS P ゴシック"/>
            <family val="3"/>
            <charset val="128"/>
          </rPr>
          <t xml:space="preserve"> 23-1604 24-313 25-252 26-233</t>
        </r>
      </text>
    </comment>
    <comment ref="A438" authorId="0" shapeId="0" xr:uid="{C1A37280-1532-42BC-8725-DB42F211EC6C}">
      <text>
        <r>
          <rPr>
            <sz val="9"/>
            <color indexed="81"/>
            <rFont val="MS P ゴシック"/>
            <family val="3"/>
            <charset val="128"/>
          </rPr>
          <t xml:space="preserve"> 23-1644 24-316 25-254 26-234</t>
        </r>
      </text>
    </comment>
    <comment ref="A440" authorId="0" shapeId="0" xr:uid="{9CE9532A-7C9F-4E3D-ADB5-DE686B0DB675}">
      <text>
        <r>
          <rPr>
            <sz val="9"/>
            <color indexed="81"/>
            <rFont val="MS P ゴシック"/>
            <family val="3"/>
            <charset val="128"/>
          </rPr>
          <t xml:space="preserve"> 23-1651 24-317 25-255 26-235</t>
        </r>
      </text>
    </comment>
    <comment ref="A442" authorId="0" shapeId="0" xr:uid="{C2AACD9D-1D20-4AD8-9487-6F0219F4A1F0}">
      <text>
        <r>
          <rPr>
            <sz val="9"/>
            <color indexed="81"/>
            <rFont val="MS P ゴシック"/>
            <family val="3"/>
            <charset val="128"/>
          </rPr>
          <t xml:space="preserve"> 23-1738 24-322 25-257 26-237</t>
        </r>
      </text>
    </comment>
    <comment ref="A444" authorId="0" shapeId="0" xr:uid="{8DBB9DF1-AD3C-4E72-8C38-ECFCBBEF090C}">
      <text>
        <r>
          <rPr>
            <sz val="9"/>
            <color indexed="81"/>
            <rFont val="MS P ゴシック"/>
            <family val="3"/>
            <charset val="128"/>
          </rPr>
          <t xml:space="preserve"> 23-1823 24-325 25-260 26-239</t>
        </r>
      </text>
    </comment>
    <comment ref="A446" authorId="0" shapeId="0" xr:uid="{010CAE66-9150-4734-A956-7010569FD60F}">
      <text>
        <r>
          <rPr>
            <sz val="9"/>
            <color indexed="81"/>
            <rFont val="MS P ゴシック"/>
            <family val="3"/>
            <charset val="128"/>
          </rPr>
          <t xml:space="preserve"> 23-1839 24-326 25-261 26-240</t>
        </r>
      </text>
    </comment>
    <comment ref="A448" authorId="0" shapeId="0" xr:uid="{755529E0-CF9C-4A42-8161-B32860613434}">
      <text>
        <r>
          <rPr>
            <sz val="9"/>
            <color indexed="81"/>
            <rFont val="MS P ゴシック"/>
            <family val="3"/>
            <charset val="128"/>
          </rPr>
          <t xml:space="preserve"> 23-1888 24-330 25-263 26-241</t>
        </r>
      </text>
    </comment>
    <comment ref="A450" authorId="0" shapeId="0" xr:uid="{8A14097E-3513-4237-AD5E-F31497392DBB}">
      <text>
        <r>
          <rPr>
            <sz val="9"/>
            <color indexed="81"/>
            <rFont val="MS P ゴシック"/>
            <family val="3"/>
            <charset val="128"/>
          </rPr>
          <t xml:space="preserve"> 23-1918 24-334 25-266 26-243</t>
        </r>
      </text>
    </comment>
    <comment ref="A452" authorId="0" shapeId="0" xr:uid="{2ECF0186-53C7-498A-B33E-0726AD3863CC}">
      <text>
        <r>
          <rPr>
            <sz val="9"/>
            <color indexed="81"/>
            <rFont val="MS P ゴシック"/>
            <family val="3"/>
            <charset val="128"/>
          </rPr>
          <t xml:space="preserve"> 23-1921 24-335 25-267 26-244</t>
        </r>
      </text>
    </comment>
    <comment ref="A454" authorId="0" shapeId="0" xr:uid="{C240EB30-6A8D-44C6-A8C3-8794F66D3362}">
      <text>
        <r>
          <rPr>
            <sz val="9"/>
            <color indexed="81"/>
            <rFont val="MS P ゴシック"/>
            <family val="3"/>
            <charset val="128"/>
          </rPr>
          <t xml:space="preserve"> 23-2019 24-338 25-268 26-245</t>
        </r>
      </text>
    </comment>
    <comment ref="A456" authorId="0" shapeId="0" xr:uid="{72456800-AEA2-450D-A227-0B4C4FADE7AC}">
      <text>
        <r>
          <rPr>
            <sz val="9"/>
            <color indexed="81"/>
            <rFont val="MS P ゴシック"/>
            <family val="3"/>
            <charset val="128"/>
          </rPr>
          <t xml:space="preserve"> 23-2024 24-340 25-269 26-246</t>
        </r>
      </text>
    </comment>
    <comment ref="A458" authorId="0" shapeId="0" xr:uid="{B74B9A4C-A3F5-4EA6-9E7B-DDE8A77B1223}">
      <text>
        <r>
          <rPr>
            <sz val="9"/>
            <color indexed="81"/>
            <rFont val="MS P ゴシック"/>
            <family val="3"/>
            <charset val="128"/>
          </rPr>
          <t xml:space="preserve"> 23-2079 24-342 25-270 26-247</t>
        </r>
      </text>
    </comment>
    <comment ref="A460" authorId="0" shapeId="0" xr:uid="{8E5B3BA6-A671-4133-81B4-A62C32425BBA}">
      <text>
        <r>
          <rPr>
            <sz val="9"/>
            <color indexed="81"/>
            <rFont val="MS P ゴシック"/>
            <family val="3"/>
            <charset val="128"/>
          </rPr>
          <t xml:space="preserve"> 23-2325 24-347 25-271 26-248</t>
        </r>
      </text>
    </comment>
    <comment ref="A462" authorId="0" shapeId="0" xr:uid="{177601F9-183C-4386-A20B-4BD815D01D8C}">
      <text>
        <r>
          <rPr>
            <sz val="9"/>
            <color indexed="81"/>
            <rFont val="MS P ゴシック"/>
            <family val="3"/>
            <charset val="128"/>
          </rPr>
          <t xml:space="preserve"> 23-2367 24-348 25-272 26-249</t>
        </r>
      </text>
    </comment>
    <comment ref="A464" authorId="0" shapeId="0" xr:uid="{547F54C9-DDA4-4923-A1F4-8A6629F9B550}">
      <text>
        <r>
          <rPr>
            <sz val="9"/>
            <color indexed="81"/>
            <rFont val="MS P ゴシック"/>
            <family val="3"/>
            <charset val="128"/>
          </rPr>
          <t xml:space="preserve"> 23-2410 24-350 25-273 26-250</t>
        </r>
      </text>
    </comment>
    <comment ref="A466" authorId="0" shapeId="0" xr:uid="{E663811F-D928-438F-89B8-5FFE905B041D}">
      <text>
        <r>
          <rPr>
            <sz val="9"/>
            <color indexed="81"/>
            <rFont val="MS P ゴシック"/>
            <family val="3"/>
            <charset val="128"/>
          </rPr>
          <t xml:space="preserve"> 23-2446 24-351 25-274 26-251</t>
        </r>
      </text>
    </comment>
    <comment ref="A468" authorId="0" shapeId="0" xr:uid="{BF236255-6B19-42AD-A4C7-D7C9BE36450B}">
      <text>
        <r>
          <rPr>
            <sz val="9"/>
            <color indexed="81"/>
            <rFont val="MS P ゴシック"/>
            <family val="3"/>
            <charset val="128"/>
          </rPr>
          <t xml:space="preserve"> 23-2491 24-353 25-275 26-252</t>
        </r>
      </text>
    </comment>
    <comment ref="A470" authorId="0" shapeId="0" xr:uid="{733B5D3D-3FB7-411A-BEF4-DA02FA728A46}">
      <text>
        <r>
          <rPr>
            <sz val="9"/>
            <color indexed="81"/>
            <rFont val="MS P ゴシック"/>
            <family val="3"/>
            <charset val="128"/>
          </rPr>
          <t xml:space="preserve"> 23-2524 24-354 25-276 26-253</t>
        </r>
      </text>
    </comment>
    <comment ref="A472" authorId="0" shapeId="0" xr:uid="{1137B4A2-BFAB-461B-A307-312F2BCDCF29}">
      <text>
        <r>
          <rPr>
            <sz val="9"/>
            <color indexed="81"/>
            <rFont val="MS P ゴシック"/>
            <family val="3"/>
            <charset val="128"/>
          </rPr>
          <t xml:space="preserve"> 23-2655 24-360 25-277 26-254</t>
        </r>
      </text>
    </comment>
    <comment ref="A474" authorId="0" shapeId="0" xr:uid="{ACCB0BB4-B208-4DDD-8AC5-F0D06A83536F}">
      <text>
        <r>
          <rPr>
            <sz val="9"/>
            <color indexed="81"/>
            <rFont val="MS P ゴシック"/>
            <family val="3"/>
            <charset val="128"/>
          </rPr>
          <t xml:space="preserve"> 23-2681 24-361 25-278 26-255</t>
        </r>
      </text>
    </comment>
    <comment ref="A476" authorId="0" shapeId="0" xr:uid="{D6359706-8340-4070-BF18-2469417ECCB8}">
      <text>
        <r>
          <rPr>
            <sz val="9"/>
            <color indexed="81"/>
            <rFont val="MS P ゴシック"/>
            <family val="3"/>
            <charset val="128"/>
          </rPr>
          <t xml:space="preserve"> 23-2765 24-363 25-279 26-256</t>
        </r>
      </text>
    </comment>
    <comment ref="A478" authorId="0" shapeId="0" xr:uid="{12FDE580-34F7-4425-8885-C5E09B871665}">
      <text>
        <r>
          <rPr>
            <sz val="9"/>
            <color indexed="81"/>
            <rFont val="MS P ゴシック"/>
            <family val="3"/>
            <charset val="128"/>
          </rPr>
          <t xml:space="preserve"> 23-2812 24-364 25-280 26-257</t>
        </r>
      </text>
    </comment>
    <comment ref="A480" authorId="0" shapeId="0" xr:uid="{DA377933-75F0-4AD7-AD40-851A2E4A3251}">
      <text>
        <r>
          <rPr>
            <sz val="9"/>
            <color indexed="81"/>
            <rFont val="MS P ゴシック"/>
            <family val="3"/>
            <charset val="128"/>
          </rPr>
          <t xml:space="preserve"> 23-2855 24-367 25-281 26-258</t>
        </r>
      </text>
    </comment>
    <comment ref="A482" authorId="0" shapeId="0" xr:uid="{9D6F361F-5518-40F4-8877-432A7CAC5B76}">
      <text>
        <r>
          <rPr>
            <sz val="9"/>
            <color indexed="81"/>
            <rFont val="MS P ゴシック"/>
            <family val="3"/>
            <charset val="128"/>
          </rPr>
          <t xml:space="preserve"> 23-2885 24-370 25-282 26-259</t>
        </r>
      </text>
    </comment>
    <comment ref="A484" authorId="0" shapeId="0" xr:uid="{14435767-DB6F-4C7F-AA70-8FF21C635E0E}">
      <text>
        <r>
          <rPr>
            <sz val="9"/>
            <color indexed="81"/>
            <rFont val="MS P ゴシック"/>
            <family val="3"/>
            <charset val="128"/>
          </rPr>
          <t xml:space="preserve"> 23-2984 24-377 25-285 26-260</t>
        </r>
      </text>
    </comment>
    <comment ref="A486" authorId="0" shapeId="0" xr:uid="{125422F9-D868-4203-BF58-8A626866C17B}">
      <text>
        <r>
          <rPr>
            <sz val="9"/>
            <color indexed="81"/>
            <rFont val="MS P ゴシック"/>
            <family val="3"/>
            <charset val="128"/>
          </rPr>
          <t xml:space="preserve"> 23-3040 24-379 25-287 26-262</t>
        </r>
      </text>
    </comment>
    <comment ref="A488" authorId="0" shapeId="0" xr:uid="{B6158F72-4CD5-49DA-B162-7996E1882A0F}">
      <text>
        <r>
          <rPr>
            <sz val="9"/>
            <color indexed="81"/>
            <rFont val="MS P ゴシック"/>
            <family val="3"/>
            <charset val="128"/>
          </rPr>
          <t xml:space="preserve"> 23-3095 24-380 25-288 26-263</t>
        </r>
      </text>
    </comment>
    <comment ref="A490" authorId="0" shapeId="0" xr:uid="{476D7E72-91A0-4520-BE90-9186FD52B8A5}">
      <text>
        <r>
          <rPr>
            <sz val="9"/>
            <color indexed="81"/>
            <rFont val="MS P ゴシック"/>
            <family val="3"/>
            <charset val="128"/>
          </rPr>
          <t xml:space="preserve"> 23-3096 24-381 25-289 26-264</t>
        </r>
      </text>
    </comment>
    <comment ref="A492" authorId="0" shapeId="0" xr:uid="{92A45CDB-A665-4E16-8C11-A6D3745D7F6C}">
      <text>
        <r>
          <rPr>
            <sz val="9"/>
            <color indexed="81"/>
            <rFont val="MS P ゴシック"/>
            <family val="3"/>
            <charset val="128"/>
          </rPr>
          <t xml:space="preserve"> 23-3150 24-384 25-291 26-265</t>
        </r>
      </text>
    </comment>
    <comment ref="A494" authorId="0" shapeId="0" xr:uid="{0FC7ABF9-968C-4416-B7E4-B45C989A4FD6}">
      <text>
        <r>
          <rPr>
            <sz val="9"/>
            <color indexed="81"/>
            <rFont val="MS P ゴシック"/>
            <family val="3"/>
            <charset val="128"/>
          </rPr>
          <t xml:space="preserve"> 23-3355 24-389 25-293 26-267</t>
        </r>
      </text>
    </comment>
    <comment ref="A496" authorId="0" shapeId="0" xr:uid="{2904E125-2C2D-402B-830A-D98FBBEC6804}">
      <text>
        <r>
          <rPr>
            <sz val="9"/>
            <color indexed="81"/>
            <rFont val="MS P ゴシック"/>
            <family val="3"/>
            <charset val="128"/>
          </rPr>
          <t xml:space="preserve"> 23-3463 24-394 25-294 26-268</t>
        </r>
      </text>
    </comment>
    <comment ref="A498" authorId="0" shapeId="0" xr:uid="{52939CFE-920F-4559-A6CD-8850C1A7F22A}">
      <text>
        <r>
          <rPr>
            <sz val="9"/>
            <color indexed="81"/>
            <rFont val="MS P ゴシック"/>
            <family val="3"/>
            <charset val="128"/>
          </rPr>
          <t xml:space="preserve"> 23-3601 24-400 25-295 26-269</t>
        </r>
      </text>
    </comment>
    <comment ref="A500" authorId="0" shapeId="0" xr:uid="{FCBB4BCC-11A6-4C80-A475-A9502F93FA2C}">
      <text>
        <r>
          <rPr>
            <sz val="9"/>
            <color indexed="81"/>
            <rFont val="MS P ゴシック"/>
            <family val="3"/>
            <charset val="128"/>
          </rPr>
          <t xml:space="preserve"> 23-3654 24-405 25-297 26-270</t>
        </r>
      </text>
    </comment>
    <comment ref="A502" authorId="0" shapeId="0" xr:uid="{BA09DB2D-19DC-463B-8369-781602308A8F}">
      <text>
        <r>
          <rPr>
            <sz val="9"/>
            <color indexed="81"/>
            <rFont val="MS P ゴシック"/>
            <family val="3"/>
            <charset val="128"/>
          </rPr>
          <t xml:space="preserve"> 23-3670 24-407 25-299 26-272</t>
        </r>
      </text>
    </comment>
    <comment ref="A504" authorId="0" shapeId="0" xr:uid="{FD4FBB8D-542F-4507-896B-C04000C0FF66}">
      <text>
        <r>
          <rPr>
            <sz val="9"/>
            <color indexed="81"/>
            <rFont val="MS P ゴシック"/>
            <family val="3"/>
            <charset val="128"/>
          </rPr>
          <t xml:space="preserve"> 23-3883 24-447 25-306 26-273</t>
        </r>
      </text>
    </comment>
    <comment ref="A506" authorId="0" shapeId="0" xr:uid="{A1E832E7-4B16-41D4-8583-02CEAEF53425}">
      <text>
        <r>
          <rPr>
            <sz val="9"/>
            <color indexed="81"/>
            <rFont val="MS P ゴシック"/>
            <family val="3"/>
            <charset val="128"/>
          </rPr>
          <t xml:space="preserve"> 23-3895 24-452 25-308 26-274</t>
        </r>
      </text>
    </comment>
    <comment ref="A508" authorId="0" shapeId="0" xr:uid="{EE80D218-D90E-49E5-A72F-86A64C9B4858}">
      <text>
        <r>
          <rPr>
            <sz val="9"/>
            <color indexed="81"/>
            <rFont val="MS P ゴシック"/>
            <family val="3"/>
            <charset val="128"/>
          </rPr>
          <t xml:space="preserve"> 23-3974 24-472 25-310 26-275</t>
        </r>
      </text>
    </comment>
    <comment ref="A510" authorId="0" shapeId="0" xr:uid="{8E015B49-89F3-4917-890B-CF3D8FBAC257}">
      <text>
        <r>
          <rPr>
            <sz val="9"/>
            <color indexed="81"/>
            <rFont val="MS P ゴシック"/>
            <family val="3"/>
            <charset val="128"/>
          </rPr>
          <t xml:space="preserve"> 23-4042 24-494 25-312 26-277</t>
        </r>
      </text>
    </comment>
    <comment ref="A512" authorId="0" shapeId="0" xr:uid="{6FB898C3-FEB2-4F24-A568-6E5904965ECF}">
      <text>
        <r>
          <rPr>
            <sz val="9"/>
            <color indexed="81"/>
            <rFont val="MS P ゴシック"/>
            <family val="3"/>
            <charset val="128"/>
          </rPr>
          <t xml:space="preserve"> 23-4107 24-525 25-317 26-281</t>
        </r>
      </text>
    </comment>
    <comment ref="A514" authorId="0" shapeId="0" xr:uid="{480A32AE-9D1B-4679-90C6-22864B333D69}">
      <text>
        <r>
          <rPr>
            <sz val="9"/>
            <color indexed="81"/>
            <rFont val="MS P ゴシック"/>
            <family val="3"/>
            <charset val="128"/>
          </rPr>
          <t xml:space="preserve"> 23-4130 24-541 25-319 26-282</t>
        </r>
      </text>
    </comment>
    <comment ref="A516" authorId="0" shapeId="0" xr:uid="{0A055A87-057B-4985-BA8C-27464F7DE4E7}">
      <text>
        <r>
          <rPr>
            <sz val="9"/>
            <color indexed="81"/>
            <rFont val="MS P ゴシック"/>
            <family val="3"/>
            <charset val="128"/>
          </rPr>
          <t xml:space="preserve"> 23-4158 24-557 25-321 26-283</t>
        </r>
      </text>
    </comment>
    <comment ref="A518" authorId="0" shapeId="0" xr:uid="{33E1534D-3787-4253-91A5-F13F464522CE}">
      <text>
        <r>
          <rPr>
            <sz val="9"/>
            <color indexed="81"/>
            <rFont val="MS P ゴシック"/>
            <family val="3"/>
            <charset val="128"/>
          </rPr>
          <t xml:space="preserve"> 23-4203 24-593 25-325 26-284</t>
        </r>
      </text>
    </comment>
    <comment ref="A520" authorId="0" shapeId="0" xr:uid="{E33C72BD-EF0B-4994-8226-3AF9F7F34795}">
      <text>
        <r>
          <rPr>
            <sz val="9"/>
            <color indexed="81"/>
            <rFont val="MS P ゴシック"/>
            <family val="3"/>
            <charset val="128"/>
          </rPr>
          <t xml:space="preserve"> 23-4229 24-616 25-326 26-285</t>
        </r>
      </text>
    </comment>
    <comment ref="A522" authorId="0" shapeId="0" xr:uid="{A4A51907-BB58-4A9A-AD37-76063ACA4C6B}">
      <text>
        <r>
          <rPr>
            <sz val="9"/>
            <color indexed="81"/>
            <rFont val="MS P ゴシック"/>
            <family val="3"/>
            <charset val="128"/>
          </rPr>
          <t xml:space="preserve"> 23-4301 24-684 25-332 26-286</t>
        </r>
      </text>
    </comment>
    <comment ref="A524" authorId="0" shapeId="0" xr:uid="{B3029022-59CB-49D4-B8F9-9240432601F4}">
      <text>
        <r>
          <rPr>
            <sz val="9"/>
            <color indexed="81"/>
            <rFont val="MS P ゴシック"/>
            <family val="3"/>
            <charset val="128"/>
          </rPr>
          <t xml:space="preserve"> 23-4327 24-710 25-333 26-287</t>
        </r>
      </text>
    </comment>
    <comment ref="A526" authorId="0" shapeId="0" xr:uid="{00437E1C-8766-4B2B-9CF3-C53F608C37D1}">
      <text>
        <r>
          <rPr>
            <sz val="9"/>
            <color indexed="81"/>
            <rFont val="MS P ゴシック"/>
            <family val="3"/>
            <charset val="128"/>
          </rPr>
          <t xml:space="preserve"> 24-802 25-336 26-288</t>
        </r>
      </text>
    </comment>
    <comment ref="A528" authorId="0" shapeId="0" xr:uid="{DF0E23EC-E4D1-442D-9CB0-FFCF6AAEF7BD}">
      <text>
        <r>
          <rPr>
            <sz val="9"/>
            <color indexed="81"/>
            <rFont val="MS P ゴシック"/>
            <family val="3"/>
            <charset val="128"/>
          </rPr>
          <t xml:space="preserve"> 24-866 25-338 26-290</t>
        </r>
      </text>
    </comment>
    <comment ref="A530" authorId="0" shapeId="0" xr:uid="{48AB0C85-D397-4EE5-A5D6-9030DABDEA58}">
      <text>
        <r>
          <rPr>
            <sz val="9"/>
            <color indexed="81"/>
            <rFont val="MS P ゴシック"/>
            <family val="3"/>
            <charset val="128"/>
          </rPr>
          <t xml:space="preserve"> 24-868 25-339 26-291</t>
        </r>
      </text>
    </comment>
    <comment ref="A532" authorId="0" shapeId="0" xr:uid="{4E23DE4F-5BE2-4DD1-9BA7-DEE0A81558BF}">
      <text>
        <r>
          <rPr>
            <sz val="9"/>
            <color indexed="81"/>
            <rFont val="MS P ゴシック"/>
            <family val="3"/>
            <charset val="128"/>
          </rPr>
          <t xml:space="preserve"> 24-1027 25-341 26-292</t>
        </r>
      </text>
    </comment>
    <comment ref="A534" authorId="0" shapeId="0" xr:uid="{EAE305C3-00C5-4083-B973-980F1D8D4204}">
      <text>
        <r>
          <rPr>
            <sz val="9"/>
            <color indexed="81"/>
            <rFont val="MS P ゴシック"/>
            <family val="3"/>
            <charset val="128"/>
          </rPr>
          <t xml:space="preserve"> 24-1102 25-345 26-293</t>
        </r>
      </text>
    </comment>
    <comment ref="A536" authorId="0" shapeId="0" xr:uid="{AF0D2313-64F9-42F4-B6BC-7D5B2BE6E9F5}">
      <text>
        <r>
          <rPr>
            <sz val="9"/>
            <color indexed="81"/>
            <rFont val="MS P ゴシック"/>
            <family val="3"/>
            <charset val="128"/>
          </rPr>
          <t xml:space="preserve"> 24-1141 25-347 26-295</t>
        </r>
      </text>
    </comment>
    <comment ref="A538" authorId="0" shapeId="0" xr:uid="{0A5EF00C-788C-4F70-A1F0-3B005C50D4DB}">
      <text>
        <r>
          <rPr>
            <sz val="9"/>
            <color indexed="81"/>
            <rFont val="MS P ゴシック"/>
            <family val="3"/>
            <charset val="128"/>
          </rPr>
          <t xml:space="preserve"> 24-1174 25-348 26-296</t>
        </r>
      </text>
    </comment>
    <comment ref="A540" authorId="0" shapeId="0" xr:uid="{E4F93501-09D4-4923-B0A3-531DA2562DAE}">
      <text>
        <r>
          <rPr>
            <sz val="9"/>
            <color indexed="81"/>
            <rFont val="MS P ゴシック"/>
            <family val="3"/>
            <charset val="128"/>
          </rPr>
          <t xml:space="preserve"> 24-1209 25-349 26-297</t>
        </r>
      </text>
    </comment>
    <comment ref="A542" authorId="0" shapeId="0" xr:uid="{B53EF2AA-E073-49DB-ABE3-509AE5FA4138}">
      <text>
        <r>
          <rPr>
            <sz val="9"/>
            <color indexed="81"/>
            <rFont val="MS P ゴシック"/>
            <family val="3"/>
            <charset val="128"/>
          </rPr>
          <t xml:space="preserve"> 24-1225 25-350 26-298</t>
        </r>
      </text>
    </comment>
    <comment ref="A544" authorId="0" shapeId="0" xr:uid="{45F43D21-CD2D-49D8-B988-55FB575F606D}">
      <text>
        <r>
          <rPr>
            <sz val="9"/>
            <color indexed="81"/>
            <rFont val="MS P ゴシック"/>
            <family val="3"/>
            <charset val="128"/>
          </rPr>
          <t xml:space="preserve"> 24-1234 25-351 26-299</t>
        </r>
      </text>
    </comment>
    <comment ref="A546" authorId="0" shapeId="0" xr:uid="{650D207D-1437-4042-A50D-E0F36BD41E17}">
      <text>
        <r>
          <rPr>
            <sz val="9"/>
            <color indexed="81"/>
            <rFont val="MS P ゴシック"/>
            <family val="3"/>
            <charset val="128"/>
          </rPr>
          <t xml:space="preserve"> 24-1275 25-355 26-300</t>
        </r>
      </text>
    </comment>
    <comment ref="A548" authorId="0" shapeId="0" xr:uid="{06156420-71EE-42F5-9F84-1CF16A362ECD}">
      <text>
        <r>
          <rPr>
            <sz val="9"/>
            <color indexed="81"/>
            <rFont val="MS P ゴシック"/>
            <family val="3"/>
            <charset val="128"/>
          </rPr>
          <t xml:space="preserve"> 24-1295 25-357 26-301</t>
        </r>
      </text>
    </comment>
    <comment ref="A550" authorId="0" shapeId="0" xr:uid="{644D275A-B960-46BB-8B82-36967DF96A48}">
      <text>
        <r>
          <rPr>
            <sz val="9"/>
            <color indexed="81"/>
            <rFont val="MS P ゴシック"/>
            <family val="3"/>
            <charset val="128"/>
          </rPr>
          <t xml:space="preserve"> 24-1299 25-359 26-303</t>
        </r>
      </text>
    </comment>
    <comment ref="A552" authorId="0" shapeId="0" xr:uid="{C14EAA66-838C-43B1-A097-8B784ED6B156}">
      <text>
        <r>
          <rPr>
            <sz val="9"/>
            <color indexed="81"/>
            <rFont val="MS P ゴシック"/>
            <family val="3"/>
            <charset val="128"/>
          </rPr>
          <t xml:space="preserve"> 24-1320 25-360 26-304</t>
        </r>
      </text>
    </comment>
    <comment ref="A554" authorId="0" shapeId="0" xr:uid="{E654D9CA-1354-424D-AD6D-8321EAEF328E}">
      <text>
        <r>
          <rPr>
            <sz val="9"/>
            <color indexed="81"/>
            <rFont val="MS P ゴシック"/>
            <family val="3"/>
            <charset val="128"/>
          </rPr>
          <t xml:space="preserve"> 24-1329 25-361 26-305</t>
        </r>
      </text>
    </comment>
    <comment ref="A556" authorId="0" shapeId="0" xr:uid="{0D5A3D55-7A76-4D42-9AD5-3B782EDA82E9}">
      <text>
        <r>
          <rPr>
            <sz val="9"/>
            <color indexed="81"/>
            <rFont val="MS P ゴシック"/>
            <family val="3"/>
            <charset val="128"/>
          </rPr>
          <t xml:space="preserve"> 24-1446 25-363 26-306</t>
        </r>
      </text>
    </comment>
    <comment ref="A558" authorId="0" shapeId="0" xr:uid="{85332558-D7A6-4756-AC48-80A62EE186CE}">
      <text>
        <r>
          <rPr>
            <sz val="9"/>
            <color indexed="81"/>
            <rFont val="MS P ゴシック"/>
            <family val="3"/>
            <charset val="128"/>
          </rPr>
          <t xml:space="preserve"> 24-1477 25-367 26-307</t>
        </r>
      </text>
    </comment>
    <comment ref="A560" authorId="0" shapeId="0" xr:uid="{995ACA7F-60A7-486D-AD57-F061CE5D9B81}">
      <text>
        <r>
          <rPr>
            <sz val="9"/>
            <color indexed="81"/>
            <rFont val="MS P ゴシック"/>
            <family val="3"/>
            <charset val="128"/>
          </rPr>
          <t xml:space="preserve"> 24-1501 25-368 26-308</t>
        </r>
      </text>
    </comment>
    <comment ref="A562" authorId="0" shapeId="0" xr:uid="{20B02B48-6504-4BEA-9147-F4B199B24AED}">
      <text>
        <r>
          <rPr>
            <sz val="9"/>
            <color indexed="81"/>
            <rFont val="MS P ゴシック"/>
            <family val="3"/>
            <charset val="128"/>
          </rPr>
          <t xml:space="preserve"> 24-1504 25-369 26-309</t>
        </r>
      </text>
    </comment>
    <comment ref="A564" authorId="0" shapeId="0" xr:uid="{896D1822-2F5F-46B4-8C14-43B4CFAE2EC8}">
      <text>
        <r>
          <rPr>
            <sz val="9"/>
            <color indexed="81"/>
            <rFont val="MS P ゴシック"/>
            <family val="3"/>
            <charset val="128"/>
          </rPr>
          <t xml:space="preserve"> 24-1553 25-370 26-310</t>
        </r>
      </text>
    </comment>
    <comment ref="A566" authorId="0" shapeId="0" xr:uid="{00CDC446-4A75-48D5-B085-FE0A1FB41310}">
      <text>
        <r>
          <rPr>
            <sz val="9"/>
            <color indexed="81"/>
            <rFont val="MS P ゴシック"/>
            <family val="3"/>
            <charset val="128"/>
          </rPr>
          <t xml:space="preserve"> 24-1668 25-375 26-311</t>
        </r>
      </text>
    </comment>
    <comment ref="A568" authorId="0" shapeId="0" xr:uid="{131F3F68-B71C-48A4-BBE7-2E88F4A1B836}">
      <text>
        <r>
          <rPr>
            <sz val="9"/>
            <color indexed="81"/>
            <rFont val="MS P ゴシック"/>
            <family val="3"/>
            <charset val="128"/>
          </rPr>
          <t xml:space="preserve"> 24-1729 25-376 26-312</t>
        </r>
      </text>
    </comment>
    <comment ref="A570" authorId="0" shapeId="0" xr:uid="{989444B3-F1C0-40C1-8E8F-C8C36E5085DA}">
      <text>
        <r>
          <rPr>
            <sz val="9"/>
            <color indexed="81"/>
            <rFont val="MS P ゴシック"/>
            <family val="3"/>
            <charset val="128"/>
          </rPr>
          <t xml:space="preserve"> 24-1751 25-377 26-313</t>
        </r>
      </text>
    </comment>
    <comment ref="A572" authorId="0" shapeId="0" xr:uid="{15194530-2B1B-424D-A450-47927D9D5278}">
      <text>
        <r>
          <rPr>
            <sz val="9"/>
            <color indexed="81"/>
            <rFont val="MS P ゴシック"/>
            <family val="3"/>
            <charset val="128"/>
          </rPr>
          <t xml:space="preserve"> 24-1752 25-378 26-314</t>
        </r>
      </text>
    </comment>
    <comment ref="A574" authorId="0" shapeId="0" xr:uid="{F256E8C5-F30C-4B33-B2EA-404228491E67}">
      <text>
        <r>
          <rPr>
            <sz val="9"/>
            <color indexed="81"/>
            <rFont val="MS P ゴシック"/>
            <family val="3"/>
            <charset val="128"/>
          </rPr>
          <t xml:space="preserve"> 24-1905 25-381 26-315</t>
        </r>
      </text>
    </comment>
    <comment ref="A576" authorId="0" shapeId="0" xr:uid="{74B5541E-4391-4410-A78A-BA3B6E804576}">
      <text>
        <r>
          <rPr>
            <sz val="9"/>
            <color indexed="81"/>
            <rFont val="MS P ゴシック"/>
            <family val="3"/>
            <charset val="128"/>
          </rPr>
          <t xml:space="preserve"> 24-2023 25-386 26-317</t>
        </r>
      </text>
    </comment>
    <comment ref="A578" authorId="0" shapeId="0" xr:uid="{EC1500D5-2364-4CA8-B0D0-CD160D0D5581}">
      <text>
        <r>
          <rPr>
            <sz val="9"/>
            <color indexed="81"/>
            <rFont val="MS P ゴシック"/>
            <family val="3"/>
            <charset val="128"/>
          </rPr>
          <t xml:space="preserve"> 24-2057 25-388 26-319</t>
        </r>
      </text>
    </comment>
    <comment ref="A580" authorId="0" shapeId="0" xr:uid="{742FD717-BAAE-46EC-A7E8-4E3AB64BB1DC}">
      <text>
        <r>
          <rPr>
            <sz val="9"/>
            <color indexed="81"/>
            <rFont val="MS P ゴシック"/>
            <family val="3"/>
            <charset val="128"/>
          </rPr>
          <t xml:space="preserve"> 24-2189 25-393 26-320</t>
        </r>
      </text>
    </comment>
    <comment ref="A582" authorId="0" shapeId="0" xr:uid="{5D0475C5-9E32-487B-8ED2-5B70F06AE254}">
      <text>
        <r>
          <rPr>
            <sz val="9"/>
            <color indexed="81"/>
            <rFont val="MS P ゴシック"/>
            <family val="3"/>
            <charset val="128"/>
          </rPr>
          <t xml:space="preserve"> 24-2211 25-395 26-322</t>
        </r>
      </text>
    </comment>
    <comment ref="A584" authorId="0" shapeId="0" xr:uid="{8144960B-41AD-4E1F-A534-C550D58E79BF}">
      <text>
        <r>
          <rPr>
            <sz val="9"/>
            <color indexed="81"/>
            <rFont val="MS P ゴシック"/>
            <family val="3"/>
            <charset val="128"/>
          </rPr>
          <t xml:space="preserve"> 24-2243 25-396 26-323</t>
        </r>
      </text>
    </comment>
    <comment ref="A586" authorId="0" shapeId="0" xr:uid="{AF4C284C-C17F-47C3-BEFB-CEA8FC9F3D6B}">
      <text>
        <r>
          <rPr>
            <sz val="9"/>
            <color indexed="81"/>
            <rFont val="MS P ゴシック"/>
            <family val="3"/>
            <charset val="128"/>
          </rPr>
          <t xml:space="preserve"> 24-2285 25-398 26-325</t>
        </r>
      </text>
    </comment>
    <comment ref="A588" authorId="0" shapeId="0" xr:uid="{0257E274-B0BD-4DDC-A0AF-58CCFB2D082F}">
      <text>
        <r>
          <rPr>
            <sz val="9"/>
            <color indexed="81"/>
            <rFont val="MS P ゴシック"/>
            <family val="3"/>
            <charset val="128"/>
          </rPr>
          <t xml:space="preserve"> 24-2286 25-399 26-326</t>
        </r>
      </text>
    </comment>
    <comment ref="A590" authorId="0" shapeId="0" xr:uid="{6908E56F-2DFF-4F40-87F6-8A78EC64D115}">
      <text>
        <r>
          <rPr>
            <sz val="9"/>
            <color indexed="81"/>
            <rFont val="MS P ゴシック"/>
            <family val="3"/>
            <charset val="128"/>
          </rPr>
          <t xml:space="preserve"> 24-2445 25-401 26-328</t>
        </r>
      </text>
    </comment>
    <comment ref="A592" authorId="0" shapeId="0" xr:uid="{822E53EB-7398-49AA-95C3-E7D5FD1D2A49}">
      <text>
        <r>
          <rPr>
            <sz val="9"/>
            <color indexed="81"/>
            <rFont val="MS P ゴシック"/>
            <family val="3"/>
            <charset val="128"/>
          </rPr>
          <t xml:space="preserve"> 24-2549 25-404 26-330</t>
        </r>
      </text>
    </comment>
    <comment ref="A594" authorId="0" shapeId="0" xr:uid="{8F213DD0-BBB2-4B87-ADE4-0AB071105CB0}">
      <text>
        <r>
          <rPr>
            <sz val="9"/>
            <color indexed="81"/>
            <rFont val="MS P ゴシック"/>
            <family val="3"/>
            <charset val="128"/>
          </rPr>
          <t xml:space="preserve"> 24-2839 25-406 26-331</t>
        </r>
      </text>
    </comment>
    <comment ref="A596" authorId="0" shapeId="0" xr:uid="{4285001F-08D9-400C-92A1-C341C9150346}">
      <text>
        <r>
          <rPr>
            <sz val="9"/>
            <color indexed="81"/>
            <rFont val="MS P ゴシック"/>
            <family val="3"/>
            <charset val="128"/>
          </rPr>
          <t xml:space="preserve"> 24-3179 25-416 26-335</t>
        </r>
      </text>
    </comment>
    <comment ref="A598" authorId="0" shapeId="0" xr:uid="{DCD6B905-7FEF-4071-B98A-0EDA8C3270DA}">
      <text>
        <r>
          <rPr>
            <sz val="9"/>
            <color indexed="81"/>
            <rFont val="MS P ゴシック"/>
            <family val="3"/>
            <charset val="128"/>
          </rPr>
          <t xml:space="preserve"> 24-3180 25-417 26-336</t>
        </r>
      </text>
    </comment>
    <comment ref="A600" authorId="0" shapeId="0" xr:uid="{BE1B19FF-9FBC-4BC9-BFE3-AC1FCDB4879A}">
      <text>
        <r>
          <rPr>
            <sz val="9"/>
            <color indexed="81"/>
            <rFont val="MS P ゴシック"/>
            <family val="3"/>
            <charset val="128"/>
          </rPr>
          <t xml:space="preserve"> 24-3283 25-422 26-338</t>
        </r>
      </text>
    </comment>
    <comment ref="A602" authorId="0" shapeId="0" xr:uid="{8C139B5E-7839-460E-8FF0-BE6F8BD6A02C}">
      <text>
        <r>
          <rPr>
            <sz val="9"/>
            <color indexed="81"/>
            <rFont val="MS P ゴシック"/>
            <family val="3"/>
            <charset val="128"/>
          </rPr>
          <t xml:space="preserve"> 24-3284 25-423 26-339</t>
        </r>
      </text>
    </comment>
    <comment ref="A604" authorId="0" shapeId="0" xr:uid="{65C1D018-226D-4520-A0E2-17D7D4C208E4}">
      <text>
        <r>
          <rPr>
            <sz val="9"/>
            <color indexed="81"/>
            <rFont val="MS P ゴシック"/>
            <family val="3"/>
            <charset val="128"/>
          </rPr>
          <t xml:space="preserve"> 24-3618 25-430 26-340</t>
        </r>
      </text>
    </comment>
    <comment ref="A606" authorId="0" shapeId="0" xr:uid="{2352C4A4-79EE-4387-BD80-E0F52E0A0A04}">
      <text>
        <r>
          <rPr>
            <sz val="9"/>
            <color indexed="81"/>
            <rFont val="MS P ゴシック"/>
            <family val="3"/>
            <charset val="128"/>
          </rPr>
          <t xml:space="preserve"> 24-3666 25-434 26-341</t>
        </r>
      </text>
    </comment>
    <comment ref="A608" authorId="0" shapeId="0" xr:uid="{2EF2C9E9-CF43-4393-A0F7-F2F0E65F5A8C}">
      <text>
        <r>
          <rPr>
            <sz val="9"/>
            <color indexed="81"/>
            <rFont val="MS P ゴシック"/>
            <family val="3"/>
            <charset val="128"/>
          </rPr>
          <t xml:space="preserve"> 24-3673 25-435 26-342</t>
        </r>
      </text>
    </comment>
    <comment ref="A610" authorId="0" shapeId="0" xr:uid="{5A069DFE-FBDE-4F64-948B-03B291192BCB}">
      <text>
        <r>
          <rPr>
            <sz val="9"/>
            <color indexed="81"/>
            <rFont val="MS P ゴシック"/>
            <family val="3"/>
            <charset val="128"/>
          </rPr>
          <t xml:space="preserve"> 24-3683 25-436 26-343</t>
        </r>
      </text>
    </comment>
    <comment ref="A612" authorId="0" shapeId="0" xr:uid="{ADC83806-B8E8-4DDF-AAA9-45728CAEC418}">
      <text>
        <r>
          <rPr>
            <sz val="9"/>
            <color indexed="81"/>
            <rFont val="MS P ゴシック"/>
            <family val="3"/>
            <charset val="128"/>
          </rPr>
          <t xml:space="preserve"> 24-3689 25-438 26-344</t>
        </r>
      </text>
    </comment>
    <comment ref="A614" authorId="0" shapeId="0" xr:uid="{4B9E5E51-FC1F-44B4-B0DE-E28D778A67EB}">
      <text>
        <r>
          <rPr>
            <sz val="9"/>
            <color indexed="81"/>
            <rFont val="MS P ゴシック"/>
            <family val="3"/>
            <charset val="128"/>
          </rPr>
          <t xml:space="preserve"> 24-3846 25-445 26-345</t>
        </r>
      </text>
    </comment>
    <comment ref="A616" authorId="0" shapeId="0" xr:uid="{FA1FAF27-70A5-4ED5-933A-482A89FF3EB4}">
      <text>
        <r>
          <rPr>
            <sz val="9"/>
            <color indexed="81"/>
            <rFont val="MS P ゴシック"/>
            <family val="3"/>
            <charset val="128"/>
          </rPr>
          <t xml:space="preserve"> 24-3848 25-446 26-346</t>
        </r>
      </text>
    </comment>
    <comment ref="A618" authorId="0" shapeId="0" xr:uid="{EFB6C15E-3F30-4ABA-A4B7-072ADBA8A1F9}">
      <text>
        <r>
          <rPr>
            <sz val="9"/>
            <color indexed="81"/>
            <rFont val="MS P ゴシック"/>
            <family val="3"/>
            <charset val="128"/>
          </rPr>
          <t xml:space="preserve"> 24-3905 25-451 26-347</t>
        </r>
      </text>
    </comment>
    <comment ref="A620" authorId="0" shapeId="0" xr:uid="{2845B805-F490-468E-8281-89B7740692E4}">
      <text>
        <r>
          <rPr>
            <sz val="9"/>
            <color indexed="81"/>
            <rFont val="MS P ゴシック"/>
            <family val="3"/>
            <charset val="128"/>
          </rPr>
          <t xml:space="preserve"> 24-3939 25-454 26-348</t>
        </r>
      </text>
    </comment>
    <comment ref="A622" authorId="0" shapeId="0" xr:uid="{73AFFF49-63B6-4EDF-BCE6-7B1CD4A57E75}">
      <text>
        <r>
          <rPr>
            <sz val="9"/>
            <color indexed="81"/>
            <rFont val="MS P ゴシック"/>
            <family val="3"/>
            <charset val="128"/>
          </rPr>
          <t xml:space="preserve"> 24-3981 25-457 26-349</t>
        </r>
      </text>
    </comment>
    <comment ref="A624" authorId="0" shapeId="0" xr:uid="{8520977E-6204-4365-AB6A-FD98D72C956C}">
      <text>
        <r>
          <rPr>
            <sz val="9"/>
            <color indexed="81"/>
            <rFont val="MS P ゴシック"/>
            <family val="3"/>
            <charset val="128"/>
          </rPr>
          <t xml:space="preserve"> 24-4026 25-461 26-350</t>
        </r>
      </text>
    </comment>
    <comment ref="A626" authorId="0" shapeId="0" xr:uid="{BD87F3AA-2C91-47A8-883D-2A7AD79BC743}">
      <text>
        <r>
          <rPr>
            <sz val="9"/>
            <color indexed="81"/>
            <rFont val="MS P ゴシック"/>
            <family val="3"/>
            <charset val="128"/>
          </rPr>
          <t xml:space="preserve"> 24-4196 25-474 26-351</t>
        </r>
      </text>
    </comment>
    <comment ref="A628" authorId="0" shapeId="0" xr:uid="{3630E0E0-4A8E-4D3C-9DEB-50F3A3485D91}">
      <text>
        <r>
          <rPr>
            <sz val="9"/>
            <color indexed="81"/>
            <rFont val="MS P ゴシック"/>
            <family val="3"/>
            <charset val="128"/>
          </rPr>
          <t xml:space="preserve"> 24-4205 25-475 26-352</t>
        </r>
      </text>
    </comment>
    <comment ref="A630" authorId="0" shapeId="0" xr:uid="{5E24E4DE-1285-4DE5-A4C6-9B7EF4F9D6D6}">
      <text>
        <r>
          <rPr>
            <sz val="9"/>
            <color indexed="81"/>
            <rFont val="MS P ゴシック"/>
            <family val="3"/>
            <charset val="128"/>
          </rPr>
          <t xml:space="preserve"> 24-4324 25-481 26-353</t>
        </r>
      </text>
    </comment>
    <comment ref="A632" authorId="0" shapeId="0" xr:uid="{A8C3142F-8852-4336-82ED-B1C4C84BE201}">
      <text>
        <r>
          <rPr>
            <sz val="9"/>
            <color indexed="81"/>
            <rFont val="MS P ゴシック"/>
            <family val="3"/>
            <charset val="128"/>
          </rPr>
          <t xml:space="preserve"> 24-4397 25-493 26-354</t>
        </r>
      </text>
    </comment>
    <comment ref="A634" authorId="0" shapeId="0" xr:uid="{17388453-AE54-4A69-AAF1-B2EDE60932DF}">
      <text>
        <r>
          <rPr>
            <sz val="9"/>
            <color indexed="81"/>
            <rFont val="MS P ゴシック"/>
            <family val="3"/>
            <charset val="128"/>
          </rPr>
          <t xml:space="preserve"> 24-4398 25-494 26-355</t>
        </r>
      </text>
    </comment>
    <comment ref="A636" authorId="0" shapeId="0" xr:uid="{89BA7B3C-E12C-47A6-9901-848DA0A89FB8}">
      <text>
        <r>
          <rPr>
            <sz val="9"/>
            <color indexed="81"/>
            <rFont val="MS P ゴシック"/>
            <family val="3"/>
            <charset val="128"/>
          </rPr>
          <t xml:space="preserve"> 24-4440 25-500 26-356</t>
        </r>
      </text>
    </comment>
    <comment ref="A638" authorId="0" shapeId="0" xr:uid="{9259B74D-6D02-454E-A166-47A65D5E4A7F}">
      <text>
        <r>
          <rPr>
            <sz val="9"/>
            <color indexed="81"/>
            <rFont val="MS P ゴシック"/>
            <family val="3"/>
            <charset val="128"/>
          </rPr>
          <t xml:space="preserve"> 24-4589 25-525 26-357</t>
        </r>
      </text>
    </comment>
    <comment ref="A640" authorId="0" shapeId="0" xr:uid="{840601B0-02DA-4218-992E-A300C1CA5016}">
      <text>
        <r>
          <rPr>
            <sz val="9"/>
            <color indexed="81"/>
            <rFont val="MS P ゴシック"/>
            <family val="3"/>
            <charset val="128"/>
          </rPr>
          <t xml:space="preserve"> 24-4637 25-537 26-358</t>
        </r>
      </text>
    </comment>
    <comment ref="A642" authorId="0" shapeId="0" xr:uid="{F72F3994-1BCC-423F-A8A3-BE839A93D01F}">
      <text>
        <r>
          <rPr>
            <sz val="9"/>
            <color indexed="81"/>
            <rFont val="MS P ゴシック"/>
            <family val="3"/>
            <charset val="128"/>
          </rPr>
          <t xml:space="preserve"> 24-4638 25-538 26-359</t>
        </r>
      </text>
    </comment>
    <comment ref="A644" authorId="0" shapeId="0" xr:uid="{F973FA37-3F86-4DAA-BC11-2A178FF2E82A}">
      <text>
        <r>
          <rPr>
            <sz val="9"/>
            <color indexed="81"/>
            <rFont val="MS P ゴシック"/>
            <family val="3"/>
            <charset val="128"/>
          </rPr>
          <t xml:space="preserve"> 24-4707 25-559 26-361</t>
        </r>
      </text>
    </comment>
    <comment ref="A646" authorId="0" shapeId="0" xr:uid="{4C26A102-F409-4429-9E51-13CC077624F6}">
      <text>
        <r>
          <rPr>
            <sz val="9"/>
            <color indexed="81"/>
            <rFont val="MS P ゴシック"/>
            <family val="3"/>
            <charset val="128"/>
          </rPr>
          <t xml:space="preserve"> 24-4771 25-586 26-362</t>
        </r>
      </text>
    </comment>
    <comment ref="A648" authorId="0" shapeId="0" xr:uid="{38A6593B-60C4-4BEA-8249-019E5CD46038}">
      <text>
        <r>
          <rPr>
            <sz val="9"/>
            <color indexed="81"/>
            <rFont val="MS P ゴシック"/>
            <family val="3"/>
            <charset val="128"/>
          </rPr>
          <t xml:space="preserve"> 24-4802 25-598 26-363</t>
        </r>
      </text>
    </comment>
    <comment ref="A650" authorId="0" shapeId="0" xr:uid="{EE33EA51-75FE-4138-A3AE-BD430D0D1097}">
      <text>
        <r>
          <rPr>
            <sz val="9"/>
            <color indexed="81"/>
            <rFont val="MS P ゴシック"/>
            <family val="3"/>
            <charset val="128"/>
          </rPr>
          <t xml:space="preserve"> 24-4993 25-723 26-364</t>
        </r>
      </text>
    </comment>
    <comment ref="A652" authorId="0" shapeId="0" xr:uid="{A9EF41E4-ADCE-41AD-A8CD-7825A948C302}">
      <text>
        <r>
          <rPr>
            <sz val="9"/>
            <color indexed="81"/>
            <rFont val="MS P ゴシック"/>
            <family val="3"/>
            <charset val="128"/>
          </rPr>
          <t xml:space="preserve"> 24-5006 25-736 26-365</t>
        </r>
      </text>
    </comment>
    <comment ref="A654" authorId="0" shapeId="0" xr:uid="{87B15F19-A919-4925-90DC-0747EBA7B5EC}">
      <text>
        <r>
          <rPr>
            <sz val="9"/>
            <color indexed="81"/>
            <rFont val="MS P ゴシック"/>
            <family val="3"/>
            <charset val="128"/>
          </rPr>
          <t xml:space="preserve"> 25-779 26-366</t>
        </r>
      </text>
    </comment>
    <comment ref="A656" authorId="0" shapeId="0" xr:uid="{1FF469A3-FADB-4D10-994D-866A1E793111}">
      <text>
        <r>
          <rPr>
            <sz val="9"/>
            <color indexed="81"/>
            <rFont val="MS P ゴシック"/>
            <family val="3"/>
            <charset val="128"/>
          </rPr>
          <t xml:space="preserve"> 25-1182 26-368</t>
        </r>
      </text>
    </comment>
    <comment ref="A658" authorId="0" shapeId="0" xr:uid="{6E2411E7-EF51-4C82-BCA4-914DA3D8F4DC}">
      <text>
        <r>
          <rPr>
            <sz val="9"/>
            <color indexed="81"/>
            <rFont val="MS P ゴシック"/>
            <family val="3"/>
            <charset val="128"/>
          </rPr>
          <t xml:space="preserve"> 25-1379 26-369</t>
        </r>
      </text>
    </comment>
    <comment ref="A660" authorId="0" shapeId="0" xr:uid="{BA03AEB5-85B6-4531-AD5D-AB53EAC827EA}">
      <text>
        <r>
          <rPr>
            <sz val="9"/>
            <color indexed="81"/>
            <rFont val="MS P ゴシック"/>
            <family val="3"/>
            <charset val="128"/>
          </rPr>
          <t xml:space="preserve"> 25-1600 26-370</t>
        </r>
      </text>
    </comment>
    <comment ref="A662" authorId="0" shapeId="0" xr:uid="{1AE652DD-A744-4982-A5DC-F3D8E1226283}">
      <text>
        <r>
          <rPr>
            <sz val="9"/>
            <color indexed="81"/>
            <rFont val="MS P ゴシック"/>
            <family val="3"/>
            <charset val="128"/>
          </rPr>
          <t xml:space="preserve"> 25-2199 26-372</t>
        </r>
      </text>
    </comment>
    <comment ref="A664" authorId="0" shapeId="0" xr:uid="{C2991126-35A2-41EC-B4B2-D62FDCBE41C4}">
      <text>
        <r>
          <rPr>
            <sz val="9"/>
            <color indexed="81"/>
            <rFont val="MS P ゴシック"/>
            <family val="3"/>
            <charset val="128"/>
          </rPr>
          <t xml:space="preserve"> 25-2214 26-373</t>
        </r>
      </text>
    </comment>
    <comment ref="A666" authorId="0" shapeId="0" xr:uid="{8C33F955-A383-4B5C-81F0-959CBB8D401D}">
      <text>
        <r>
          <rPr>
            <sz val="9"/>
            <color indexed="81"/>
            <rFont val="MS P ゴシック"/>
            <family val="3"/>
            <charset val="128"/>
          </rPr>
          <t xml:space="preserve"> 25-2465 26-376</t>
        </r>
      </text>
    </comment>
    <comment ref="A668" authorId="0" shapeId="0" xr:uid="{52DE0840-1DD2-4D6C-B211-501D13EBF561}">
      <text>
        <r>
          <rPr>
            <sz val="9"/>
            <color indexed="81"/>
            <rFont val="MS P ゴシック"/>
            <family val="3"/>
            <charset val="128"/>
          </rPr>
          <t xml:space="preserve"> 25-2612 26-377</t>
        </r>
      </text>
    </comment>
    <comment ref="A670" authorId="0" shapeId="0" xr:uid="{E331E63B-53E4-46C0-A84B-7B3CDA63A818}">
      <text>
        <r>
          <rPr>
            <sz val="9"/>
            <color indexed="81"/>
            <rFont val="MS P ゴシック"/>
            <family val="3"/>
            <charset val="128"/>
          </rPr>
          <t xml:space="preserve"> 25-2895 26-380</t>
        </r>
      </text>
    </comment>
    <comment ref="A672" authorId="0" shapeId="0" xr:uid="{906ECDBF-4771-4CD3-88F8-CADFC0C75D02}">
      <text>
        <r>
          <rPr>
            <sz val="9"/>
            <color indexed="81"/>
            <rFont val="MS P ゴシック"/>
            <family val="3"/>
            <charset val="128"/>
          </rPr>
          <t xml:space="preserve"> 25-2972 26-382</t>
        </r>
      </text>
    </comment>
    <comment ref="A674" authorId="0" shapeId="0" xr:uid="{7A621B31-37E3-4AD1-A065-DD6628447430}">
      <text>
        <r>
          <rPr>
            <sz val="9"/>
            <color indexed="81"/>
            <rFont val="MS P ゴシック"/>
            <family val="3"/>
            <charset val="128"/>
          </rPr>
          <t xml:space="preserve"> 25-3010 26-383</t>
        </r>
      </text>
    </comment>
    <comment ref="A676" authorId="0" shapeId="0" xr:uid="{91B66170-AB53-4EB1-B64B-4D039446C382}">
      <text>
        <r>
          <rPr>
            <sz val="9"/>
            <color indexed="81"/>
            <rFont val="MS P ゴシック"/>
            <family val="3"/>
            <charset val="128"/>
          </rPr>
          <t xml:space="preserve"> 25-3093 26-385</t>
        </r>
      </text>
    </comment>
    <comment ref="A678" authorId="0" shapeId="0" xr:uid="{3A13BF73-C15F-409F-84D4-F3282AC1C665}">
      <text>
        <r>
          <rPr>
            <sz val="9"/>
            <color indexed="81"/>
            <rFont val="MS P ゴシック"/>
            <family val="3"/>
            <charset val="128"/>
          </rPr>
          <t xml:space="preserve"> 25-3139 26-387</t>
        </r>
      </text>
    </comment>
    <comment ref="A680" authorId="0" shapeId="0" xr:uid="{1A8E7FCF-D420-45E7-9D27-0254BC8562A7}">
      <text>
        <r>
          <rPr>
            <sz val="9"/>
            <color indexed="81"/>
            <rFont val="MS P ゴシック"/>
            <family val="3"/>
            <charset val="128"/>
          </rPr>
          <t xml:space="preserve"> 25-3220 26-389</t>
        </r>
      </text>
    </comment>
    <comment ref="A682" authorId="0" shapeId="0" xr:uid="{E3FFADE5-0573-435A-9812-42F037616E0E}">
      <text>
        <r>
          <rPr>
            <sz val="9"/>
            <color indexed="81"/>
            <rFont val="MS P ゴシック"/>
            <family val="3"/>
            <charset val="128"/>
          </rPr>
          <t xml:space="preserve"> 25-3340 26-391</t>
        </r>
      </text>
    </comment>
    <comment ref="A684" authorId="0" shapeId="0" xr:uid="{A3AB72CA-828B-46D9-ADFA-5FCA298DB2BB}">
      <text>
        <r>
          <rPr>
            <sz val="9"/>
            <color indexed="81"/>
            <rFont val="MS P ゴシック"/>
            <family val="3"/>
            <charset val="128"/>
          </rPr>
          <t xml:space="preserve"> 25-3546 26-394</t>
        </r>
      </text>
    </comment>
    <comment ref="A686" authorId="0" shapeId="0" xr:uid="{99B71950-E44D-4BAA-84CD-11EDD5E0272F}">
      <text>
        <r>
          <rPr>
            <sz val="9"/>
            <color indexed="81"/>
            <rFont val="MS P ゴシック"/>
            <family val="3"/>
            <charset val="128"/>
          </rPr>
          <t xml:space="preserve"> 25-3628 26-395</t>
        </r>
      </text>
    </comment>
    <comment ref="A688" authorId="0" shapeId="0" xr:uid="{C15856DA-A910-469B-96FE-046B5299BAAE}">
      <text>
        <r>
          <rPr>
            <sz val="9"/>
            <color indexed="81"/>
            <rFont val="MS P ゴシック"/>
            <family val="3"/>
            <charset val="128"/>
          </rPr>
          <t xml:space="preserve"> 25-4042 26-404</t>
        </r>
      </text>
    </comment>
    <comment ref="A690" authorId="0" shapeId="0" xr:uid="{84528691-6286-4D45-B1BA-98D5D9E6D38F}">
      <text>
        <r>
          <rPr>
            <sz val="9"/>
            <color indexed="81"/>
            <rFont val="MS P ゴシック"/>
            <family val="3"/>
            <charset val="128"/>
          </rPr>
          <t xml:space="preserve"> 25-4079 26-405</t>
        </r>
      </text>
    </comment>
    <comment ref="A692" authorId="0" shapeId="0" xr:uid="{11277781-119D-4A5B-8200-78D316F4CEFF}">
      <text>
        <r>
          <rPr>
            <sz val="9"/>
            <color indexed="81"/>
            <rFont val="MS P ゴシック"/>
            <family val="3"/>
            <charset val="128"/>
          </rPr>
          <t xml:space="preserve"> 25-4152 26-408</t>
        </r>
      </text>
    </comment>
    <comment ref="A694" authorId="0" shapeId="0" xr:uid="{2057ED8E-60D5-4B38-AF9A-546310C502CA}">
      <text>
        <r>
          <rPr>
            <sz val="9"/>
            <color indexed="81"/>
            <rFont val="MS P ゴシック"/>
            <family val="3"/>
            <charset val="128"/>
          </rPr>
          <t xml:space="preserve"> 25-4176 26-412</t>
        </r>
      </text>
    </comment>
    <comment ref="A696" authorId="0" shapeId="0" xr:uid="{04643D4B-ADC1-48EE-A012-A098E8DEA22B}">
      <text>
        <r>
          <rPr>
            <sz val="9"/>
            <color indexed="81"/>
            <rFont val="MS P ゴシック"/>
            <family val="3"/>
            <charset val="128"/>
          </rPr>
          <t xml:space="preserve"> 25-4178 26-413</t>
        </r>
      </text>
    </comment>
    <comment ref="A698" authorId="0" shapeId="0" xr:uid="{BCBAB633-F828-40A4-A44B-224A75EDC320}">
      <text>
        <r>
          <rPr>
            <sz val="9"/>
            <color indexed="81"/>
            <rFont val="MS P ゴシック"/>
            <family val="3"/>
            <charset val="128"/>
          </rPr>
          <t xml:space="preserve"> 25-4489 26-420</t>
        </r>
      </text>
    </comment>
    <comment ref="A700" authorId="0" shapeId="0" xr:uid="{97F59141-0D71-473F-A9E0-FA6347836671}">
      <text>
        <r>
          <rPr>
            <sz val="9"/>
            <color indexed="81"/>
            <rFont val="MS P ゴシック"/>
            <family val="3"/>
            <charset val="128"/>
          </rPr>
          <t xml:space="preserve"> 25-4491 26-421</t>
        </r>
      </text>
    </comment>
    <comment ref="A702" authorId="0" shapeId="0" xr:uid="{0AA61BD1-C5A4-4200-9945-9F3E18BB097E}">
      <text>
        <r>
          <rPr>
            <sz val="9"/>
            <color indexed="81"/>
            <rFont val="MS P ゴシック"/>
            <family val="3"/>
            <charset val="128"/>
          </rPr>
          <t xml:space="preserve"> 25-4535 26-424</t>
        </r>
      </text>
    </comment>
    <comment ref="A704" authorId="0" shapeId="0" xr:uid="{7C5CC6AE-FD78-46B0-9882-1E1EAA58F802}">
      <text>
        <r>
          <rPr>
            <sz val="9"/>
            <color indexed="81"/>
            <rFont val="MS P ゴシック"/>
            <family val="3"/>
            <charset val="128"/>
          </rPr>
          <t xml:space="preserve"> 25-4661 26-425</t>
        </r>
      </text>
    </comment>
    <comment ref="A706" authorId="0" shapeId="0" xr:uid="{CBD46B3C-46A3-45A6-BDE8-B566B2524835}">
      <text>
        <r>
          <rPr>
            <sz val="9"/>
            <color indexed="81"/>
            <rFont val="MS P ゴシック"/>
            <family val="3"/>
            <charset val="128"/>
          </rPr>
          <t xml:space="preserve"> 25-4737 26-426</t>
        </r>
      </text>
    </comment>
    <comment ref="A708" authorId="0" shapeId="0" xr:uid="{9FFA6569-FB5F-426C-94EA-40E9BF28E8DF}">
      <text>
        <r>
          <rPr>
            <sz val="9"/>
            <color indexed="81"/>
            <rFont val="MS P ゴシック"/>
            <family val="3"/>
            <charset val="128"/>
          </rPr>
          <t xml:space="preserve"> 25-4743 26-428</t>
        </r>
      </text>
    </comment>
    <comment ref="A710" authorId="0" shapeId="0" xr:uid="{F8626895-C600-4CC2-A17E-D5FE8DA89CF0}">
      <text>
        <r>
          <rPr>
            <sz val="9"/>
            <color indexed="81"/>
            <rFont val="MS P ゴシック"/>
            <family val="3"/>
            <charset val="128"/>
          </rPr>
          <t xml:space="preserve"> 25-4827 26-432</t>
        </r>
      </text>
    </comment>
    <comment ref="A712" authorId="0" shapeId="0" xr:uid="{337BD45E-7401-4C6C-9FCC-F2CE8DB0B58C}">
      <text>
        <r>
          <rPr>
            <sz val="9"/>
            <color indexed="81"/>
            <rFont val="MS P ゴシック"/>
            <family val="3"/>
            <charset val="128"/>
          </rPr>
          <t xml:space="preserve"> 25-4864 26-433</t>
        </r>
      </text>
    </comment>
    <comment ref="A714" authorId="0" shapeId="0" xr:uid="{B74834D8-E7E1-468C-B6E2-C21D42B09172}">
      <text>
        <r>
          <rPr>
            <sz val="9"/>
            <color indexed="81"/>
            <rFont val="MS P ゴシック"/>
            <family val="3"/>
            <charset val="128"/>
          </rPr>
          <t xml:space="preserve"> 25-4974 26-436</t>
        </r>
      </text>
    </comment>
    <comment ref="A716" authorId="0" shapeId="0" xr:uid="{63C9AC5F-A999-4A31-9350-8C916F809226}">
      <text>
        <r>
          <rPr>
            <sz val="9"/>
            <color indexed="81"/>
            <rFont val="MS P ゴシック"/>
            <family val="3"/>
            <charset val="128"/>
          </rPr>
          <t xml:space="preserve"> 25-5050 26-439</t>
        </r>
      </text>
    </comment>
    <comment ref="A718" authorId="0" shapeId="0" xr:uid="{60CAD720-996B-4FA0-8235-73FDFF48C332}">
      <text>
        <r>
          <rPr>
            <sz val="9"/>
            <color indexed="81"/>
            <rFont val="MS P ゴシック"/>
            <family val="3"/>
            <charset val="128"/>
          </rPr>
          <t xml:space="preserve"> 25-5052 26-440</t>
        </r>
      </text>
    </comment>
    <comment ref="A720" authorId="0" shapeId="0" xr:uid="{CDB797D0-DADC-4462-BA70-50C701E72262}">
      <text>
        <r>
          <rPr>
            <sz val="9"/>
            <color indexed="81"/>
            <rFont val="MS P ゴシック"/>
            <family val="3"/>
            <charset val="128"/>
          </rPr>
          <t xml:space="preserve"> 25-5302 26-454</t>
        </r>
      </text>
    </comment>
    <comment ref="A722" authorId="0" shapeId="0" xr:uid="{314E054D-CB01-43E4-B194-FBFC654FB035}">
      <text>
        <r>
          <rPr>
            <sz val="9"/>
            <color indexed="81"/>
            <rFont val="MS P ゴシック"/>
            <family val="3"/>
            <charset val="128"/>
          </rPr>
          <t xml:space="preserve"> 25-5368 26-455</t>
        </r>
      </text>
    </comment>
    <comment ref="A724" authorId="0" shapeId="0" xr:uid="{3D0A9AC8-9E2C-469B-A79A-59A04366AEF2}">
      <text>
        <r>
          <rPr>
            <sz val="9"/>
            <color indexed="81"/>
            <rFont val="MS P ゴシック"/>
            <family val="3"/>
            <charset val="128"/>
          </rPr>
          <t xml:space="preserve"> 25-5384 26-458</t>
        </r>
      </text>
    </comment>
    <comment ref="A726" authorId="0" shapeId="0" xr:uid="{E187DEA9-276A-403F-8B35-3804FEF43FDD}">
      <text>
        <r>
          <rPr>
            <sz val="9"/>
            <color indexed="81"/>
            <rFont val="MS P ゴシック"/>
            <family val="3"/>
            <charset val="128"/>
          </rPr>
          <t xml:space="preserve"> 25-5443 26-463</t>
        </r>
      </text>
    </comment>
    <comment ref="A728" authorId="0" shapeId="0" xr:uid="{6664C85A-ECCC-4230-B5CE-35CC26AEEF88}">
      <text>
        <r>
          <rPr>
            <sz val="9"/>
            <color indexed="81"/>
            <rFont val="MS P ゴシック"/>
            <family val="3"/>
            <charset val="128"/>
          </rPr>
          <t xml:space="preserve"> 25-5464 26-464</t>
        </r>
      </text>
    </comment>
    <comment ref="A730" authorId="0" shapeId="0" xr:uid="{F5821B9C-06C8-49DC-B0A1-FAE02767472D}">
      <text>
        <r>
          <rPr>
            <sz val="9"/>
            <color indexed="81"/>
            <rFont val="MS P ゴシック"/>
            <family val="3"/>
            <charset val="128"/>
          </rPr>
          <t xml:space="preserve"> 25-5518 26-472</t>
        </r>
      </text>
    </comment>
    <comment ref="A732" authorId="0" shapeId="0" xr:uid="{2B814700-A18B-4C11-A2E6-0050F8E83D81}">
      <text>
        <r>
          <rPr>
            <sz val="9"/>
            <color indexed="81"/>
            <rFont val="MS P ゴシック"/>
            <family val="3"/>
            <charset val="128"/>
          </rPr>
          <t xml:space="preserve"> 25-5533 26-475</t>
        </r>
      </text>
    </comment>
    <comment ref="A734" authorId="0" shapeId="0" xr:uid="{D993F1E4-5CAA-4F61-A1FB-E446B22D6145}">
      <text>
        <r>
          <rPr>
            <sz val="9"/>
            <color indexed="81"/>
            <rFont val="MS P ゴシック"/>
            <family val="3"/>
            <charset val="128"/>
          </rPr>
          <t xml:space="preserve"> 25-5818 26-495</t>
        </r>
      </text>
    </comment>
    <comment ref="A736" authorId="0" shapeId="0" xr:uid="{76C01087-C2C7-4C4B-98FE-B45931E9AD07}">
      <text>
        <r>
          <rPr>
            <sz val="9"/>
            <color indexed="81"/>
            <rFont val="MS P ゴシック"/>
            <family val="3"/>
            <charset val="128"/>
          </rPr>
          <t xml:space="preserve"> 25-5829 26-497</t>
        </r>
      </text>
    </comment>
    <comment ref="A738" authorId="0" shapeId="0" xr:uid="{29421E5D-E771-4F96-ACC1-7D0A7C0E8E9C}">
      <text>
        <r>
          <rPr>
            <sz val="9"/>
            <color indexed="81"/>
            <rFont val="MS P ゴシック"/>
            <family val="3"/>
            <charset val="128"/>
          </rPr>
          <t xml:space="preserve"> 25-5867 26-502</t>
        </r>
      </text>
    </comment>
    <comment ref="A740" authorId="0" shapeId="0" xr:uid="{1035D354-AE09-41C0-9FED-946AB8EA3AF5}">
      <text>
        <r>
          <rPr>
            <sz val="9"/>
            <color indexed="81"/>
            <rFont val="MS P ゴシック"/>
            <family val="3"/>
            <charset val="128"/>
          </rPr>
          <t xml:space="preserve"> 25-5875 26-503</t>
        </r>
      </text>
    </comment>
    <comment ref="A742" authorId="0" shapeId="0" xr:uid="{B1F07D4E-F046-40A8-B7A6-36A3966CA845}">
      <text>
        <r>
          <rPr>
            <sz val="9"/>
            <color indexed="81"/>
            <rFont val="MS P ゴシック"/>
            <family val="3"/>
            <charset val="128"/>
          </rPr>
          <t xml:space="preserve"> 25-5877 26-504</t>
        </r>
      </text>
    </comment>
    <comment ref="A744" authorId="0" shapeId="0" xr:uid="{2C90DE65-83D6-4C90-BEC1-D1BD76DA30C7}">
      <text>
        <r>
          <rPr>
            <sz val="9"/>
            <color indexed="81"/>
            <rFont val="MS P ゴシック"/>
            <family val="3"/>
            <charset val="128"/>
          </rPr>
          <t xml:space="preserve"> 25-5941 26-510</t>
        </r>
      </text>
    </comment>
    <comment ref="A746" authorId="0" shapeId="0" xr:uid="{1A31F68F-901F-4D49-B1FE-354248BAEBEC}">
      <text>
        <r>
          <rPr>
            <sz val="9"/>
            <color indexed="81"/>
            <rFont val="MS P ゴシック"/>
            <family val="3"/>
            <charset val="128"/>
          </rPr>
          <t xml:space="preserve"> 25-5976 26-515</t>
        </r>
      </text>
    </comment>
    <comment ref="A748" authorId="0" shapeId="0" xr:uid="{7BA5072D-5344-4561-ABA8-9A0DB812AC9A}">
      <text>
        <r>
          <rPr>
            <sz val="9"/>
            <color indexed="81"/>
            <rFont val="MS P ゴシック"/>
            <family val="3"/>
            <charset val="128"/>
          </rPr>
          <t xml:space="preserve"> 25-6086 26-535</t>
        </r>
      </text>
    </comment>
    <comment ref="A750" authorId="0" shapeId="0" xr:uid="{996037E0-6AD6-40B9-BA10-A88264B853F5}">
      <text>
        <r>
          <rPr>
            <sz val="9"/>
            <color indexed="81"/>
            <rFont val="MS P ゴシック"/>
            <family val="3"/>
            <charset val="128"/>
          </rPr>
          <t xml:space="preserve"> 25-6162 26-553</t>
        </r>
      </text>
    </comment>
    <comment ref="A752" authorId="0" shapeId="0" xr:uid="{74E93DD5-13FB-4F48-A1A4-DEDD258383A4}">
      <text>
        <r>
          <rPr>
            <sz val="9"/>
            <color indexed="81"/>
            <rFont val="MS P ゴシック"/>
            <family val="3"/>
            <charset val="128"/>
          </rPr>
          <t xml:space="preserve"> 25-6264 26-574</t>
        </r>
      </text>
    </comment>
    <comment ref="A754" authorId="0" shapeId="0" xr:uid="{960784CA-E2B4-4ECC-B24D-C2315BF41185}">
      <text>
        <r>
          <rPr>
            <sz val="9"/>
            <color indexed="81"/>
            <rFont val="MS P ゴシック"/>
            <family val="3"/>
            <charset val="128"/>
          </rPr>
          <t xml:space="preserve"> 25-6266 26-575</t>
        </r>
      </text>
    </comment>
    <comment ref="A756" authorId="0" shapeId="0" xr:uid="{24663AD6-E2C9-4A86-8AB9-67E9302EFCF2}">
      <text>
        <r>
          <rPr>
            <sz val="9"/>
            <color indexed="81"/>
            <rFont val="MS P ゴシック"/>
            <family val="3"/>
            <charset val="128"/>
          </rPr>
          <t xml:space="preserve"> 25-6363 26-608</t>
        </r>
      </text>
    </comment>
    <comment ref="A758" authorId="0" shapeId="0" xr:uid="{836ECC5C-77BC-4361-BFE9-D293BDE2F2B1}">
      <text>
        <r>
          <rPr>
            <sz val="9"/>
            <color indexed="81"/>
            <rFont val="MS P ゴシック"/>
            <family val="3"/>
            <charset val="128"/>
          </rPr>
          <t xml:space="preserve"> 25-6472 26-645</t>
        </r>
      </text>
    </comment>
    <comment ref="A760" authorId="0" shapeId="0" xr:uid="{DFEA5949-4299-4C40-BAA7-D4224C0B31B7}">
      <text>
        <r>
          <rPr>
            <sz val="9"/>
            <color indexed="81"/>
            <rFont val="MS P ゴシック"/>
            <family val="3"/>
            <charset val="128"/>
          </rPr>
          <t xml:space="preserve"> 25-6521 26-668</t>
        </r>
      </text>
    </comment>
    <comment ref="A762" authorId="0" shapeId="0" xr:uid="{3693B0DD-1967-4E28-BB39-13DF0CCDA62F}">
      <text>
        <r>
          <rPr>
            <sz val="9"/>
            <color indexed="81"/>
            <rFont val="MS P ゴシック"/>
            <family val="3"/>
            <charset val="128"/>
          </rPr>
          <t xml:space="preserve"> 25-6596 26-718</t>
        </r>
      </text>
    </comment>
    <comment ref="A764" authorId="0" shapeId="0" xr:uid="{DD4BE05B-5430-47C3-BA3E-8ED906476792}">
      <text>
        <r>
          <rPr>
            <sz val="9"/>
            <color indexed="81"/>
            <rFont val="MS P ゴシック"/>
            <family val="3"/>
            <charset val="128"/>
          </rPr>
          <t xml:space="preserve"> 25-6652 26-753</t>
        </r>
      </text>
    </comment>
    <comment ref="A766" authorId="0" shapeId="0" xr:uid="{AF7677DC-1D86-48BE-94CF-8DE9588D0BAC}">
      <text>
        <r>
          <rPr>
            <sz val="9"/>
            <color indexed="81"/>
            <rFont val="MS P ゴシック"/>
            <family val="3"/>
            <charset val="128"/>
          </rPr>
          <t xml:space="preserve"> 25-6750 26-841</t>
        </r>
      </text>
    </comment>
    <comment ref="A768" authorId="0" shapeId="0" xr:uid="{787C2EF2-D130-4C72-B596-FCC67C145225}">
      <text>
        <r>
          <rPr>
            <sz val="9"/>
            <color indexed="81"/>
            <rFont val="MS P ゴシック"/>
            <family val="3"/>
            <charset val="128"/>
          </rPr>
          <t>14-3291 15-972 16-054 17-036 K18-1 k19-1 K20-1 K21-001 K22-001 K23-001 K24-001 K25-001 26-859</t>
        </r>
      </text>
    </comment>
    <comment ref="A770" authorId="0" shapeId="0" xr:uid="{8B9C79D6-1562-4339-955D-1A2FD1389519}">
      <text>
        <r>
          <rPr>
            <sz val="9"/>
            <color indexed="81"/>
            <rFont val="MS P ゴシック"/>
            <family val="3"/>
            <charset val="128"/>
          </rPr>
          <t>17-6979 S18-10 S19-5 S20-4 S21-003 S22-003 S23-003 S24-003 S25-003 26-860</t>
        </r>
      </text>
    </comment>
    <comment ref="A772" authorId="0" shapeId="0" xr:uid="{31ACA8F6-6378-4A92-9B0C-7DBBF106E007}">
      <text>
        <r>
          <rPr>
            <sz val="9"/>
            <color indexed="81"/>
            <rFont val="MS P ゴシック"/>
            <family val="3"/>
            <charset val="128"/>
          </rPr>
          <t>17-7852 S18-13 S19-6 S20-5 S21-004 S22-004 S23-004 S24-004 S25-004 26-861</t>
        </r>
      </text>
    </comment>
    <comment ref="A774" authorId="0" shapeId="0" xr:uid="{C8A7F9F7-41EC-4A86-9A00-5603BFA97489}">
      <text>
        <r>
          <rPr>
            <sz val="9"/>
            <color indexed="81"/>
            <rFont val="MS P ゴシック"/>
            <family val="3"/>
            <charset val="128"/>
          </rPr>
          <t>S18-103 S19-39 S20-20 S21-012 S22-011 S23-009 S24-008 S25-007 26-862</t>
        </r>
      </text>
    </comment>
    <comment ref="A776" authorId="0" shapeId="0" xr:uid="{247A5B3E-F22D-4493-BDB6-BEE5B4DD1D9B}">
      <text>
        <r>
          <rPr>
            <sz val="9"/>
            <color indexed="81"/>
            <rFont val="MS P ゴシック"/>
            <family val="3"/>
            <charset val="128"/>
          </rPr>
          <t>K18-105 K19-40 K20-21 K21-013 K22-012 K23-010 K24-009 K25-008 26-863</t>
        </r>
      </text>
    </comment>
    <comment ref="A778" authorId="0" shapeId="0" xr:uid="{76A677F8-C365-43A4-A696-6C04E1299E80}">
      <text>
        <r>
          <rPr>
            <sz val="9"/>
            <color indexed="81"/>
            <rFont val="MS P ゴシック"/>
            <family val="3"/>
            <charset val="128"/>
          </rPr>
          <t>K19-112 K20-37 K21-022 K22-019 K23-014 K24-012 K25-010 26-864</t>
        </r>
      </text>
    </comment>
    <comment ref="A780" authorId="0" shapeId="0" xr:uid="{46CF1C68-BAF1-43EF-A57A-7C6A64E79DE7}">
      <text>
        <r>
          <rPr>
            <sz val="9"/>
            <color indexed="81"/>
            <rFont val="MS P ゴシック"/>
            <family val="3"/>
            <charset val="128"/>
          </rPr>
          <t>K19-152 K20-51 K21-029 K22-023 K23-017 K24-015 K25-012 26-865</t>
        </r>
      </text>
    </comment>
    <comment ref="A782" authorId="0" shapeId="0" xr:uid="{00C0776F-D987-4EDF-A426-64063B80AAA9}">
      <text>
        <r>
          <rPr>
            <sz val="9"/>
            <color indexed="81"/>
            <rFont val="MS P ゴシック"/>
            <family val="3"/>
            <charset val="128"/>
          </rPr>
          <t>S20-150 S21-052 S22-033 S23-020 S24-018 S25-015 26-868</t>
        </r>
      </text>
    </comment>
    <comment ref="A784" authorId="0" shapeId="0" xr:uid="{97F02BAA-3A33-4D70-AA7A-466F4FA963DE}">
      <text>
        <r>
          <rPr>
            <sz val="9"/>
            <color indexed="81"/>
            <rFont val="MS P ゴシック"/>
            <family val="3"/>
            <charset val="128"/>
          </rPr>
          <t>K20-160 K21-055 K22-036 K23-022 K24-019 K25-016 26-869</t>
        </r>
      </text>
    </comment>
    <comment ref="A786" authorId="0" shapeId="0" xr:uid="{87CCC1FE-C0BD-4126-B179-DAE4D39F3A83}">
      <text>
        <r>
          <rPr>
            <sz val="9"/>
            <color indexed="81"/>
            <rFont val="MS P ゴシック"/>
            <family val="3"/>
            <charset val="128"/>
          </rPr>
          <t>K20-230 K21-062 K22-039 K23-023 K24-020 K25-017 26-870</t>
        </r>
      </text>
    </comment>
    <comment ref="A788" authorId="0" shapeId="0" xr:uid="{4EEE14FD-96C6-4AA1-AAA3-27159F8918B8}">
      <text>
        <r>
          <rPr>
            <sz val="9"/>
            <color indexed="81"/>
            <rFont val="MS P ゴシック"/>
            <family val="3"/>
            <charset val="128"/>
          </rPr>
          <t>K20-324 K21-111 K22-045 K23-026 K24-022 K25-019 26-871</t>
        </r>
      </text>
    </comment>
    <comment ref="A790" authorId="0" shapeId="0" xr:uid="{006CA131-F0AB-4149-AE4A-80C9E862DA27}">
      <text>
        <r>
          <rPr>
            <sz val="9"/>
            <color indexed="81"/>
            <rFont val="MS P ゴシック"/>
            <family val="3"/>
            <charset val="128"/>
          </rPr>
          <t>K21-126 K22-047 K23-027 K24-023 K25-020 26-872</t>
        </r>
      </text>
    </comment>
    <comment ref="A792" authorId="0" shapeId="0" xr:uid="{FBC5914D-1CE6-4C25-BFC4-667A67B53981}">
      <text>
        <r>
          <rPr>
            <sz val="9"/>
            <color indexed="81"/>
            <rFont val="MS P ゴシック"/>
            <family val="3"/>
            <charset val="128"/>
          </rPr>
          <t>K21-151 K22-051 K23-029 K24-024 K25-021 26-873</t>
        </r>
      </text>
    </comment>
    <comment ref="A794" authorId="0" shapeId="0" xr:uid="{1542F77A-D13B-4949-AA55-7ED2DE11A2AF}">
      <text>
        <r>
          <rPr>
            <sz val="9"/>
            <color indexed="81"/>
            <rFont val="MS P ゴシック"/>
            <family val="3"/>
            <charset val="128"/>
          </rPr>
          <t>K21-276ｂ K22-068 K23-034 K24-026 K25-022 26-874</t>
        </r>
      </text>
    </comment>
    <comment ref="A796" authorId="0" shapeId="0" xr:uid="{46665C97-9991-4AA8-9D4F-B5ECD6D210EB}">
      <text>
        <r>
          <rPr>
            <sz val="9"/>
            <color indexed="81"/>
            <rFont val="MS P ゴシック"/>
            <family val="3"/>
            <charset val="128"/>
          </rPr>
          <t xml:space="preserve"> K22-116 K23-042 K24-030 K25-024 26-875</t>
        </r>
      </text>
    </comment>
    <comment ref="A798" authorId="0" shapeId="0" xr:uid="{6FE4E6B0-2636-466A-B7AB-F5D3D7E29359}">
      <text>
        <r>
          <rPr>
            <sz val="9"/>
            <color indexed="81"/>
            <rFont val="MS P ゴシック"/>
            <family val="3"/>
            <charset val="128"/>
          </rPr>
          <t xml:space="preserve"> K22-127 K23-044 K24-031 K25-025 26-876</t>
        </r>
      </text>
    </comment>
    <comment ref="A800" authorId="0" shapeId="0" xr:uid="{35EB0326-1A86-4760-BEAD-1AA6104DC994}">
      <text>
        <r>
          <rPr>
            <sz val="9"/>
            <color indexed="81"/>
            <rFont val="MS P ゴシック"/>
            <family val="3"/>
            <charset val="128"/>
          </rPr>
          <t xml:space="preserve"> K22-139 K23-046 K24-032 K25-026 26-877</t>
        </r>
      </text>
    </comment>
    <comment ref="A802" authorId="0" shapeId="0" xr:uid="{2AB08BB1-17D7-45EC-B86A-566A4870946E}">
      <text>
        <r>
          <rPr>
            <sz val="9"/>
            <color indexed="81"/>
            <rFont val="MS P ゴシック"/>
            <family val="3"/>
            <charset val="128"/>
          </rPr>
          <t xml:space="preserve"> S22-198 S23-061 S24-040 S25-030 26-878</t>
        </r>
      </text>
    </comment>
    <comment ref="A804" authorId="0" shapeId="0" xr:uid="{8310EDEB-2760-40EA-BF68-6048F213C6BD}">
      <text>
        <r>
          <rPr>
            <sz val="9"/>
            <color indexed="81"/>
            <rFont val="MS P ゴシック"/>
            <family val="3"/>
            <charset val="128"/>
          </rPr>
          <t xml:space="preserve"> S22-234 S23-065 S24-041 S25-031 26-879</t>
        </r>
      </text>
    </comment>
    <comment ref="A806" authorId="0" shapeId="0" xr:uid="{FA196CD2-B33E-461C-B60E-EDEA02B74D0B}">
      <text>
        <r>
          <rPr>
            <sz val="9"/>
            <color indexed="81"/>
            <rFont val="MS P ゴシック"/>
            <family val="3"/>
            <charset val="128"/>
          </rPr>
          <t xml:space="preserve"> K22-249 K23-067 K24-042 K25-032 26-880</t>
        </r>
      </text>
    </comment>
    <comment ref="A808" authorId="0" shapeId="0" xr:uid="{4D1AE2B9-E9FD-44A4-A2F8-91FFF1EE8746}">
      <text>
        <r>
          <rPr>
            <sz val="9"/>
            <color indexed="81"/>
            <rFont val="MS P ゴシック"/>
            <family val="3"/>
            <charset val="128"/>
          </rPr>
          <t xml:space="preserve"> S22-271 S23-075 S24-044 S25-033 26-881</t>
        </r>
      </text>
    </comment>
    <comment ref="A810" authorId="0" shapeId="0" xr:uid="{C159AEB9-ED26-4943-A27A-B0505F3F1FAD}">
      <text>
        <r>
          <rPr>
            <sz val="9"/>
            <color indexed="81"/>
            <rFont val="MS P ゴシック"/>
            <family val="3"/>
            <charset val="128"/>
          </rPr>
          <t xml:space="preserve"> K22-295 K23-086 K24-045 K25-034 26-882</t>
        </r>
      </text>
    </comment>
    <comment ref="A812" authorId="0" shapeId="0" xr:uid="{C5D6A111-024F-4C0C-A76B-D3E9DCBCF4EE}">
      <text>
        <r>
          <rPr>
            <sz val="9"/>
            <color indexed="81"/>
            <rFont val="MS P ゴシック"/>
            <family val="3"/>
            <charset val="128"/>
          </rPr>
          <t xml:space="preserve"> K22-302 K23-092 K24-046 K25-035 26-883</t>
        </r>
      </text>
    </comment>
    <comment ref="A814" authorId="0" shapeId="0" xr:uid="{3A6F6E61-6890-4CAB-AE08-63467806FFBF}">
      <text>
        <r>
          <rPr>
            <sz val="9"/>
            <color indexed="81"/>
            <rFont val="MS P ゴシック"/>
            <family val="3"/>
            <charset val="128"/>
          </rPr>
          <t>K22-314 K23-104 K24-049 K25-036 26-884</t>
        </r>
      </text>
    </comment>
    <comment ref="A816" authorId="0" shapeId="0" xr:uid="{5BE6034D-5E3F-4B77-ABE6-0DBE3E242712}">
      <text>
        <r>
          <rPr>
            <sz val="9"/>
            <color indexed="81"/>
            <rFont val="MS P ゴシック"/>
            <family val="3"/>
            <charset val="128"/>
          </rPr>
          <t xml:space="preserve"> K23-110 K24-050 K25-037 26-885</t>
        </r>
      </text>
    </comment>
    <comment ref="A818" authorId="0" shapeId="0" xr:uid="{362DC697-B62F-42A5-BAAF-F1B0B722209C}">
      <text>
        <r>
          <rPr>
            <sz val="9"/>
            <color indexed="81"/>
            <rFont val="MS P ゴシック"/>
            <family val="3"/>
            <charset val="128"/>
          </rPr>
          <t xml:space="preserve"> K23-166 K24-052 K25-038 26-886</t>
        </r>
      </text>
    </comment>
    <comment ref="A820" authorId="0" shapeId="0" xr:uid="{76364B2F-54CD-43B6-A98F-BB12CBF009FF}">
      <text>
        <r>
          <rPr>
            <sz val="9"/>
            <color indexed="81"/>
            <rFont val="MS P ゴシック"/>
            <family val="3"/>
            <charset val="128"/>
          </rPr>
          <t xml:space="preserve"> S23-205b S24-056 S25-040 26-887</t>
        </r>
      </text>
    </comment>
    <comment ref="A822" authorId="0" shapeId="0" xr:uid="{37B9FB02-9465-4484-BD95-9C9EBEB69283}">
      <text>
        <r>
          <rPr>
            <sz val="9"/>
            <color indexed="81"/>
            <rFont val="MS P ゴシック"/>
            <family val="3"/>
            <charset val="128"/>
          </rPr>
          <t xml:space="preserve"> K23-225 K24-062 K25-042 26-888</t>
        </r>
      </text>
    </comment>
    <comment ref="A824" authorId="0" shapeId="0" xr:uid="{1439D95D-9B9D-45CF-B085-F8A648E171BB}">
      <text>
        <r>
          <rPr>
            <sz val="9"/>
            <color indexed="81"/>
            <rFont val="MS P ゴシック"/>
            <family val="3"/>
            <charset val="128"/>
          </rPr>
          <t xml:space="preserve"> K23-240 K24-065 K25-043 26-889</t>
        </r>
      </text>
    </comment>
    <comment ref="A826" authorId="0" shapeId="0" xr:uid="{EF6D0155-C1AF-4921-A687-8BDB0B3CB3E7}">
      <text>
        <r>
          <rPr>
            <sz val="9"/>
            <color indexed="81"/>
            <rFont val="MS P ゴシック"/>
            <family val="3"/>
            <charset val="128"/>
          </rPr>
          <t xml:space="preserve"> K23-298 K24-088 K25-045 26-890</t>
        </r>
      </text>
    </comment>
    <comment ref="A828" authorId="0" shapeId="0" xr:uid="{492D3316-6EEF-4EDF-B6A6-6B903A545DBA}">
      <text>
        <r>
          <rPr>
            <sz val="9"/>
            <color indexed="81"/>
            <rFont val="MS P ゴシック"/>
            <family val="3"/>
            <charset val="128"/>
          </rPr>
          <t xml:space="preserve"> K24-105 K25-048 26-892</t>
        </r>
      </text>
    </comment>
    <comment ref="A830" authorId="0" shapeId="0" xr:uid="{DD12980E-BB9A-49A7-89BB-177A749BE87B}">
      <text>
        <r>
          <rPr>
            <sz val="9"/>
            <color indexed="81"/>
            <rFont val="MS P ゴシック"/>
            <family val="3"/>
            <charset val="128"/>
          </rPr>
          <t xml:space="preserve"> K24-106 K25-049 26-893</t>
        </r>
      </text>
    </comment>
    <comment ref="A832" authorId="0" shapeId="0" xr:uid="{9A4F8142-CE94-4CB9-A4CC-8D4FE88E106D}">
      <text>
        <r>
          <rPr>
            <sz val="9"/>
            <color indexed="81"/>
            <rFont val="MS P ゴシック"/>
            <family val="3"/>
            <charset val="128"/>
          </rPr>
          <t xml:space="preserve"> K24-110 K25-050 26-894</t>
        </r>
      </text>
    </comment>
    <comment ref="A834" authorId="0" shapeId="0" xr:uid="{5D415CC5-1199-43B3-BC7A-B0D6F267B841}">
      <text>
        <r>
          <rPr>
            <sz val="9"/>
            <color indexed="81"/>
            <rFont val="MS P ゴシック"/>
            <family val="3"/>
            <charset val="128"/>
          </rPr>
          <t xml:space="preserve"> S24-113 S25-052 26-895</t>
        </r>
      </text>
    </comment>
    <comment ref="A836" authorId="0" shapeId="0" xr:uid="{A4B2CEF0-8FD2-4845-AA6B-376EA392A989}">
      <text>
        <r>
          <rPr>
            <sz val="9"/>
            <color indexed="81"/>
            <rFont val="MS P ゴシック"/>
            <family val="3"/>
            <charset val="128"/>
          </rPr>
          <t xml:space="preserve"> S24-117 S25-053 26-896</t>
        </r>
      </text>
    </comment>
    <comment ref="A838" authorId="0" shapeId="0" xr:uid="{5DB08354-5451-4AAA-BBCD-7F26C456C7CF}">
      <text>
        <r>
          <rPr>
            <sz val="9"/>
            <color indexed="81"/>
            <rFont val="MS P ゴシック"/>
            <family val="3"/>
            <charset val="128"/>
          </rPr>
          <t xml:space="preserve"> K24-129 K25-056 26-897</t>
        </r>
      </text>
    </comment>
    <comment ref="A840" authorId="0" shapeId="0" xr:uid="{4BBE953A-E125-44D3-A493-CD186EA4799E}">
      <text>
        <r>
          <rPr>
            <sz val="9"/>
            <color indexed="81"/>
            <rFont val="MS P ゴシック"/>
            <family val="3"/>
            <charset val="128"/>
          </rPr>
          <t xml:space="preserve"> S24-134 S25-058 26-898</t>
        </r>
      </text>
    </comment>
    <comment ref="A842" authorId="0" shapeId="0" xr:uid="{797344F1-9D99-4A73-A2FF-C263F80D80E0}">
      <text>
        <r>
          <rPr>
            <sz val="9"/>
            <color indexed="81"/>
            <rFont val="MS P ゴシック"/>
            <family val="3"/>
            <charset val="128"/>
          </rPr>
          <t xml:space="preserve"> S24-162 S25-062 26-901</t>
        </r>
      </text>
    </comment>
    <comment ref="A844" authorId="0" shapeId="0" xr:uid="{F5CFFD87-9A4F-449A-987D-62A541040853}">
      <text>
        <r>
          <rPr>
            <sz val="9"/>
            <color indexed="81"/>
            <rFont val="MS P ゴシック"/>
            <family val="3"/>
            <charset val="128"/>
          </rPr>
          <t xml:space="preserve"> S24-188 S25-066 26-902</t>
        </r>
      </text>
    </comment>
    <comment ref="A846" authorId="0" shapeId="0" xr:uid="{1E060CB7-EC80-4B6B-8A4E-E750A1E529F8}">
      <text>
        <r>
          <rPr>
            <sz val="9"/>
            <color indexed="81"/>
            <rFont val="MS P ゴシック"/>
            <family val="3"/>
            <charset val="128"/>
          </rPr>
          <t>K19-123 K20-41 K21-025 K22-022 K23-016 K24-014 K25-011 R25-010 26-903</t>
        </r>
      </text>
    </comment>
    <comment ref="A848" authorId="0" shapeId="0" xr:uid="{D3289BDD-E595-4A98-A538-62F5D9BF591F}">
      <text>
        <r>
          <rPr>
            <sz val="9"/>
            <color indexed="81"/>
            <rFont val="MS P ゴシック"/>
            <family val="3"/>
            <charset val="128"/>
          </rPr>
          <t xml:space="preserve"> 26-934</t>
        </r>
      </text>
    </comment>
    <comment ref="A850" authorId="0" shapeId="0" xr:uid="{D1C79162-9574-462F-B116-E5901DB58CAA}">
      <text>
        <r>
          <rPr>
            <sz val="9"/>
            <color indexed="81"/>
            <rFont val="MS P ゴシック"/>
            <family val="3"/>
            <charset val="128"/>
          </rPr>
          <t xml:space="preserve"> 26-953</t>
        </r>
      </text>
    </comment>
    <comment ref="A852" authorId="0" shapeId="0" xr:uid="{C2241D22-E63D-4BC3-82C6-482E42B8A3C5}">
      <text>
        <r>
          <rPr>
            <sz val="9"/>
            <color indexed="81"/>
            <rFont val="MS P ゴシック"/>
            <family val="3"/>
            <charset val="128"/>
          </rPr>
          <t xml:space="preserve"> 26-1023</t>
        </r>
      </text>
    </comment>
    <comment ref="A854" authorId="0" shapeId="0" xr:uid="{7A94C896-3280-426E-B606-61229B2247D5}">
      <text>
        <r>
          <rPr>
            <sz val="9"/>
            <color indexed="81"/>
            <rFont val="MS P ゴシック"/>
            <family val="3"/>
            <charset val="128"/>
          </rPr>
          <t xml:space="preserve"> 26-1056</t>
        </r>
      </text>
    </comment>
    <comment ref="A856" authorId="0" shapeId="0" xr:uid="{0D558944-FF2A-42AC-A5F1-06372BBB6B51}">
      <text>
        <r>
          <rPr>
            <sz val="9"/>
            <color indexed="81"/>
            <rFont val="MS P ゴシック"/>
            <family val="3"/>
            <charset val="128"/>
          </rPr>
          <t xml:space="preserve"> 26-1239</t>
        </r>
      </text>
    </comment>
    <comment ref="A858" authorId="0" shapeId="0" xr:uid="{247E8DF2-AD99-4B9D-9A1C-B71C17DD4ADC}">
      <text>
        <r>
          <rPr>
            <sz val="9"/>
            <color indexed="81"/>
            <rFont val="MS P ゴシック"/>
            <family val="3"/>
            <charset val="128"/>
          </rPr>
          <t xml:space="preserve"> 26-1246</t>
        </r>
      </text>
    </comment>
    <comment ref="A860" authorId="0" shapeId="0" xr:uid="{329954A2-2CC0-4B3D-94B7-402C38E7375D}">
      <text>
        <r>
          <rPr>
            <sz val="9"/>
            <color indexed="81"/>
            <rFont val="MS P ゴシック"/>
            <family val="3"/>
            <charset val="128"/>
          </rPr>
          <t xml:space="preserve"> 26-1250</t>
        </r>
      </text>
    </comment>
    <comment ref="A862" authorId="0" shapeId="0" xr:uid="{EF8A7F41-C111-4AA6-92F5-6F454B1AA110}">
      <text>
        <r>
          <rPr>
            <sz val="9"/>
            <color indexed="81"/>
            <rFont val="MS P ゴシック"/>
            <family val="3"/>
            <charset val="128"/>
          </rPr>
          <t xml:space="preserve"> 26-1270</t>
        </r>
      </text>
    </comment>
    <comment ref="A864" authorId="0" shapeId="0" xr:uid="{7D0023C8-FFC7-40C0-AAD2-D70FB01FAA52}">
      <text>
        <r>
          <rPr>
            <sz val="9"/>
            <color indexed="81"/>
            <rFont val="MS P ゴシック"/>
            <family val="3"/>
            <charset val="128"/>
          </rPr>
          <t xml:space="preserve"> 26-1325</t>
        </r>
      </text>
    </comment>
    <comment ref="A866" authorId="0" shapeId="0" xr:uid="{591A092D-CD8F-4D35-AA7B-862B1001691B}">
      <text>
        <r>
          <rPr>
            <sz val="9"/>
            <color indexed="81"/>
            <rFont val="MS P ゴシック"/>
            <family val="3"/>
            <charset val="128"/>
          </rPr>
          <t xml:space="preserve"> 26-1343</t>
        </r>
      </text>
    </comment>
    <comment ref="A868" authorId="0" shapeId="0" xr:uid="{E33E5B51-D7D9-46A2-BFF3-979A77DBF4A0}">
      <text>
        <r>
          <rPr>
            <sz val="9"/>
            <color indexed="81"/>
            <rFont val="MS P ゴシック"/>
            <family val="3"/>
            <charset val="128"/>
          </rPr>
          <t xml:space="preserve"> 26-1375</t>
        </r>
      </text>
    </comment>
    <comment ref="A870" authorId="0" shapeId="0" xr:uid="{7A114070-461A-4C65-83C4-371F2DCE502E}">
      <text>
        <r>
          <rPr>
            <sz val="9"/>
            <color indexed="81"/>
            <rFont val="MS P ゴシック"/>
            <family val="3"/>
            <charset val="128"/>
          </rPr>
          <t xml:space="preserve"> 26-1400</t>
        </r>
      </text>
    </comment>
    <comment ref="A872" authorId="0" shapeId="0" xr:uid="{71C3269B-2688-498C-83B2-A09E4158EF9F}">
      <text>
        <r>
          <rPr>
            <sz val="9"/>
            <color indexed="81"/>
            <rFont val="MS P ゴシック"/>
            <family val="3"/>
            <charset val="128"/>
          </rPr>
          <t xml:space="preserve"> 26-1448</t>
        </r>
      </text>
    </comment>
    <comment ref="A874" authorId="0" shapeId="0" xr:uid="{18DB3430-CC3F-47DE-BEB1-06FF699F3CE2}">
      <text>
        <r>
          <rPr>
            <sz val="9"/>
            <color indexed="81"/>
            <rFont val="MS P ゴシック"/>
            <family val="3"/>
            <charset val="128"/>
          </rPr>
          <t xml:space="preserve"> 26-1667</t>
        </r>
      </text>
    </comment>
    <comment ref="A876" authorId="0" shapeId="0" xr:uid="{B4740315-D099-43D5-88DA-B38AB941601D}">
      <text>
        <r>
          <rPr>
            <sz val="9"/>
            <color indexed="81"/>
            <rFont val="MS P ゴシック"/>
            <family val="3"/>
            <charset val="128"/>
          </rPr>
          <t xml:space="preserve"> 26-1680</t>
        </r>
      </text>
    </comment>
    <comment ref="A878" authorId="0" shapeId="0" xr:uid="{3CA670B8-E4DF-4669-B47B-866AFB70EC42}">
      <text>
        <r>
          <rPr>
            <sz val="9"/>
            <color indexed="81"/>
            <rFont val="MS P ゴシック"/>
            <family val="3"/>
            <charset val="128"/>
          </rPr>
          <t xml:space="preserve"> 26-1704</t>
        </r>
      </text>
    </comment>
    <comment ref="A880" authorId="0" shapeId="0" xr:uid="{2A39DB04-9466-4FB6-B4BE-A2D73EE242BC}">
      <text>
        <r>
          <rPr>
            <sz val="9"/>
            <color indexed="81"/>
            <rFont val="MS P ゴシック"/>
            <family val="3"/>
            <charset val="128"/>
          </rPr>
          <t xml:space="preserve"> 26-1915</t>
        </r>
      </text>
    </comment>
    <comment ref="A882" authorId="0" shapeId="0" xr:uid="{936000BF-0AAC-4424-8815-0BA4B42C6F98}">
      <text>
        <r>
          <rPr>
            <sz val="9"/>
            <color indexed="81"/>
            <rFont val="MS P ゴシック"/>
            <family val="3"/>
            <charset val="128"/>
          </rPr>
          <t xml:space="preserve"> 26-1967</t>
        </r>
      </text>
    </comment>
    <comment ref="A884" authorId="0" shapeId="0" xr:uid="{348EF10E-DB1C-4BC4-9DC2-AC0922EF6C3D}">
      <text>
        <r>
          <rPr>
            <sz val="9"/>
            <color indexed="81"/>
            <rFont val="MS P ゴシック"/>
            <family val="3"/>
            <charset val="128"/>
          </rPr>
          <t xml:space="preserve"> 26-2014</t>
        </r>
      </text>
    </comment>
    <comment ref="A886" authorId="0" shapeId="0" xr:uid="{AA4366D9-23E5-40EE-A4BC-87024AF34C6B}">
      <text>
        <r>
          <rPr>
            <sz val="9"/>
            <color indexed="81"/>
            <rFont val="MS P ゴシック"/>
            <family val="3"/>
            <charset val="128"/>
          </rPr>
          <t xml:space="preserve"> 26-2062</t>
        </r>
      </text>
    </comment>
    <comment ref="A888" authorId="0" shapeId="0" xr:uid="{E08BFC67-89BF-4765-95F7-949A6815400A}">
      <text>
        <r>
          <rPr>
            <sz val="9"/>
            <color indexed="81"/>
            <rFont val="MS P ゴシック"/>
            <family val="3"/>
            <charset val="128"/>
          </rPr>
          <t xml:space="preserve"> 26-2084</t>
        </r>
      </text>
    </comment>
    <comment ref="A890" authorId="0" shapeId="0" xr:uid="{3BB1ACBA-4C4B-4B77-8A26-58E7DABA6EA9}">
      <text>
        <r>
          <rPr>
            <sz val="9"/>
            <color indexed="81"/>
            <rFont val="MS P ゴシック"/>
            <family val="3"/>
            <charset val="128"/>
          </rPr>
          <t xml:space="preserve"> 26-2085</t>
        </r>
      </text>
    </comment>
    <comment ref="A892" authorId="0" shapeId="0" xr:uid="{571DA74E-3353-41BD-8805-705D4DCBF907}">
      <text>
        <r>
          <rPr>
            <sz val="9"/>
            <color indexed="81"/>
            <rFont val="MS P ゴシック"/>
            <family val="3"/>
            <charset val="128"/>
          </rPr>
          <t xml:space="preserve"> 26-2089</t>
        </r>
      </text>
    </comment>
    <comment ref="A894" authorId="0" shapeId="0" xr:uid="{295966F2-35D0-4A9D-8246-234A7843CAB6}">
      <text>
        <r>
          <rPr>
            <sz val="9"/>
            <color indexed="81"/>
            <rFont val="MS P ゴシック"/>
            <family val="3"/>
            <charset val="128"/>
          </rPr>
          <t xml:space="preserve"> 26-2167</t>
        </r>
      </text>
    </comment>
    <comment ref="A896" authorId="0" shapeId="0" xr:uid="{AE41305E-CCB1-48F0-AC0C-9D073F772C38}">
      <text>
        <r>
          <rPr>
            <sz val="9"/>
            <color indexed="81"/>
            <rFont val="MS P ゴシック"/>
            <family val="3"/>
            <charset val="128"/>
          </rPr>
          <t xml:space="preserve"> 26-2222</t>
        </r>
      </text>
    </comment>
    <comment ref="A898" authorId="0" shapeId="0" xr:uid="{68CB139E-1FB2-4874-9CAF-E0B52E76A111}">
      <text>
        <r>
          <rPr>
            <sz val="9"/>
            <color indexed="81"/>
            <rFont val="MS P ゴシック"/>
            <family val="3"/>
            <charset val="128"/>
          </rPr>
          <t xml:space="preserve"> 26-2246</t>
        </r>
      </text>
    </comment>
    <comment ref="A900" authorId="0" shapeId="0" xr:uid="{85D47B5D-5686-4DBE-94C1-30B1589EEC58}">
      <text>
        <r>
          <rPr>
            <sz val="9"/>
            <color indexed="81"/>
            <rFont val="MS P ゴシック"/>
            <family val="3"/>
            <charset val="128"/>
          </rPr>
          <t xml:space="preserve"> 26-2404</t>
        </r>
      </text>
    </comment>
    <comment ref="A902" authorId="0" shapeId="0" xr:uid="{FEA2E347-E2E9-4DEC-99AA-C2BB10E28A26}">
      <text>
        <r>
          <rPr>
            <sz val="9"/>
            <color indexed="81"/>
            <rFont val="MS P ゴシック"/>
            <family val="3"/>
            <charset val="128"/>
          </rPr>
          <t xml:space="preserve"> 26-2453</t>
        </r>
      </text>
    </comment>
    <comment ref="A904" authorId="0" shapeId="0" xr:uid="{AF1AC4A6-58BF-46B6-BCF5-DCB793FE7B0A}">
      <text>
        <r>
          <rPr>
            <sz val="9"/>
            <color indexed="81"/>
            <rFont val="MS P ゴシック"/>
            <family val="3"/>
            <charset val="128"/>
          </rPr>
          <t xml:space="preserve"> 26-2636</t>
        </r>
      </text>
    </comment>
    <comment ref="A906" authorId="0" shapeId="0" xr:uid="{7481FDBC-F79E-43DC-9611-C210B7E07262}">
      <text>
        <r>
          <rPr>
            <sz val="9"/>
            <color indexed="81"/>
            <rFont val="MS P ゴシック"/>
            <family val="3"/>
            <charset val="128"/>
          </rPr>
          <t xml:space="preserve"> 26-2649</t>
        </r>
      </text>
    </comment>
    <comment ref="A908" authorId="0" shapeId="0" xr:uid="{8D05B0DD-5D48-40DA-B931-9CCBEFE7D913}">
      <text>
        <r>
          <rPr>
            <sz val="9"/>
            <color indexed="81"/>
            <rFont val="MS P ゴシック"/>
            <family val="3"/>
            <charset val="128"/>
          </rPr>
          <t xml:space="preserve"> 26-2829</t>
        </r>
      </text>
    </comment>
    <comment ref="A910" authorId="0" shapeId="0" xr:uid="{F292733B-A777-41A4-8A09-5D1BC8AB1E7F}">
      <text>
        <r>
          <rPr>
            <sz val="9"/>
            <color indexed="81"/>
            <rFont val="MS P ゴシック"/>
            <family val="3"/>
            <charset val="128"/>
          </rPr>
          <t xml:space="preserve"> 26-2905</t>
        </r>
      </text>
    </comment>
    <comment ref="A912" authorId="0" shapeId="0" xr:uid="{77A4C041-FB43-4BE8-B7EF-7978C4838B48}">
      <text>
        <r>
          <rPr>
            <sz val="9"/>
            <color indexed="81"/>
            <rFont val="MS P ゴシック"/>
            <family val="3"/>
            <charset val="128"/>
          </rPr>
          <t xml:space="preserve"> 26-3078</t>
        </r>
      </text>
    </comment>
    <comment ref="A914" authorId="0" shapeId="0" xr:uid="{1935B061-BCA8-42E2-B02D-4A0B11BCB30B}">
      <text>
        <r>
          <rPr>
            <sz val="9"/>
            <color indexed="81"/>
            <rFont val="MS P ゴシック"/>
            <family val="3"/>
            <charset val="128"/>
          </rPr>
          <t xml:space="preserve"> 26-3347</t>
        </r>
      </text>
    </comment>
    <comment ref="A916" authorId="0" shapeId="0" xr:uid="{808E813C-2E0B-4324-88BD-A486E68E7986}">
      <text>
        <r>
          <rPr>
            <sz val="9"/>
            <color indexed="81"/>
            <rFont val="MS P ゴシック"/>
            <family val="3"/>
            <charset val="128"/>
          </rPr>
          <t xml:space="preserve"> 26-3375</t>
        </r>
      </text>
    </comment>
    <comment ref="A918" authorId="0" shapeId="0" xr:uid="{7714D310-0D00-4B2B-860A-7023D3D1B2E2}">
      <text>
        <r>
          <rPr>
            <sz val="9"/>
            <color indexed="81"/>
            <rFont val="MS P ゴシック"/>
            <family val="3"/>
            <charset val="128"/>
          </rPr>
          <t xml:space="preserve"> 26-3550</t>
        </r>
      </text>
    </comment>
    <comment ref="A920" authorId="0" shapeId="0" xr:uid="{CC2B09BA-1B79-4972-A455-D02019FCAD11}">
      <text>
        <r>
          <rPr>
            <sz val="9"/>
            <color indexed="81"/>
            <rFont val="MS P ゴシック"/>
            <family val="3"/>
            <charset val="128"/>
          </rPr>
          <t xml:space="preserve"> 26-3604</t>
        </r>
      </text>
    </comment>
    <comment ref="A922" authorId="0" shapeId="0" xr:uid="{A82F849F-0821-445E-9776-DA253CF223DD}">
      <text>
        <r>
          <rPr>
            <sz val="9"/>
            <color indexed="81"/>
            <rFont val="MS P ゴシック"/>
            <family val="3"/>
            <charset val="128"/>
          </rPr>
          <t xml:space="preserve"> 26-3884</t>
        </r>
      </text>
    </comment>
    <comment ref="A924" authorId="0" shapeId="0" xr:uid="{F4312408-8BCE-4551-9B77-7ABEFF5F4047}">
      <text>
        <r>
          <rPr>
            <sz val="9"/>
            <color indexed="81"/>
            <rFont val="MS P ゴシック"/>
            <family val="3"/>
            <charset val="128"/>
          </rPr>
          <t xml:space="preserve"> 26-3897</t>
        </r>
      </text>
    </comment>
    <comment ref="A926" authorId="0" shapeId="0" xr:uid="{C2E60CEC-F407-419D-96BE-0188344BFA84}">
      <text>
        <r>
          <rPr>
            <sz val="9"/>
            <color indexed="81"/>
            <rFont val="MS P ゴシック"/>
            <family val="3"/>
            <charset val="128"/>
          </rPr>
          <t xml:space="preserve"> 26-3946</t>
        </r>
      </text>
    </comment>
    <comment ref="A928" authorId="0" shapeId="0" xr:uid="{94556385-900D-4DD0-8525-AF7928E8FE05}">
      <text>
        <r>
          <rPr>
            <sz val="9"/>
            <color indexed="81"/>
            <rFont val="MS P ゴシック"/>
            <family val="3"/>
            <charset val="128"/>
          </rPr>
          <t xml:space="preserve"> 26-4075</t>
        </r>
      </text>
    </comment>
    <comment ref="A930" authorId="0" shapeId="0" xr:uid="{9746B4E2-DC08-4B83-88AB-C829F43C1EC7}">
      <text>
        <r>
          <rPr>
            <sz val="9"/>
            <color indexed="81"/>
            <rFont val="MS P ゴシック"/>
            <family val="3"/>
            <charset val="128"/>
          </rPr>
          <t xml:space="preserve"> 26-4280</t>
        </r>
      </text>
    </comment>
    <comment ref="A932" authorId="0" shapeId="0" xr:uid="{E99A48DE-A845-4AC0-8D15-D1B2AD8DDAC6}">
      <text>
        <r>
          <rPr>
            <sz val="9"/>
            <color indexed="81"/>
            <rFont val="MS P ゴシック"/>
            <family val="3"/>
            <charset val="128"/>
          </rPr>
          <t xml:space="preserve"> 26-4297</t>
        </r>
      </text>
    </comment>
    <comment ref="A934" authorId="0" shapeId="0" xr:uid="{18A6CE15-4179-4BAA-A192-B6F6BA1A8E4D}">
      <text>
        <r>
          <rPr>
            <sz val="9"/>
            <color indexed="81"/>
            <rFont val="MS P ゴシック"/>
            <family val="3"/>
            <charset val="128"/>
          </rPr>
          <t xml:space="preserve"> 26-4367</t>
        </r>
      </text>
    </comment>
    <comment ref="A936" authorId="0" shapeId="0" xr:uid="{92FE5D24-82EE-47B3-A909-73DBD92E0BBF}">
      <text>
        <r>
          <rPr>
            <sz val="9"/>
            <color indexed="81"/>
            <rFont val="MS P ゴシック"/>
            <family val="3"/>
            <charset val="128"/>
          </rPr>
          <t xml:space="preserve"> 26-4499</t>
        </r>
      </text>
    </comment>
    <comment ref="A938" authorId="0" shapeId="0" xr:uid="{2111E662-82C8-41B1-8AA5-22C2BC5EA0C2}">
      <text>
        <r>
          <rPr>
            <sz val="9"/>
            <color indexed="81"/>
            <rFont val="MS P ゴシック"/>
            <family val="3"/>
            <charset val="128"/>
          </rPr>
          <t xml:space="preserve"> 26-4648</t>
        </r>
      </text>
    </comment>
    <comment ref="A940" authorId="0" shapeId="0" xr:uid="{92619D62-4CF9-48E9-BD75-2F8CB7B7C750}">
      <text>
        <r>
          <rPr>
            <sz val="9"/>
            <color indexed="81"/>
            <rFont val="MS P ゴシック"/>
            <family val="3"/>
            <charset val="128"/>
          </rPr>
          <t xml:space="preserve"> 26-4699</t>
        </r>
      </text>
    </comment>
    <comment ref="A942" authorId="0" shapeId="0" xr:uid="{998BFAC4-AC67-4B1E-84A3-A54CCBA7E896}">
      <text>
        <r>
          <rPr>
            <sz val="9"/>
            <color indexed="81"/>
            <rFont val="MS P ゴシック"/>
            <family val="3"/>
            <charset val="128"/>
          </rPr>
          <t xml:space="preserve"> 26-4749</t>
        </r>
      </text>
    </comment>
    <comment ref="A944" authorId="0" shapeId="0" xr:uid="{AEC609DB-351D-4CAE-9FFA-64D00728070C}">
      <text>
        <r>
          <rPr>
            <sz val="9"/>
            <color indexed="81"/>
            <rFont val="MS P ゴシック"/>
            <family val="3"/>
            <charset val="128"/>
          </rPr>
          <t xml:space="preserve"> 26-4772</t>
        </r>
      </text>
    </comment>
    <comment ref="A946" authorId="0" shapeId="0" xr:uid="{51243DC5-7B7E-4778-B431-DDBF5FB92B9D}">
      <text>
        <r>
          <rPr>
            <sz val="9"/>
            <color indexed="81"/>
            <rFont val="MS P ゴシック"/>
            <family val="3"/>
            <charset val="128"/>
          </rPr>
          <t xml:space="preserve"> 26-4784</t>
        </r>
      </text>
    </comment>
    <comment ref="A948" authorId="0" shapeId="0" xr:uid="{5BB5C998-600B-445D-A470-F7BA4288716A}">
      <text>
        <r>
          <rPr>
            <sz val="9"/>
            <color indexed="81"/>
            <rFont val="MS P ゴシック"/>
            <family val="3"/>
            <charset val="128"/>
          </rPr>
          <t xml:space="preserve"> 26-4842</t>
        </r>
      </text>
    </comment>
    <comment ref="A950" authorId="0" shapeId="0" xr:uid="{ECA82C29-507C-4A6C-8F2F-DC57E9E730D3}">
      <text>
        <r>
          <rPr>
            <sz val="9"/>
            <color indexed="81"/>
            <rFont val="MS P ゴシック"/>
            <family val="3"/>
            <charset val="128"/>
          </rPr>
          <t xml:space="preserve"> 26-4870</t>
        </r>
      </text>
    </comment>
    <comment ref="A952" authorId="0" shapeId="0" xr:uid="{462DA9C7-2F51-4598-897F-197CA772C148}">
      <text>
        <r>
          <rPr>
            <sz val="9"/>
            <color indexed="81"/>
            <rFont val="MS P ゴシック"/>
            <family val="3"/>
            <charset val="128"/>
          </rPr>
          <t xml:space="preserve"> 26-4935</t>
        </r>
      </text>
    </comment>
    <comment ref="A954" authorId="0" shapeId="0" xr:uid="{98A90E3A-207E-49D6-9351-537617C5AA51}">
      <text>
        <r>
          <rPr>
            <sz val="9"/>
            <color indexed="81"/>
            <rFont val="MS P ゴシック"/>
            <family val="3"/>
            <charset val="128"/>
          </rPr>
          <t xml:space="preserve"> 26-5034</t>
        </r>
      </text>
    </comment>
    <comment ref="A956" authorId="0" shapeId="0" xr:uid="{89158516-98F3-4103-B4EA-5B528F241869}">
      <text>
        <r>
          <rPr>
            <sz val="9"/>
            <color indexed="81"/>
            <rFont val="MS P ゴシック"/>
            <family val="3"/>
            <charset val="128"/>
          </rPr>
          <t xml:space="preserve"> 26-5052</t>
        </r>
      </text>
    </comment>
    <comment ref="A958" authorId="0" shapeId="0" xr:uid="{6BCFC09F-AB5F-4114-BF56-A9586554A97D}">
      <text>
        <r>
          <rPr>
            <sz val="9"/>
            <color indexed="81"/>
            <rFont val="MS P ゴシック"/>
            <family val="3"/>
            <charset val="128"/>
          </rPr>
          <t xml:space="preserve"> 26-5156</t>
        </r>
      </text>
    </comment>
    <comment ref="A960" authorId="0" shapeId="0" xr:uid="{D2383065-9CF7-484D-9BB2-E7813FE4C592}">
      <text>
        <r>
          <rPr>
            <sz val="9"/>
            <color indexed="81"/>
            <rFont val="MS P ゴシック"/>
            <family val="3"/>
            <charset val="128"/>
          </rPr>
          <t xml:space="preserve"> 26-5250</t>
        </r>
      </text>
    </comment>
    <comment ref="A962" authorId="0" shapeId="0" xr:uid="{04AA9D84-70F0-42BC-9EFE-C5693D1199C1}">
      <text>
        <r>
          <rPr>
            <sz val="9"/>
            <color indexed="81"/>
            <rFont val="MS P ゴシック"/>
            <family val="3"/>
            <charset val="128"/>
          </rPr>
          <t xml:space="preserve"> 26-5324</t>
        </r>
      </text>
    </comment>
    <comment ref="A964" authorId="0" shapeId="0" xr:uid="{CD08F059-B691-4B1F-B51B-3B09B4E52880}">
      <text>
        <r>
          <rPr>
            <sz val="9"/>
            <color indexed="81"/>
            <rFont val="MS P ゴシック"/>
            <family val="3"/>
            <charset val="128"/>
          </rPr>
          <t xml:space="preserve"> 26-5365</t>
        </r>
      </text>
    </comment>
    <comment ref="A966" authorId="0" shapeId="0" xr:uid="{076F039F-F871-4C0A-8106-B6B83BE9DD76}">
      <text>
        <r>
          <rPr>
            <sz val="9"/>
            <color indexed="81"/>
            <rFont val="MS P ゴシック"/>
            <family val="3"/>
            <charset val="128"/>
          </rPr>
          <t xml:space="preserve"> 26-5533</t>
        </r>
      </text>
    </comment>
    <comment ref="A968" authorId="0" shapeId="0" xr:uid="{08DB1428-7D5D-4D88-B703-FDD7649CCF48}">
      <text>
        <r>
          <rPr>
            <sz val="9"/>
            <color indexed="81"/>
            <rFont val="MS P ゴシック"/>
            <family val="3"/>
            <charset val="128"/>
          </rPr>
          <t xml:space="preserve"> 26-5797</t>
        </r>
      </text>
    </comment>
    <comment ref="A970" authorId="0" shapeId="0" xr:uid="{A1304DFE-4DFB-478D-8E21-4B23E13AE8FE}">
      <text>
        <r>
          <rPr>
            <sz val="9"/>
            <color indexed="81"/>
            <rFont val="MS P ゴシック"/>
            <family val="3"/>
            <charset val="128"/>
          </rPr>
          <t xml:space="preserve"> 26-5829</t>
        </r>
      </text>
    </comment>
    <comment ref="A972" authorId="0" shapeId="0" xr:uid="{C5E530B6-C3FC-40E8-B7C8-1D261B96187C}">
      <text>
        <r>
          <rPr>
            <sz val="9"/>
            <color indexed="81"/>
            <rFont val="MS P ゴシック"/>
            <family val="3"/>
            <charset val="128"/>
          </rPr>
          <t xml:space="preserve"> 26-5987</t>
        </r>
      </text>
    </comment>
    <comment ref="A974" authorId="0" shapeId="0" xr:uid="{6DDC70B7-B743-495F-96C6-36704E12808F}">
      <text>
        <r>
          <rPr>
            <sz val="9"/>
            <color indexed="81"/>
            <rFont val="MS P ゴシック"/>
            <family val="3"/>
            <charset val="128"/>
          </rPr>
          <t xml:space="preserve"> 26-6000</t>
        </r>
      </text>
    </comment>
    <comment ref="A976" authorId="0" shapeId="0" xr:uid="{F5CDCA22-3D68-4E31-B57D-00E9442BC263}">
      <text>
        <r>
          <rPr>
            <sz val="9"/>
            <color indexed="81"/>
            <rFont val="MS P ゴシック"/>
            <family val="3"/>
            <charset val="128"/>
          </rPr>
          <t xml:space="preserve"> 26-6041</t>
        </r>
      </text>
    </comment>
    <comment ref="A978" authorId="0" shapeId="0" xr:uid="{77C6765B-6488-42DF-8C9E-543B7CCDFA3F}">
      <text>
        <r>
          <rPr>
            <sz val="9"/>
            <color indexed="81"/>
            <rFont val="MS P ゴシック"/>
            <family val="3"/>
            <charset val="128"/>
          </rPr>
          <t xml:space="preserve"> 26-6069</t>
        </r>
      </text>
    </comment>
    <comment ref="A980" authorId="0" shapeId="0" xr:uid="{CDA7DB47-BECF-4FC9-82FD-DBFA702B974E}">
      <text>
        <r>
          <rPr>
            <sz val="9"/>
            <color indexed="81"/>
            <rFont val="MS P ゴシック"/>
            <family val="3"/>
            <charset val="128"/>
          </rPr>
          <t xml:space="preserve"> 26-6076</t>
        </r>
      </text>
    </comment>
    <comment ref="A982" authorId="0" shapeId="0" xr:uid="{D1D435BC-BF2A-4FB1-B501-CAB282C72A76}">
      <text>
        <r>
          <rPr>
            <sz val="9"/>
            <color indexed="81"/>
            <rFont val="MS P ゴシック"/>
            <family val="3"/>
            <charset val="128"/>
          </rPr>
          <t xml:space="preserve"> 26-6304</t>
        </r>
      </text>
    </comment>
    <comment ref="A984" authorId="0" shapeId="0" xr:uid="{D090C457-7486-4829-900F-EBE1511E7C6B}">
      <text>
        <r>
          <rPr>
            <sz val="9"/>
            <color indexed="81"/>
            <rFont val="MS P ゴシック"/>
            <family val="3"/>
            <charset val="128"/>
          </rPr>
          <t xml:space="preserve"> 26-6342</t>
        </r>
      </text>
    </comment>
    <comment ref="A986" authorId="0" shapeId="0" xr:uid="{3206EE8D-0A98-4140-A2DF-8EB4292BCECC}">
      <text>
        <r>
          <rPr>
            <sz val="9"/>
            <color indexed="81"/>
            <rFont val="MS P ゴシック"/>
            <family val="3"/>
            <charset val="128"/>
          </rPr>
          <t xml:space="preserve"> 26-6424</t>
        </r>
      </text>
    </comment>
    <comment ref="A988" authorId="0" shapeId="0" xr:uid="{ADFE8A6F-18C1-42F6-B437-F166577CDE80}">
      <text>
        <r>
          <rPr>
            <sz val="9"/>
            <color indexed="81"/>
            <rFont val="MS P ゴシック"/>
            <family val="3"/>
            <charset val="128"/>
          </rPr>
          <t xml:space="preserve"> 26-6425</t>
        </r>
      </text>
    </comment>
    <comment ref="A990" authorId="0" shapeId="0" xr:uid="{020F0F6B-B609-4905-BF3D-3ADA96E3C78A}">
      <text>
        <r>
          <rPr>
            <sz val="9"/>
            <color indexed="81"/>
            <rFont val="MS P ゴシック"/>
            <family val="3"/>
            <charset val="128"/>
          </rPr>
          <t xml:space="preserve"> 26-6457</t>
        </r>
      </text>
    </comment>
    <comment ref="A992" authorId="0" shapeId="0" xr:uid="{9E03CB0F-58C9-4A17-B3EF-ABD373165FD0}">
      <text>
        <r>
          <rPr>
            <sz val="9"/>
            <color indexed="81"/>
            <rFont val="MS P ゴシック"/>
            <family val="3"/>
            <charset val="128"/>
          </rPr>
          <t xml:space="preserve"> 26-6508</t>
        </r>
      </text>
    </comment>
    <comment ref="A994" authorId="0" shapeId="0" xr:uid="{F7032269-18A6-4F8C-A0D3-1FCF31CC6AFC}">
      <text>
        <r>
          <rPr>
            <sz val="9"/>
            <color indexed="81"/>
            <rFont val="MS P ゴシック"/>
            <family val="3"/>
            <charset val="128"/>
          </rPr>
          <t xml:space="preserve"> 26-6536</t>
        </r>
      </text>
    </comment>
  </commentList>
</comments>
</file>

<file path=xl/sharedStrings.xml><?xml version="1.0" encoding="utf-8"?>
<sst xmlns="http://schemas.openxmlformats.org/spreadsheetml/2006/main" count="10707" uniqueCount="5745">
  <si>
    <t>前期のNo.</t>
  </si>
  <si>
    <t>仕入番号</t>
  </si>
  <si>
    <t>仕入れ日/仕入れ先</t>
  </si>
  <si>
    <t>回次/出品番号</t>
  </si>
  <si>
    <t>年式/色</t>
  </si>
  <si>
    <t>車名/車台番号</t>
  </si>
  <si>
    <t>車検/距離</t>
  </si>
  <si>
    <t>評価点</t>
  </si>
  <si>
    <t>車輌代</t>
  </si>
  <si>
    <t>消費税</t>
  </si>
  <si>
    <t>自税</t>
  </si>
  <si>
    <t>リサイクル</t>
  </si>
  <si>
    <t>落札料</t>
  </si>
  <si>
    <t>合計</t>
  </si>
  <si>
    <t>車輌番号/所有者</t>
  </si>
  <si>
    <t>付属品</t>
  </si>
  <si>
    <t>補足</t>
  </si>
  <si>
    <t>名義変更</t>
  </si>
  <si>
    <t>売上日/売上先</t>
  </si>
  <si>
    <t>入金日</t>
  </si>
  <si>
    <t>評価損</t>
    <rPh sb="0" eb="3">
      <t>ヒョウカソン</t>
    </rPh>
    <phoneticPr fontId="13"/>
  </si>
  <si>
    <t>評価損</t>
    <rPh sb="0" eb="3">
      <t>ヒョウカソン</t>
    </rPh>
    <phoneticPr fontId="1"/>
  </si>
  <si>
    <t>車輌代</t>
    <phoneticPr fontId="13"/>
  </si>
  <si>
    <t>消費税</t>
    <phoneticPr fontId="13"/>
  </si>
  <si>
    <t>在庫管理表 操作手順</t>
  </si>
  <si>
    <t>① 在庫管理表の本体シートで初期分類</t>
  </si>
  <si>
    <r>
      <t xml:space="preserve">本体シートでは、各在庫を </t>
    </r>
    <r>
      <rPr>
        <b/>
        <sz val="11"/>
        <color theme="1"/>
        <rFont val="游ゴシック"/>
        <family val="3"/>
        <charset val="128"/>
        <scheme val="minor"/>
      </rPr>
      <t>ベージュ（在庫候補）</t>
    </r>
    <r>
      <rPr>
        <sz val="11"/>
        <color theme="1"/>
        <rFont val="游ゴシック"/>
        <family val="2"/>
        <charset val="128"/>
        <scheme val="minor"/>
      </rPr>
      <t xml:space="preserve"> または </t>
    </r>
    <r>
      <rPr>
        <b/>
        <sz val="11"/>
        <color theme="1"/>
        <rFont val="游ゴシック"/>
        <family val="3"/>
        <charset val="128"/>
        <scheme val="minor"/>
      </rPr>
      <t>黄色（売約候補）</t>
    </r>
    <r>
      <rPr>
        <sz val="11"/>
        <color theme="1"/>
        <rFont val="游ゴシック"/>
        <family val="2"/>
        <charset val="128"/>
        <scheme val="minor"/>
      </rPr>
      <t xml:space="preserve"> に色分けします。</t>
    </r>
  </si>
  <si>
    <t>その後「振り分け」マクロを実行すると、売上有無（AX列）と色に応じて各シートへ自動分類されます。</t>
  </si>
  <si>
    <t>振り分けルール</t>
  </si>
  <si>
    <t>ベージュ + 売上なし（AX列=0）</t>
  </si>
  <si>
    <r>
      <t xml:space="preserve">　→ </t>
    </r>
    <r>
      <rPr>
        <b/>
        <sz val="11"/>
        <color theme="1"/>
        <rFont val="游ゴシック"/>
        <family val="3"/>
        <charset val="128"/>
        <scheme val="minor"/>
      </rPr>
      <t>在庫有</t>
    </r>
    <r>
      <rPr>
        <sz val="11"/>
        <color theme="1"/>
        <rFont val="游ゴシック"/>
        <family val="2"/>
        <charset val="128"/>
        <scheme val="minor"/>
      </rPr>
      <t xml:space="preserve"> シート</t>
    </r>
  </si>
  <si>
    <t>ベージュ + 売上あり（AX列≠0）</t>
  </si>
  <si>
    <r>
      <t xml:space="preserve">　→ </t>
    </r>
    <r>
      <rPr>
        <b/>
        <sz val="11"/>
        <color theme="1"/>
        <rFont val="游ゴシック"/>
        <family val="3"/>
        <charset val="128"/>
        <scheme val="minor"/>
      </rPr>
      <t>不明</t>
    </r>
    <r>
      <rPr>
        <sz val="11"/>
        <color theme="1"/>
        <rFont val="游ゴシック"/>
        <family val="2"/>
        <charset val="128"/>
        <scheme val="minor"/>
      </rPr>
      <t xml:space="preserve"> シート</t>
    </r>
  </si>
  <si>
    <t>黄色 + 売上あり（AX列≠0）</t>
  </si>
  <si>
    <r>
      <t xml:space="preserve">　→ </t>
    </r>
    <r>
      <rPr>
        <b/>
        <sz val="11"/>
        <color theme="1"/>
        <rFont val="游ゴシック"/>
        <family val="3"/>
        <charset val="128"/>
        <scheme val="minor"/>
      </rPr>
      <t>売約済</t>
    </r>
    <r>
      <rPr>
        <sz val="11"/>
        <color theme="1"/>
        <rFont val="游ゴシック"/>
        <family val="2"/>
        <charset val="128"/>
        <scheme val="minor"/>
      </rPr>
      <t xml:space="preserve"> シート</t>
    </r>
  </si>
  <si>
    <t>黄色 + 売上なし（AX列=0）</t>
  </si>
  <si>
    <t>② 各シートで確認・再判定</t>
  </si>
  <si>
    <t>振り分け後、各シートで仕入番号照合や目視確認を行い、色を変更して最終判定します。</t>
  </si>
  <si>
    <t>不明シート</t>
  </si>
  <si>
    <t>初期状態：青色（要確認）</t>
  </si>
  <si>
    <t>ベージュ</t>
  </si>
  <si>
    <t>　→ 在庫あり確定</t>
  </si>
  <si>
    <t>黄色</t>
  </si>
  <si>
    <t>　→ 売約済</t>
  </si>
  <si>
    <t>青</t>
  </si>
  <si>
    <t>　→ 不明のまま保留</t>
  </si>
  <si>
    <t>在庫有シート</t>
  </si>
  <si>
    <t>初期状態：赤色（要確認）</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</si>
  <si>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</si>
  <si>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</si>
  <si>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</si>
  <si>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</si>
  <si>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</si>
  <si>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</si>
  <si>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</si>
  <si>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</si>
  <si>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</si>
  <si>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</si>
  <si>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</si>
  <si>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</si>
  <si>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</si>
  <si>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</si>
  <si>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</si>
  <si>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r>
      <t>ベージュ</t>
    </r>
    <r>
      <rPr>
        <sz val="11"/>
        <color theme="1"/>
        <rFont val="游ゴシック"/>
        <family val="2"/>
        <charset val="128"/>
        <scheme val="minor"/>
      </rPr>
      <t xml:space="preserve"> ：在庫あり確定候補</t>
    </r>
  </si>
  <si>
    <r>
      <t>黄色</t>
    </r>
    <r>
      <rPr>
        <sz val="11"/>
        <color theme="1"/>
        <rFont val="游ゴシック"/>
        <family val="2"/>
        <charset val="128"/>
        <scheme val="minor"/>
      </rPr>
      <t xml:space="preserve"> ：売約済候補</t>
    </r>
  </si>
  <si>
    <r>
      <t>青</t>
    </r>
    <r>
      <rPr>
        <sz val="11"/>
        <color theme="1"/>
        <rFont val="游ゴシック"/>
        <family val="2"/>
        <charset val="128"/>
        <scheme val="minor"/>
      </rPr>
      <t xml:space="preserve"> ：不明・確認待ち</t>
    </r>
  </si>
  <si>
    <r>
      <t>赤</t>
    </r>
    <r>
      <rPr>
        <sz val="11"/>
        <color theme="1"/>
        <rFont val="游ゴシック"/>
        <family val="2"/>
        <charset val="128"/>
        <scheme val="minor"/>
      </rPr>
      <t xml:space="preserve"> ：在庫有・確認待ち</t>
    </r>
  </si>
  <si>
    <t>基本操作ルール</t>
  </si>
  <si>
    <r>
      <t xml:space="preserve">操作対象は </t>
    </r>
    <r>
      <rPr>
        <b/>
        <sz val="11"/>
        <color theme="1"/>
        <rFont val="游ゴシック"/>
        <family val="3"/>
        <charset val="128"/>
        <scheme val="minor"/>
      </rPr>
      <t>10行目以降</t>
    </r>
  </si>
  <si>
    <t>1～9行目は見出しのため操作禁止</t>
  </si>
  <si>
    <t>色変更は対象在庫を選択して実行</t>
  </si>
  <si>
    <t>奇数行・偶数行どちらを選択しても、その在庫セット（2行1組）のA列に反映</t>
  </si>
  <si>
    <t>推奨フロー</t>
  </si>
  <si>
    <t>本体シートで色付け</t>
  </si>
  <si>
    <r>
      <t xml:space="preserve">→ </t>
    </r>
    <r>
      <rPr>
        <b/>
        <sz val="11"/>
        <color theme="1"/>
        <rFont val="游ゴシック"/>
        <family val="3"/>
        <charset val="128"/>
        <scheme val="minor"/>
      </rPr>
      <t>振り分け</t>
    </r>
  </si>
  <si>
    <r>
      <t xml:space="preserve">→ </t>
    </r>
    <r>
      <rPr>
        <b/>
        <sz val="11"/>
        <color theme="1"/>
        <rFont val="游ゴシック"/>
        <family val="3"/>
        <charset val="128"/>
        <scheme val="minor"/>
      </rPr>
      <t>不明 / 在庫有 / 売約済 で確認・色修正</t>
    </r>
  </si>
  <si>
    <r>
      <t xml:space="preserve">→ </t>
    </r>
    <r>
      <rPr>
        <b/>
        <sz val="11"/>
        <color theme="1"/>
        <rFont val="游ゴシック"/>
        <family val="3"/>
        <charset val="128"/>
        <scheme val="minor"/>
      </rPr>
      <t>確定書き出し</t>
    </r>
  </si>
  <si>
    <r>
      <t xml:space="preserve">→ </t>
    </r>
    <r>
      <rPr>
        <b/>
        <sz val="11"/>
        <color theme="1"/>
        <rFont val="游ゴシック"/>
        <family val="3"/>
        <charset val="128"/>
        <scheme val="minor"/>
      </rPr>
      <t>在庫有確定シート完成</t>
    </r>
  </si>
  <si>
    <t>前期のNo.</t>
    <phoneticPr fontId="13"/>
  </si>
  <si>
    <t>※ 表記が崩れないように1~9行目を保護しています。マクロを動かす前後に自動で解除/再保護されます</t>
    <rPh sb="2" eb="4">
      <t>ヒョウキ</t>
    </rPh>
    <rPh sb="5" eb="6">
      <t>クズ</t>
    </rPh>
    <rPh sb="15" eb="17">
      <t>ギョウメ</t>
    </rPh>
    <rPh sb="18" eb="20">
      <t>ホゴ</t>
    </rPh>
    <rPh sb="30" eb="31">
      <t>ウゴ</t>
    </rPh>
    <rPh sb="33" eb="35">
      <t>ゼンゴ</t>
    </rPh>
    <rPh sb="36" eb="38">
      <t>ジドウ</t>
    </rPh>
    <rPh sb="39" eb="41">
      <t>カイジョ</t>
    </rPh>
    <rPh sb="42" eb="45">
      <t>サイホゴ</t>
    </rPh>
    <phoneticPr fontId="1"/>
  </si>
  <si>
    <t>28/3</t>
  </si>
  <si>
    <t>ﾜｺﾞﾝR FXﾘﾐﾃｯﾄﾞ</t>
  </si>
  <si>
    <t>予定</t>
  </si>
  <si>
    <t>取説 保証書</t>
  </si>
  <si>
    <t>ｵｰｸﾈｯﾄ</t>
  </si>
  <si>
    <t>ﾍﾞｰｼﾞｭ</t>
  </si>
  <si>
    <t>着</t>
  </si>
  <si>
    <t>4/5</t>
  </si>
  <si>
    <t>R27-002</t>
  </si>
  <si>
    <t>取説 保証書 ﾜﾝｵｰﾅｰ</t>
  </si>
  <si>
    <t>Sellca</t>
  </si>
  <si>
    <t>ｸﾞﾚｰ</t>
  </si>
  <si>
    <t>2/14</t>
  </si>
  <si>
    <t>R27-003</t>
  </si>
  <si>
    <t>27/6</t>
    <phoneticPr fontId="13"/>
  </si>
  <si>
    <t>ﾊﾟｰﾙ</t>
    <phoneticPr fontId="13"/>
  </si>
  <si>
    <t>保証書 取説 ｷｰﾚｽ</t>
    <rPh sb="0" eb="3">
      <t>ホショウショ</t>
    </rPh>
    <rPh sb="4" eb="6">
      <t>トリセツ</t>
    </rPh>
    <phoneticPr fontId="13"/>
  </si>
  <si>
    <t>R27-001</t>
  </si>
  <si>
    <t>R27-004</t>
  </si>
  <si>
    <t>22/12</t>
  </si>
  <si>
    <t>USS横浜</t>
  </si>
  <si>
    <t>白</t>
  </si>
  <si>
    <t>保証書　取説　ｷｰﾚｽ</t>
  </si>
  <si>
    <t>抹消</t>
    <rPh sb="0" eb="2">
      <t>マッショウ</t>
    </rPh>
    <phoneticPr fontId="13"/>
  </si>
  <si>
    <t>USS神戸</t>
    <rPh sb="3" eb="5">
      <t>コウベ</t>
    </rPh>
    <phoneticPr fontId="13"/>
  </si>
  <si>
    <t>R27-005</t>
  </si>
  <si>
    <t>26/12</t>
    <phoneticPr fontId="13"/>
  </si>
  <si>
    <t>TAA広島</t>
    <rPh sb="3" eb="5">
      <t>ヒロシマ</t>
    </rPh>
    <phoneticPr fontId="13"/>
  </si>
  <si>
    <t>赤Ⅱ</t>
    <rPh sb="0" eb="1">
      <t>アカ</t>
    </rPh>
    <phoneticPr fontId="13"/>
  </si>
  <si>
    <t>株式会社ｻｺﾀﾞ車輌</t>
    <rPh sb="0" eb="4">
      <t>カブシキガイシャ</t>
    </rPh>
    <rPh sb="8" eb="10">
      <t>シャリョウ</t>
    </rPh>
    <phoneticPr fontId="13"/>
  </si>
  <si>
    <t>2/13</t>
    <phoneticPr fontId="13"/>
  </si>
  <si>
    <t>R27-006</t>
  </si>
  <si>
    <t>20回</t>
  </si>
  <si>
    <t>27/11</t>
  </si>
  <si>
    <t>ﾌｨｱｯﾄ500X ﾎﾟｯﾌﾟｽﾀｰﾌﾟﾗｽ</t>
  </si>
  <si>
    <t>MIRIVE愛知(ｱｲｵｰｸ）</t>
  </si>
  <si>
    <t>R27-007</t>
  </si>
  <si>
    <t>1824回</t>
  </si>
  <si>
    <t>28/2</t>
  </si>
  <si>
    <t>33/2</t>
  </si>
  <si>
    <t>USS名古屋</t>
  </si>
  <si>
    <t>1/16</t>
  </si>
  <si>
    <t>抹消済</t>
    <phoneticPr fontId="13"/>
  </si>
  <si>
    <t>ベージュ</t>
    <phoneticPr fontId="1"/>
  </si>
  <si>
    <t>仕入番号照合を行い、一致するものがあればベージュに変換される。ないものは引き続き赤色</t>
    <rPh sb="0" eb="4">
      <t>シイレバンゴウ</t>
    </rPh>
    <rPh sb="4" eb="6">
      <t>ショウゴウ</t>
    </rPh>
    <rPh sb="7" eb="8">
      <t>オコナ</t>
    </rPh>
    <rPh sb="10" eb="12">
      <t>イッチ</t>
    </rPh>
    <rPh sb="25" eb="27">
      <t>ヘンカン</t>
    </rPh>
    <rPh sb="36" eb="37">
      <t>ヒ</t>
    </rPh>
    <rPh sb="38" eb="39">
      <t>ツヅ</t>
    </rPh>
    <rPh sb="40" eb="42">
      <t>アカイロ</t>
    </rPh>
    <phoneticPr fontId="1"/>
  </si>
  <si>
    <t>仕入番号照合を行い、一致するものがあればベージュに変換される。ないものは引き続き青色</t>
    <rPh sb="0" eb="4">
      <t>シイレバンゴウ</t>
    </rPh>
    <rPh sb="4" eb="6">
      <t>ショウゴウ</t>
    </rPh>
    <rPh sb="7" eb="8">
      <t>オコナ</t>
    </rPh>
    <rPh sb="10" eb="12">
      <t>イッチ</t>
    </rPh>
    <rPh sb="25" eb="27">
      <t>ヘンカン</t>
    </rPh>
    <rPh sb="36" eb="37">
      <t>ヒ</t>
    </rPh>
    <rPh sb="38" eb="39">
      <t>ツヅ</t>
    </rPh>
    <rPh sb="40" eb="42">
      <t>アオイロ</t>
    </rPh>
    <phoneticPr fontId="1"/>
  </si>
  <si>
    <t>残った仕入れ番号シートにファイルの仕入番号リストを貼り付けてから照合してください</t>
    <rPh sb="0" eb="1">
      <t>ノコ</t>
    </rPh>
    <rPh sb="3" eb="5">
      <t>シイ</t>
    </rPh>
    <rPh sb="6" eb="8">
      <t>バンゴウ</t>
    </rPh>
    <rPh sb="32" eb="34">
      <t>ショウゴウ</t>
    </rPh>
    <phoneticPr fontId="1"/>
  </si>
  <si>
    <t>年式/色</t>
    <phoneticPr fontId="13"/>
  </si>
  <si>
    <t>保証書</t>
    <rPh sb="0" eb="3">
      <t>ホショウショ</t>
    </rPh>
    <phoneticPr fontId="13"/>
  </si>
  <si>
    <t>27-001</t>
    <phoneticPr fontId="13"/>
  </si>
  <si>
    <t>88’</t>
  </si>
  <si>
    <t>ｼﾄﾛｴﾝ　ﾁｬｰﾙｽﾄﾝMTｷｬﾝﾊﾞｽﾄｯﾌﾟ</t>
  </si>
  <si>
    <t>振り込み　735</t>
  </si>
  <si>
    <t>ｼｰﾄ修理　8000</t>
  </si>
  <si>
    <t>TAP出品　3675</t>
  </si>
  <si>
    <t>島根　50　さ　3593</t>
  </si>
  <si>
    <t>ﾜｲｽﾞ</t>
  </si>
  <si>
    <t>ｸﾞﾚｰ/ｸﾛ</t>
  </si>
  <si>
    <t>VF7AZKA00KA325440</t>
  </si>
  <si>
    <t>ﾘﾌﾄﾄｯﾌﾟ　64620+735</t>
  </si>
  <si>
    <t>ペイント　220500</t>
  </si>
  <si>
    <t>黒田商会　100800</t>
  </si>
  <si>
    <t>黒田商会　29400</t>
  </si>
  <si>
    <t>田原　秀行</t>
  </si>
  <si>
    <t>27-002</t>
  </si>
  <si>
    <t>89’</t>
  </si>
  <si>
    <t>BMW　635CSI</t>
  </si>
  <si>
    <t>大阪　300　ま　4361</t>
  </si>
  <si>
    <t>HAA</t>
  </si>
  <si>
    <t>ﾛｲﾔﾙﾌﾞﾙｰ</t>
  </si>
  <si>
    <t>WBAEC890900766577</t>
  </si>
  <si>
    <t>抹消　685</t>
  </si>
  <si>
    <t>脇　厚生</t>
  </si>
  <si>
    <t>抹消済</t>
    <rPh sb="0" eb="2">
      <t>マッショウ</t>
    </rPh>
    <rPh sb="2" eb="3">
      <t>ズ</t>
    </rPh>
    <phoneticPr fontId="13"/>
  </si>
  <si>
    <t>27-003</t>
  </si>
  <si>
    <t>95’</t>
  </si>
  <si>
    <t>ﾎﾞﾙﾎﾞ　ﾎﾟﾗｰﾙｴｽﾃｰﾄ</t>
  </si>
  <si>
    <t>姫路　300　て　6488</t>
  </si>
  <si>
    <t>ﾜｲﾝ</t>
    <phoneticPr fontId="13"/>
  </si>
  <si>
    <t>YV1945856S1133839</t>
  </si>
  <si>
    <t>商品車　2700+500</t>
  </si>
  <si>
    <t>HA出品（4回）　16800</t>
  </si>
  <si>
    <t>テール　10000</t>
  </si>
  <si>
    <t>自税　45000</t>
  </si>
  <si>
    <t>斎藤　祐一郎</t>
  </si>
  <si>
    <t>27-004</t>
  </si>
  <si>
    <t>98’</t>
  </si>
  <si>
    <t>ｱｳﾃﾞｨA6　2.8ｸﾜﾄﾛ</t>
  </si>
  <si>
    <t>名古屋　302　に　5618</t>
  </si>
  <si>
    <t>ZIP大阪</t>
  </si>
  <si>
    <t>ｼﾙﾊﾞｰ</t>
  </si>
  <si>
    <t>WAUZZZ4BZWN155878</t>
  </si>
  <si>
    <t>抹消　850</t>
  </si>
  <si>
    <t>(株)ﾔﾅｾ</t>
    <phoneticPr fontId="13"/>
  </si>
  <si>
    <t>27-005</t>
  </si>
  <si>
    <t>94’</t>
  </si>
  <si>
    <t>ｼﾞｬｶﾞｰ　XJ6</t>
  </si>
  <si>
    <t>横浜　34　た　1386</t>
  </si>
  <si>
    <t>JAA</t>
  </si>
  <si>
    <t>ｶﾞﾝﾒﾀ</t>
  </si>
  <si>
    <t>SAJJFKLD3AJ696574</t>
  </si>
  <si>
    <t>振り込　735　　　　　</t>
  </si>
  <si>
    <t>陸送　21000</t>
  </si>
  <si>
    <t>(株)ｳｯﾄﾞｽﾃｯｸ</t>
    <rPh sb="0" eb="3">
      <t>カブシキガイシャ</t>
    </rPh>
    <phoneticPr fontId="13"/>
  </si>
  <si>
    <t>保証書 取説</t>
    <rPh sb="0" eb="3">
      <t>ホショウショ</t>
    </rPh>
    <rPh sb="4" eb="5">
      <t>トリ</t>
    </rPh>
    <rPh sb="5" eb="6">
      <t>セツ</t>
    </rPh>
    <phoneticPr fontId="13"/>
  </si>
  <si>
    <t>27-006</t>
  </si>
  <si>
    <t>01’</t>
  </si>
  <si>
    <t>ﾌﾟｼﾞｮｰ　406　ﾌﾞﾚｲｸ</t>
  </si>
  <si>
    <t>岡山　331　と　567</t>
  </si>
  <si>
    <t>ｵｰｸﾈｯﾄ</t>
    <phoneticPr fontId="13"/>
  </si>
  <si>
    <t>VF38ERFVP80452098</t>
  </si>
  <si>
    <t>商品車　2700+1440+500</t>
  </si>
  <si>
    <t>TV出品（2回）　5906</t>
  </si>
  <si>
    <t>東合商事(株)</t>
  </si>
  <si>
    <t>取説 ｺｰﾄﾞｶｰﾄﾞ</t>
    <rPh sb="0" eb="1">
      <t>トリ</t>
    </rPh>
    <rPh sb="1" eb="2">
      <t>セツ</t>
    </rPh>
    <phoneticPr fontId="13"/>
  </si>
  <si>
    <t>27-007</t>
  </si>
  <si>
    <t>ｼﾄﾛｴﾝ　C5　2.0</t>
  </si>
  <si>
    <t>品川　399　の　3789</t>
  </si>
  <si>
    <t>ｸﾞﾘｰﾝ</t>
  </si>
  <si>
    <t>VF7DCRFNE76078697</t>
  </si>
  <si>
    <t>TV出品　9825</t>
  </si>
  <si>
    <t>HA出品（6回）　33600</t>
  </si>
  <si>
    <t>(株)ｶﾞﾘﾊﾞｰｲﾝﾀｰﾅｼｮﾅﾙ</t>
    <phoneticPr fontId="13"/>
  </si>
  <si>
    <t>27-008</t>
  </si>
  <si>
    <t>MﾍﾞﾝﾂE280</t>
  </si>
  <si>
    <t>姫路　300　は　7511</t>
  </si>
  <si>
    <t>日下</t>
  </si>
  <si>
    <t>WDB1240282C220293</t>
  </si>
  <si>
    <t>日下　正信</t>
  </si>
  <si>
    <t>27-009</t>
  </si>
  <si>
    <t>ｱｳﾃﾞｨA6</t>
  </si>
  <si>
    <t>静岡　330　さ　545</t>
  </si>
  <si>
    <t>NAA名古屋</t>
  </si>
  <si>
    <t>WAUZZZ4BZXN000202</t>
  </si>
  <si>
    <t>振り込　630　　　　陸送　　　12600</t>
  </si>
  <si>
    <t>日産ﾌﾟﾘｳｽ静岡販売(株)</t>
    <phoneticPr fontId="13"/>
  </si>
  <si>
    <t>抹消済</t>
    <rPh sb="0" eb="3">
      <t>マッショウズ</t>
    </rPh>
    <phoneticPr fontId="13"/>
  </si>
  <si>
    <t>27-010</t>
  </si>
  <si>
    <t>00’</t>
  </si>
  <si>
    <t>ｱｳﾃﾞｨA4 ｱﾊﾞﾝﾄ</t>
  </si>
  <si>
    <t>豊田　300　そ　4875</t>
  </si>
  <si>
    <t>ﾌﾞﾙｰ</t>
  </si>
  <si>
    <t>WAUZZZ8DZYA179174</t>
  </si>
  <si>
    <t>HAA出品(2回）11025</t>
    <rPh sb="7" eb="8">
      <t>カイ</t>
    </rPh>
    <phoneticPr fontId="13"/>
  </si>
  <si>
    <t>中央金属(株)</t>
  </si>
  <si>
    <t>27-011</t>
  </si>
  <si>
    <t>04’</t>
  </si>
  <si>
    <t>ﾎﾞﾙﾎﾞ　S80　T-6</t>
  </si>
  <si>
    <t>神戸　399　は　3151</t>
  </si>
  <si>
    <t>紺</t>
  </si>
  <si>
    <t>YV1TS91J541365234</t>
  </si>
  <si>
    <t>(株)HAA神戸</t>
  </si>
  <si>
    <t>27-012</t>
  </si>
  <si>
    <t>475回</t>
  </si>
  <si>
    <t>02’</t>
  </si>
  <si>
    <t>BMW　525I　ﾂｰﾘﾝｸﾞ</t>
  </si>
  <si>
    <t>神戸　399　は　4714</t>
  </si>
  <si>
    <t>WBADS42040BZ42098</t>
  </si>
  <si>
    <t>(株)ﾓﾄｰﾚﾝ兵庫</t>
    <rPh sb="0" eb="3">
      <t>カブシキガイシャ</t>
    </rPh>
    <rPh sb="8" eb="10">
      <t>ヒョウゴ</t>
    </rPh>
    <phoneticPr fontId="13"/>
  </si>
  <si>
    <t>保証書 取説(R4.1217探し中)</t>
    <rPh sb="0" eb="3">
      <t>ホショウショ</t>
    </rPh>
    <rPh sb="4" eb="5">
      <t>トリ</t>
    </rPh>
    <rPh sb="5" eb="6">
      <t>セツ</t>
    </rPh>
    <rPh sb="14" eb="15">
      <t>サガ</t>
    </rPh>
    <rPh sb="16" eb="17">
      <t>チュウ</t>
    </rPh>
    <phoneticPr fontId="13"/>
  </si>
  <si>
    <t>27-013</t>
  </si>
  <si>
    <t>345回</t>
  </si>
  <si>
    <t>MﾍﾞﾝﾂE320　AVG</t>
  </si>
  <si>
    <t>川崎　399　た　9119</t>
  </si>
  <si>
    <t>ｸﾞﾚｰ</t>
    <phoneticPr fontId="13"/>
  </si>
  <si>
    <t>WDB2102652B006681</t>
  </si>
  <si>
    <t>振り込　630</t>
  </si>
  <si>
    <t>(株)ﾜｰｸｽ横浜</t>
    <rPh sb="0" eb="3">
      <t>カブシキガイシャ</t>
    </rPh>
    <rPh sb="7" eb="9">
      <t>ヨコハマ</t>
    </rPh>
    <phoneticPr fontId="13"/>
  </si>
  <si>
    <t>27-014</t>
  </si>
  <si>
    <t>371回</t>
  </si>
  <si>
    <t>03’</t>
  </si>
  <si>
    <t>Mﾍﾞﾝﾂ　E500　AVG</t>
  </si>
  <si>
    <t>浜松　330　ろ　215</t>
  </si>
  <si>
    <t>WDB2110702A146633</t>
  </si>
  <si>
    <t>市川　恭大</t>
  </si>
  <si>
    <t>保証書 ﾅﾋﾞﾛﾑ</t>
    <rPh sb="0" eb="3">
      <t>ホショウショ</t>
    </rPh>
    <phoneticPr fontId="13"/>
  </si>
  <si>
    <t>27-015</t>
  </si>
  <si>
    <t>857回</t>
  </si>
  <si>
    <t>06’</t>
  </si>
  <si>
    <t>BMW　323I</t>
  </si>
  <si>
    <t>練馬　330　さ　3393</t>
  </si>
  <si>
    <t>USS東京</t>
  </si>
  <si>
    <t>ﾁﾀﾝｼﾙﾊﾞｰ</t>
  </si>
  <si>
    <t>WBAVB56020NK82324</t>
  </si>
  <si>
    <t>陸送　19425　　HAA出品（9回）　　50400</t>
  </si>
  <si>
    <t>（株）東立</t>
  </si>
  <si>
    <t>27-016</t>
  </si>
  <si>
    <t>2722回</t>
  </si>
  <si>
    <t>ｱｳﾃﾞｨS4</t>
  </si>
  <si>
    <t>練馬　330　み　3710</t>
  </si>
  <si>
    <t>WAUZZZ8E75A041936</t>
  </si>
  <si>
    <t>東京ｽﾊﾞﾙ(株)</t>
    <rPh sb="0" eb="2">
      <t>トウキョウ</t>
    </rPh>
    <rPh sb="6" eb="9">
      <t>カブシキガイシャ</t>
    </rPh>
    <phoneticPr fontId="13"/>
  </si>
  <si>
    <t>保証書 取説 ｷｰﾚｽ</t>
    <rPh sb="0" eb="3">
      <t>ホショウショ</t>
    </rPh>
    <rPh sb="4" eb="5">
      <t>トリ</t>
    </rPh>
    <rPh sb="5" eb="6">
      <t>セツ</t>
    </rPh>
    <phoneticPr fontId="13"/>
  </si>
  <si>
    <t>27-017</t>
  </si>
  <si>
    <t>639回</t>
  </si>
  <si>
    <t>MﾍﾞﾝﾂS600L</t>
  </si>
  <si>
    <t>名古屋　399　ら　7008</t>
  </si>
  <si>
    <t>WDB2201761A335167</t>
  </si>
  <si>
    <t>(株)ﾔﾅｾ</t>
    <rPh sb="0" eb="3">
      <t>カブシキガイシャ</t>
    </rPh>
    <phoneticPr fontId="13"/>
  </si>
  <si>
    <t>保証書 取説 ﾅﾋﾞﾛﾑ</t>
    <rPh sb="0" eb="3">
      <t>ホショウショ</t>
    </rPh>
    <rPh sb="4" eb="5">
      <t>トリ</t>
    </rPh>
    <rPh sb="5" eb="6">
      <t>セツ</t>
    </rPh>
    <phoneticPr fontId="13"/>
  </si>
  <si>
    <t>27-018</t>
  </si>
  <si>
    <t>18/12</t>
    <phoneticPr fontId="13"/>
  </si>
  <si>
    <t>社</t>
    <rPh sb="0" eb="1">
      <t>シャ</t>
    </rPh>
    <phoneticPr fontId="13"/>
  </si>
  <si>
    <t>BMW335I</t>
  </si>
  <si>
    <t>練馬　301　ひ　7923</t>
  </si>
  <si>
    <t>WBAWB72010P051442</t>
  </si>
  <si>
    <t>野中　智子</t>
  </si>
  <si>
    <t>保証書 取説</t>
    <rPh sb="0" eb="3">
      <t>ホショウショ</t>
    </rPh>
    <rPh sb="4" eb="6">
      <t>トリセツ</t>
    </rPh>
    <phoneticPr fontId="13"/>
  </si>
  <si>
    <t>27-019</t>
  </si>
  <si>
    <t>6973回</t>
  </si>
  <si>
    <t>18/5</t>
  </si>
  <si>
    <t>BMWﾐﾆｸｰﾊﾟｰ ｾﾌﾞﾝ</t>
  </si>
  <si>
    <t>三重　501　の　7990</t>
  </si>
  <si>
    <t>TAA中部</t>
  </si>
  <si>
    <t>WMWRC32010TJ27929</t>
  </si>
  <si>
    <t>ﾈｯﾂﾄﾖﾀ三重(株)</t>
    <rPh sb="6" eb="8">
      <t>ミエ</t>
    </rPh>
    <rPh sb="8" eb="11">
      <t>カブシキガイシャ</t>
    </rPh>
    <phoneticPr fontId="13"/>
  </si>
  <si>
    <t>27-020</t>
  </si>
  <si>
    <t>702回</t>
  </si>
  <si>
    <t>19/4</t>
  </si>
  <si>
    <t>BMWﾐﾆｸｰﾊﾟｰS</t>
  </si>
  <si>
    <t>奈良　501　に　8805</t>
  </si>
  <si>
    <t>WMWMF72080TL38070</t>
  </si>
  <si>
    <t>奈良日産自動車（株）</t>
  </si>
  <si>
    <t>ﾜﾝｵｰﾅｰ</t>
    <phoneticPr fontId="13"/>
  </si>
  <si>
    <t>27-021</t>
  </si>
  <si>
    <t>1762回</t>
  </si>
  <si>
    <t>17/8</t>
  </si>
  <si>
    <t>26/8</t>
  </si>
  <si>
    <t>大阪　539　さ　1107</t>
  </si>
  <si>
    <t>ﾍﾞｲｵｰｸ（まとめ）</t>
    <phoneticPr fontId="13"/>
  </si>
  <si>
    <t>ｼﾙﾊﾞｰⅡ</t>
  </si>
  <si>
    <t>WMWRC32020TJ23615</t>
  </si>
  <si>
    <t>柳別府　陸則</t>
  </si>
  <si>
    <t>27-022</t>
  </si>
  <si>
    <t>713回</t>
  </si>
  <si>
    <t>21/3</t>
  </si>
  <si>
    <t>神戸　799　せ　471</t>
  </si>
  <si>
    <t>ｸﾞﾘｰﾝM</t>
  </si>
  <si>
    <t>WMWMF720X0TV02404</t>
  </si>
  <si>
    <t>(株)ﾓﾄｰﾚﾝ神戸</t>
    <rPh sb="0" eb="3">
      <t>カブシキガイシャ</t>
    </rPh>
    <rPh sb="8" eb="10">
      <t>コウベ</t>
    </rPh>
    <phoneticPr fontId="13"/>
  </si>
  <si>
    <t>27-023</t>
  </si>
  <si>
    <t>1558回</t>
  </si>
  <si>
    <t>13/8</t>
  </si>
  <si>
    <t>ｽﾏｰﾄ ﾌﾞﾗﾊﾞｽ</t>
  </si>
  <si>
    <t>名古屋　501　は　9308</t>
  </si>
  <si>
    <t>ｲｴﾛｰ</t>
  </si>
  <si>
    <t>WME01MC01YH053792</t>
  </si>
  <si>
    <t>浅野　展充</t>
  </si>
  <si>
    <t>27-024</t>
  </si>
  <si>
    <t>727回</t>
  </si>
  <si>
    <t>16/3</t>
  </si>
  <si>
    <t>BMW530i　ﾊｲﾗｲﾝ</t>
  </si>
  <si>
    <t>27/4</t>
  </si>
  <si>
    <t>足立　341　に　727</t>
  </si>
  <si>
    <t>WBANA72070B187344</t>
  </si>
  <si>
    <t>Jﾗｲﾝ（株）</t>
    <phoneticPr fontId="13"/>
  </si>
  <si>
    <t>保証書　ﾅﾋﾞﾛﾑ (R4.1217探し中)</t>
    <phoneticPr fontId="13"/>
  </si>
  <si>
    <t>27-025</t>
  </si>
  <si>
    <t>739回</t>
  </si>
  <si>
    <t>19/12</t>
  </si>
  <si>
    <t>ﾐﾆｷｬﾌﾞ T</t>
  </si>
  <si>
    <t>広島　480　ろ　8120</t>
  </si>
  <si>
    <t>U61T-1300225</t>
  </si>
  <si>
    <t>(株)ｶﾞﾘﾊﾞｰｲﾝﾀｰﾅｼｮﾅﾙ</t>
    <rPh sb="0" eb="3">
      <t>カブシキガイシャ</t>
    </rPh>
    <phoneticPr fontId="13"/>
  </si>
  <si>
    <t>27-026</t>
  </si>
  <si>
    <t>537回</t>
  </si>
  <si>
    <t>20/1</t>
  </si>
  <si>
    <t>BMWﾐﾆ ﾜﾝ</t>
  </si>
  <si>
    <t>多摩　599　ま　8741</t>
  </si>
  <si>
    <t>WMWME32040TM72604</t>
  </si>
  <si>
    <t>（株）ﾓﾄｰﾚﾝ東名横浜</t>
    <phoneticPr fontId="13"/>
  </si>
  <si>
    <t>27-027</t>
  </si>
  <si>
    <t>543回</t>
  </si>
  <si>
    <t>15/10</t>
  </si>
  <si>
    <t>ﾚﾝｼﾞﾛｰﾊﾞｰ　HSE</t>
  </si>
  <si>
    <t>習志野　399　に　4639</t>
  </si>
  <si>
    <t>SALLMAMA34A144036</t>
  </si>
  <si>
    <t>(株)ｴｺｽﾀｲﾙ</t>
    <rPh sb="0" eb="3">
      <t>カブシキガイシャ</t>
    </rPh>
    <phoneticPr fontId="13"/>
  </si>
  <si>
    <t>保証書　DVD　ｷｰﾚｽ</t>
  </si>
  <si>
    <t>27-028</t>
  </si>
  <si>
    <t>1477回</t>
  </si>
  <si>
    <t>16/7</t>
  </si>
  <si>
    <t>BMW　Z4</t>
  </si>
  <si>
    <t>大阪　376　な　18</t>
  </si>
  <si>
    <t>ﾊﾅﾃﾝ</t>
    <phoneticPr fontId="13"/>
  </si>
  <si>
    <t>WBABT12080LR01261</t>
  </si>
  <si>
    <t>(株)ﾊﾅﾃﾝ</t>
    <rPh sb="0" eb="3">
      <t>カブシキガイシャ</t>
    </rPh>
    <phoneticPr fontId="13"/>
  </si>
  <si>
    <t>保証書　取説 ﾌﾟﾗｷｰ</t>
    <phoneticPr fontId="13"/>
  </si>
  <si>
    <t>27-029</t>
  </si>
  <si>
    <t>802回</t>
  </si>
  <si>
    <t>16/11</t>
  </si>
  <si>
    <t>MﾍﾞﾝﾂE320</t>
  </si>
  <si>
    <t>神戸　302　ら　4691</t>
  </si>
  <si>
    <t>ZIP</t>
  </si>
  <si>
    <t>WDB2110652A672926</t>
  </si>
  <si>
    <t>保証書　取説　ｷｰﾚｽ　ﾅﾋﾞﾛﾑ</t>
  </si>
  <si>
    <t>27-030</t>
  </si>
  <si>
    <t>484回</t>
  </si>
  <si>
    <t>18/10</t>
  </si>
  <si>
    <t>Mﾍﾞﾝﾂ　GL550</t>
  </si>
  <si>
    <t>姫路　330　つ　637</t>
  </si>
  <si>
    <t>USS神戸</t>
  </si>
  <si>
    <t>WDC1648861A133695</t>
  </si>
  <si>
    <t>浜川　滋之</t>
  </si>
  <si>
    <t>27-031</t>
  </si>
  <si>
    <t>567回</t>
  </si>
  <si>
    <t>21/5</t>
  </si>
  <si>
    <t>BMW525I　ﾂｰﾘﾝｸﾞ　Mｽﾎﾟｰﾂ</t>
  </si>
  <si>
    <t>品川　356　み　72</t>
  </si>
  <si>
    <t>WBAPU520X0CX91047</t>
  </si>
  <si>
    <t>(有)三英ｵｰﾄ</t>
    <phoneticPr fontId="13"/>
  </si>
  <si>
    <t>保証書　取説　ｷｰﾚｽ　ﾌﾟﾗｷｰ</t>
  </si>
  <si>
    <t>27-032</t>
  </si>
  <si>
    <t>25/5</t>
  </si>
  <si>
    <t>BMW650I</t>
  </si>
  <si>
    <t>28/5</t>
  </si>
  <si>
    <t>三重　301　ほ　9480</t>
  </si>
  <si>
    <t>378 せ 5</t>
    <phoneticPr fontId="13"/>
  </si>
  <si>
    <t>業販</t>
    <rPh sb="0" eb="2">
      <t>ギョウハン</t>
    </rPh>
    <phoneticPr fontId="13"/>
  </si>
  <si>
    <t>黒</t>
    <rPh sb="0" eb="1">
      <t>クロ</t>
    </rPh>
    <phoneticPr fontId="13"/>
  </si>
  <si>
    <t>WBA6B21070D144990</t>
  </si>
  <si>
    <t>株式会社ｱｵﾔﾏ</t>
  </si>
  <si>
    <t>27-033</t>
  </si>
  <si>
    <t>555回</t>
  </si>
  <si>
    <t>BMWﾐﾆｸｰﾊﾟｰ</t>
  </si>
  <si>
    <t>岡山　599　つ　620</t>
  </si>
  <si>
    <t>LAA関西</t>
    <phoneticPr fontId="13"/>
  </si>
  <si>
    <t>WMWSU32020TY89634</t>
  </si>
  <si>
    <t>(株)ｼﾃｨﾗｲﾄ</t>
    <rPh sb="0" eb="3">
      <t>カブシキガイシャ</t>
    </rPh>
    <phoneticPr fontId="13"/>
  </si>
  <si>
    <t>保証書　取説</t>
  </si>
  <si>
    <t>27-034</t>
  </si>
  <si>
    <t>1594回</t>
  </si>
  <si>
    <t>24/12</t>
  </si>
  <si>
    <t>BMWﾐﾆ　ｸｰﾊﾟｰS　ｸﾛｽｵｰﾊﾞｰ</t>
  </si>
  <si>
    <t>尾張小牧　399　と　4667</t>
  </si>
  <si>
    <t>　</t>
  </si>
  <si>
    <t>WMWZC32080WN02424</t>
  </si>
  <si>
    <t>株式会社名鉄ｱｵﾄ</t>
    <rPh sb="0" eb="4">
      <t>カブシキガイシャ</t>
    </rPh>
    <rPh sb="4" eb="6">
      <t>メイテツ</t>
    </rPh>
    <phoneticPr fontId="13"/>
  </si>
  <si>
    <t>27-035</t>
  </si>
  <si>
    <t>1070回</t>
  </si>
  <si>
    <t>19/5</t>
  </si>
  <si>
    <t>BMWﾐﾆ ｸｰﾊﾟｰS</t>
  </si>
  <si>
    <t>所沢　599　と　5615</t>
  </si>
  <si>
    <t>WMWMF72060TL38195</t>
  </si>
  <si>
    <t>株式会社ﾕｰﾊﾟｰｸ</t>
    <rPh sb="0" eb="4">
      <t>カブシキガイシャ</t>
    </rPh>
    <phoneticPr fontId="13"/>
  </si>
  <si>
    <t>27-036</t>
  </si>
  <si>
    <t>846回</t>
  </si>
  <si>
    <t>23/5</t>
  </si>
  <si>
    <t>ｱｳﾃﾞｨA5　SB　2.0TFSI</t>
  </si>
  <si>
    <t>神戸　329　さ　6761</t>
  </si>
  <si>
    <t>WAUZZZ8T4BA072233</t>
  </si>
  <si>
    <t>保証書　取説　ｷｰﾚｽ　ﾌﾟﾗｷｰ　B-CAS</t>
  </si>
  <si>
    <t>27-037</t>
  </si>
  <si>
    <t>1647回</t>
  </si>
  <si>
    <t>21/12</t>
  </si>
  <si>
    <t>VWｺﾞﾙﾌ　GTI</t>
  </si>
  <si>
    <t>28/12</t>
  </si>
  <si>
    <t>三河　301　る　5450</t>
  </si>
  <si>
    <t>WVWZZZ1KZAW043217</t>
  </si>
  <si>
    <t>山下　雄也</t>
  </si>
  <si>
    <t>27-038</t>
  </si>
  <si>
    <t>813回</t>
  </si>
  <si>
    <t>ﾃﾞｨｽｶﾊﾞﾘｰ　4.0　HSE</t>
  </si>
  <si>
    <t>30/2</t>
  </si>
  <si>
    <t>徳島　300　ぬ　2231</t>
  </si>
  <si>
    <t>SALLTAMP34A837027</t>
  </si>
  <si>
    <t>中田　和子</t>
  </si>
  <si>
    <t>27-039</t>
  </si>
  <si>
    <t>847回</t>
  </si>
  <si>
    <t>23/3</t>
  </si>
  <si>
    <t>BMWﾐﾆ ｸﾛｽｵｰﾊﾞｰ</t>
  </si>
  <si>
    <t>30/3</t>
  </si>
  <si>
    <t>横浜　331　ひ　7033</t>
  </si>
  <si>
    <t>MIRIVE（まとめ）</t>
  </si>
  <si>
    <t>赤Ⅱ</t>
  </si>
  <si>
    <t>WMWZC32080WH97320</t>
  </si>
  <si>
    <t>谷口　直樹</t>
  </si>
  <si>
    <t>27-040</t>
  </si>
  <si>
    <t>987回</t>
  </si>
  <si>
    <t>18/6</t>
  </si>
  <si>
    <t>29/6</t>
  </si>
  <si>
    <t>愛媛　501　ね　4086</t>
  </si>
  <si>
    <t>USS岡山</t>
  </si>
  <si>
    <t>WMWRC32080TJ30004</t>
  </si>
  <si>
    <t>株式会社ｶﾞﾘｵｺｰﾎﾟﾚｰｼｮﾝ</t>
    <rPh sb="0" eb="4">
      <t>カブシキガイシャ</t>
    </rPh>
    <phoneticPr fontId="13"/>
  </si>
  <si>
    <t>27-041</t>
  </si>
  <si>
    <t>766回</t>
  </si>
  <si>
    <t>15/4</t>
  </si>
  <si>
    <t>ﾚﾝｼﾞﾛｰﾊﾞｰ　VOGUE</t>
  </si>
  <si>
    <t>福岡　301　ゆ　7514</t>
  </si>
  <si>
    <t>TAA九州</t>
  </si>
  <si>
    <t>SALLMAMA33A128638</t>
  </si>
  <si>
    <t>八尋　邦晃</t>
  </si>
  <si>
    <t>27-042</t>
  </si>
  <si>
    <t>12/3</t>
  </si>
  <si>
    <t>VWﾊﾞｽ</t>
  </si>
  <si>
    <t>島根　500　す　6581</t>
  </si>
  <si>
    <t>ｵｰﾄｻﾛﾝﾜｲｽﾞ</t>
    <phoneticPr fontId="13"/>
  </si>
  <si>
    <t>白/ﾌﾞﾙｰ</t>
  </si>
  <si>
    <t>佐藤　由美子</t>
  </si>
  <si>
    <t>27-043</t>
  </si>
  <si>
    <t>553回</t>
  </si>
  <si>
    <t>15/6</t>
  </si>
  <si>
    <t>ﾗﾝﾄﾞﾛｰﾊﾞｰ　ﾃﾞｨｽｶﾊﾞﾘｰ　HSE</t>
  </si>
  <si>
    <t>大宮　300　も　3441</t>
  </si>
  <si>
    <t>TAA横浜</t>
  </si>
  <si>
    <t>SALLTAMP33A818771</t>
  </si>
  <si>
    <t>埼玉ﾄﾖﾍﾟｯﾄ(株)</t>
    <rPh sb="0" eb="2">
      <t>サイタマ</t>
    </rPh>
    <rPh sb="8" eb="11">
      <t>カブシキガイシャ</t>
    </rPh>
    <phoneticPr fontId="13"/>
  </si>
  <si>
    <t>27-044</t>
  </si>
  <si>
    <t>1664回</t>
  </si>
  <si>
    <t>5/7</t>
  </si>
  <si>
    <t>VWｺﾞﾙﾌ　ｶﾌﾞﾘｵﾚ　ｸﾗｼｯｸﾗｲﾝ</t>
  </si>
  <si>
    <t>30/7</t>
  </si>
  <si>
    <t>なにわ　582　ぬ　2010</t>
  </si>
  <si>
    <t>WVWZZZ15ZPK012768</t>
  </si>
  <si>
    <t>林　曜子</t>
  </si>
  <si>
    <t>ﾅﾋﾞ取 ﾓﾆﾀｰ ｽﾍﾟｱｷｰ 他ｷｰ</t>
    <phoneticPr fontId="13"/>
  </si>
  <si>
    <t>27-045</t>
  </si>
  <si>
    <t>833回</t>
  </si>
  <si>
    <t>24</t>
  </si>
  <si>
    <t>ｷｬﾘｰT　KC</t>
  </si>
  <si>
    <t>香川　480　む　777</t>
  </si>
  <si>
    <t>DA63T-747080</t>
  </si>
  <si>
    <t>岡田　忍</t>
  </si>
  <si>
    <t>27-046</t>
  </si>
  <si>
    <t>836回</t>
  </si>
  <si>
    <t>19/11</t>
  </si>
  <si>
    <t>MRﾜｺﾞﾝ ｳｨｯﾄ</t>
  </si>
  <si>
    <t>豊橋　580　く　4478</t>
  </si>
  <si>
    <t>車輌なし</t>
    <rPh sb="0" eb="2">
      <t>シャリョウ</t>
    </rPh>
    <phoneticPr fontId="1"/>
  </si>
  <si>
    <t>ﾊﾟｰﾌﾟﾙ</t>
  </si>
  <si>
    <t>MF22S-621605</t>
  </si>
  <si>
    <t>東愛知日産自動車（株）</t>
  </si>
  <si>
    <t>27-047</t>
  </si>
  <si>
    <t>22</t>
  </si>
  <si>
    <t>ﾊﾟﾚｯﾄSW TS</t>
  </si>
  <si>
    <t>29/4</t>
  </si>
  <si>
    <t>福井　580　ひ　4448</t>
  </si>
  <si>
    <t>MK21S-364533</t>
  </si>
  <si>
    <t>（株）ｽｽﾞｷｱﾘｰﾅ福井中央</t>
    <phoneticPr fontId="13"/>
  </si>
  <si>
    <t>保証書　取説　ﾅﾋﾞ取　ｷｰﾚｽ　ｽﾀｰﾀｰﾘﾓｺﾝ</t>
    <phoneticPr fontId="13"/>
  </si>
  <si>
    <t>HAA神戸</t>
    <rPh sb="3" eb="5">
      <t>コウベ</t>
    </rPh>
    <phoneticPr fontId="13"/>
  </si>
  <si>
    <t>27-048</t>
  </si>
  <si>
    <t>26/7</t>
  </si>
  <si>
    <t>BMW　M4　ｸｰﾍﾟ</t>
  </si>
  <si>
    <t>29/7</t>
  </si>
  <si>
    <t>大阪　363　ま　4</t>
  </si>
  <si>
    <t>振込￥324</t>
  </si>
  <si>
    <t>346 や 4</t>
    <phoneticPr fontId="13"/>
  </si>
  <si>
    <t>業販　ﾌﾟﾛｽﾀｯﾌ</t>
  </si>
  <si>
    <t>WBS3R92090F708144</t>
  </si>
  <si>
    <t>ﾌﾟﾛｽﾀｯﾌ（株）</t>
  </si>
  <si>
    <t>27-049</t>
  </si>
  <si>
    <t>1112回</t>
  </si>
  <si>
    <t>16/1</t>
  </si>
  <si>
    <t>ﾃﾞｨｽｶﾊﾞﾘｰ　HSE</t>
  </si>
  <si>
    <t>習志野　301　せ　7498</t>
  </si>
  <si>
    <t>SALLTAMP33A826869</t>
  </si>
  <si>
    <t>猪股　正博</t>
  </si>
  <si>
    <t>保証書　取説　ｷｰﾚｽ　HDD　ﾘﾓｺﾝ×5　ﾓﾆﾀｰ</t>
  </si>
  <si>
    <t>27-050</t>
  </si>
  <si>
    <t>16/9</t>
  </si>
  <si>
    <t>29/9</t>
  </si>
  <si>
    <t>愛媛　300　ほ　9626</t>
  </si>
  <si>
    <t>SALLTAMP34A830553</t>
  </si>
  <si>
    <t>白川　淳</t>
  </si>
  <si>
    <t>保証書　取説　ナビ取　ｷｰﾚｽ</t>
  </si>
  <si>
    <t>27-051</t>
  </si>
  <si>
    <t>1572回</t>
  </si>
  <si>
    <t>26/4</t>
  </si>
  <si>
    <t>BMWﾐﾆ ｸﾗﾌﾞﾏﾝ</t>
  </si>
  <si>
    <t>福岡　599　り　5723</t>
  </si>
  <si>
    <t>WMWZF32040T812837</t>
  </si>
  <si>
    <t>株式会社ﾋﾞｯｸﾞﾓｰﾀｰ</t>
    <rPh sb="0" eb="4">
      <t>カブシキガイシャ</t>
    </rPh>
    <phoneticPr fontId="13"/>
  </si>
  <si>
    <t>27-052</t>
  </si>
  <si>
    <t>1685回</t>
  </si>
  <si>
    <t>18/3</t>
  </si>
  <si>
    <t>ﾃﾞｨｽｶﾊﾞﾘｰ　Ⅲ　SE</t>
  </si>
  <si>
    <t>千葉　399　り　4834</t>
  </si>
  <si>
    <t>SALLAJA436A375064</t>
  </si>
  <si>
    <t>（株）ＩＤＯＭ</t>
  </si>
  <si>
    <t>保証書　取説　ﾅﾋﾞ取　ﾓﾆﾀｰ</t>
    <phoneticPr fontId="13"/>
  </si>
  <si>
    <t>27-053</t>
  </si>
  <si>
    <t>1575回</t>
  </si>
  <si>
    <t>BMWﾐﾆ　ｸｰﾊﾟｰS</t>
    <phoneticPr fontId="13"/>
  </si>
  <si>
    <t>神戸　503　ぬ　988</t>
  </si>
  <si>
    <t>Lﾌﾞﾙｰ</t>
  </si>
  <si>
    <t>WMWRE32000TC80489</t>
  </si>
  <si>
    <t>株式会社ﾋﾞｰｴﾑﾊﾅﾃﾝ</t>
    <rPh sb="0" eb="4">
      <t>カブシキガイシャ</t>
    </rPh>
    <phoneticPr fontId="13"/>
  </si>
  <si>
    <t>27-054</t>
  </si>
  <si>
    <t>886回</t>
  </si>
  <si>
    <t>1/10</t>
  </si>
  <si>
    <t>ﾊﾟｵ ｷｬﾝﾊﾟｽﾄｯﾌﾟ</t>
    <phoneticPr fontId="13"/>
  </si>
  <si>
    <t>30/10</t>
  </si>
  <si>
    <t>所沢　56　ろ　2337</t>
  </si>
  <si>
    <t>MIRIVE</t>
  </si>
  <si>
    <t>PK10-007074</t>
  </si>
  <si>
    <t>山田　全彦</t>
  </si>
  <si>
    <t>保証書 取説 ｽﾍﾟｱｷｰ ﾜﾝｵｰﾅｰ</t>
    <rPh sb="0" eb="3">
      <t>ホショウショ</t>
    </rPh>
    <rPh sb="4" eb="5">
      <t>トリ</t>
    </rPh>
    <rPh sb="5" eb="6">
      <t>セツ</t>
    </rPh>
    <phoneticPr fontId="13"/>
  </si>
  <si>
    <t>27-055</t>
  </si>
  <si>
    <t>860回</t>
  </si>
  <si>
    <t>19/8</t>
  </si>
  <si>
    <t>30/9</t>
  </si>
  <si>
    <t>大阪　530　た　8605</t>
  </si>
  <si>
    <t>青Ⅱ</t>
  </si>
  <si>
    <t>WMWMF720X0TL39818</t>
  </si>
  <si>
    <t>株式会社ﾓﾄｰﾚﾝ阪神</t>
    <rPh sb="0" eb="4">
      <t>カブシキガイシャ</t>
    </rPh>
    <rPh sb="9" eb="11">
      <t>ハンシン</t>
    </rPh>
    <phoneticPr fontId="13"/>
  </si>
  <si>
    <t>保証書　取説　ﾅﾋﾞ取　ｷｰﾚｽ</t>
    <phoneticPr fontId="13"/>
  </si>
  <si>
    <t>27-056</t>
  </si>
  <si>
    <t>862回</t>
  </si>
  <si>
    <t>22/4</t>
  </si>
  <si>
    <t>Mﾍﾞﾝﾂ　E63　AMG</t>
  </si>
  <si>
    <t>なにわ　334　ひ　623</t>
  </si>
  <si>
    <t>黒</t>
  </si>
  <si>
    <t>WDD2120772A141237</t>
  </si>
  <si>
    <t>大坂ﾄﾖﾀ自動車(株)</t>
    <rPh sb="0" eb="2">
      <t>オオサカ</t>
    </rPh>
    <rPh sb="5" eb="8">
      <t>ジドウシャ</t>
    </rPh>
    <rPh sb="8" eb="11">
      <t>カブシキガイシャ</t>
    </rPh>
    <phoneticPr fontId="13"/>
  </si>
  <si>
    <t>保証書　取説　ｽﾀｰﾄﾎﾞﾀﾝ　ｷｰﾚｽ</t>
  </si>
  <si>
    <t>27-057</t>
  </si>
  <si>
    <t>1129回</t>
  </si>
  <si>
    <t>21/9</t>
  </si>
  <si>
    <t>ﾌｨｱｯﾄ500　1.2　8V　ﾎﾟｯﾌﾟ</t>
  </si>
  <si>
    <t>千葉　599　る　9790</t>
  </si>
  <si>
    <t>ZFA31200000298276</t>
  </si>
  <si>
    <t>(株)IDOM</t>
  </si>
  <si>
    <t>保証書　取説　ｽﾍﾟｱｷｰ</t>
  </si>
  <si>
    <t>27-058</t>
  </si>
  <si>
    <t>660回</t>
  </si>
  <si>
    <t>3/10</t>
  </si>
  <si>
    <t>ﾌｨｶﾞﾛ</t>
  </si>
  <si>
    <t>足立　53　ひ　6314</t>
  </si>
  <si>
    <t>Lｸﾞﾘｰﾝ</t>
  </si>
  <si>
    <t>FK10-012860</t>
  </si>
  <si>
    <t>青木　正廷</t>
  </si>
  <si>
    <t>保証書　ｽﾍﾟｱｷｰX2</t>
  </si>
  <si>
    <t>27-059</t>
  </si>
  <si>
    <t>592回</t>
  </si>
  <si>
    <t>S62/10</t>
  </si>
  <si>
    <t>BE-1　ｷｬﾝﾊﾞｽﾄｯﾌﾟ</t>
  </si>
  <si>
    <t>福井　56　ろ　253</t>
  </si>
  <si>
    <t>BK10-005136</t>
  </si>
  <si>
    <t>(有)前田高級鈑金</t>
  </si>
  <si>
    <t>9/21</t>
  </si>
  <si>
    <t>27-060</t>
  </si>
  <si>
    <t>1713回</t>
  </si>
  <si>
    <t>22/5</t>
  </si>
  <si>
    <t>BMWﾐﾆ ｸｰﾊﾟｰ</t>
  </si>
  <si>
    <t>なにわ　779　ゆ　1935</t>
  </si>
  <si>
    <t>ｸﾞﾚｰⅡ</t>
  </si>
  <si>
    <t>WMWSU32010TY92864</t>
  </si>
  <si>
    <t>(株)はなまる</t>
  </si>
  <si>
    <t>10/5</t>
  </si>
  <si>
    <t>27-061</t>
  </si>
  <si>
    <t>881回</t>
  </si>
  <si>
    <t>27/9</t>
  </si>
  <si>
    <t>なにわ 301 に 3411</t>
  </si>
  <si>
    <t>取説 保証書 ﾜﾝｵｰﾅｰ ﾕｰｻﾞｰ</t>
  </si>
  <si>
    <t>ﾌﾞﾗｯｸ</t>
  </si>
  <si>
    <t>WMWXS720602C47137</t>
  </si>
  <si>
    <t>ﾋﾞｰ･ｴﾑ･ﾀﾞﾌﾞﾘｭｰ･ｼﾞｬﾊﾟﾝ･ﾌｧｲﾅﾝｽ㈱</t>
  </si>
  <si>
    <t>10/23</t>
  </si>
  <si>
    <t>取説 保証書 ｷｰﾚｽ ﾜﾝｵｰﾅｰ</t>
  </si>
  <si>
    <t>27-062</t>
  </si>
  <si>
    <t>914回</t>
  </si>
  <si>
    <t>18/2</t>
  </si>
  <si>
    <t>BMW Z4 2.5i</t>
  </si>
  <si>
    <t>京都 302 す 3352</t>
  </si>
  <si>
    <t>ﾅﾋﾞﾛﾑ ﾎﾟｰﾀﾌﾞﾙﾅﾋﾞ</t>
  </si>
  <si>
    <t>ﾅﾋﾞﾛﾑ置いてあるところに一緒にあります</t>
  </si>
  <si>
    <t>WBABT32090LS24426</t>
  </si>
  <si>
    <t>㈱服部ﾓｰﾀｰ商会</t>
  </si>
  <si>
    <t>10/27</t>
  </si>
  <si>
    <t>ｷｰﾚｽ ﾅﾋﾞﾛﾑ ﾓﾆﾀｰ</t>
  </si>
  <si>
    <t>27-063</t>
  </si>
  <si>
    <t>1717回</t>
  </si>
  <si>
    <t>27/3</t>
  </si>
  <si>
    <t>三河 330 は 5315</t>
  </si>
  <si>
    <t>取説 保証書 ｷｰﾚｽ ﾜﾝｵｰﾅｰ ﾕｰｻﾞｰ</t>
  </si>
  <si>
    <t>社用車</t>
  </si>
  <si>
    <t>WMWXS720702B60251</t>
  </si>
  <si>
    <t>松井 彰</t>
  </si>
  <si>
    <t>11/2</t>
  </si>
  <si>
    <t>保証書 取説 ｷｰﾚｽ ﾜﾝｵｰﾅｰ</t>
    <rPh sb="0" eb="3">
      <t>ホショウショ</t>
    </rPh>
    <rPh sb="4" eb="5">
      <t>トリ</t>
    </rPh>
    <rPh sb="5" eb="6">
      <t>セツ</t>
    </rPh>
    <phoneticPr fontId="13"/>
  </si>
  <si>
    <t>R3.4月抹消済</t>
    <rPh sb="4" eb="5">
      <t>ガツ</t>
    </rPh>
    <rPh sb="5" eb="8">
      <t>マッショウズ</t>
    </rPh>
    <phoneticPr fontId="13"/>
  </si>
  <si>
    <t>27-064</t>
  </si>
  <si>
    <t>1148回</t>
  </si>
  <si>
    <t>26/11</t>
  </si>
  <si>
    <t>千葉 381 さ 1</t>
  </si>
  <si>
    <t>保証書 取説 ﾜﾝｵｰﾅｰ ﾕｰｻﾞｰ</t>
  </si>
  <si>
    <t>WMWXS72030T849453</t>
  </si>
  <si>
    <t>㈱ﾓﾄｰﾚﾝﾚﾋﾟｵ</t>
  </si>
  <si>
    <t>11/10</t>
  </si>
  <si>
    <t>保証書 取説 ｷｰﾚｽ ﾘﾓｺﾝ ﾜﾝｵｰﾅｰ</t>
    <rPh sb="0" eb="3">
      <t>ホショウショ</t>
    </rPh>
    <rPh sb="4" eb="5">
      <t>トリ</t>
    </rPh>
    <rPh sb="5" eb="6">
      <t>セツ</t>
    </rPh>
    <phoneticPr fontId="13"/>
  </si>
  <si>
    <t>27-065</t>
  </si>
  <si>
    <t>968回</t>
  </si>
  <si>
    <t>BMWﾐﾆｸｰﾊﾟｰSﾍﾟｯﾊﾟｰPKG</t>
  </si>
  <si>
    <t>31/3</t>
  </si>
  <si>
    <t>室蘭 330 な 1962</t>
  </si>
  <si>
    <t>取説 保証書 ｽﾍﾟｱｷｰ ﾜﾝｵｰﾅｰ</t>
  </si>
  <si>
    <t>名変期限1/12</t>
  </si>
  <si>
    <t>USS札幌</t>
  </si>
  <si>
    <t>ﾎﾜｲﾄⅡ</t>
  </si>
  <si>
    <t>WMWXM720602A77968</t>
  </si>
  <si>
    <t>12/16</t>
  </si>
  <si>
    <t>R3.5月抹消済</t>
  </si>
  <si>
    <t>27-066</t>
  </si>
  <si>
    <t>922回</t>
  </si>
  <si>
    <t>24/3</t>
  </si>
  <si>
    <t>BMW　523iMｽﾎﾟｰﾂﾊﾟｯｹｰｼﾞ</t>
  </si>
  <si>
    <t>神戸　303　に　6368</t>
  </si>
  <si>
    <t>保証書　取説　ﾜﾝｵｰﾅｰ</t>
  </si>
  <si>
    <t>WBAXG12050DW34455</t>
  </si>
  <si>
    <t>㈱ﾔﾅｾ</t>
  </si>
  <si>
    <t>12/23</t>
  </si>
  <si>
    <t>27-067</t>
  </si>
  <si>
    <t>1155回</t>
  </si>
  <si>
    <t>21/2</t>
  </si>
  <si>
    <t>ｱｳﾃﾞｨA4ｱﾊﾞﾝﾄ1.8TFSI SﾗｲﾝPKG</t>
  </si>
  <si>
    <t>八王子 399 ち 2616</t>
  </si>
  <si>
    <t>保証書 取説 ﾅﾋﾞﾛﾑ B-CAS ｽﾍﾟｱｷｰ</t>
  </si>
  <si>
    <t>ﾎﾜｲﾄ</t>
  </si>
  <si>
    <t>WAUZZZ8K49A159373</t>
  </si>
  <si>
    <t>株式会社村内外車ｾﾝﾀｰ</t>
  </si>
  <si>
    <t>12/28</t>
  </si>
  <si>
    <t>保証書 取説 ｷｰﾚｽ B-CAS ﾅﾋﾞﾛﾑ ﾜﾝｵｰﾅｰ</t>
  </si>
  <si>
    <t>27-068</t>
  </si>
  <si>
    <t>1616回</t>
  </si>
  <si>
    <t>22/11</t>
  </si>
  <si>
    <t>BMWﾐﾆｸﾗﾌﾞﾏﾝ ｸｰﾊﾟｰS  SOHOﾊﾟｯｹｰｼﾞ</t>
    <phoneticPr fontId="13"/>
  </si>
  <si>
    <t>大阪 531 す 4416</t>
  </si>
  <si>
    <t>ﾜﾝｵｰﾅｰ ﾕｰｻﾞｰ ﾅﾋﾞﾓﾆﾀｰ ｷｰﾚｽ 取説 保証書</t>
  </si>
  <si>
    <t>関西松原</t>
  </si>
  <si>
    <t>ﾎﾜｲﾄｼﾙﾊﾞｰ</t>
  </si>
  <si>
    <t>WMWZG32090TZ03759</t>
  </si>
  <si>
    <t>大阪ﾏﾂﾀﾞ販売株式会社</t>
  </si>
  <si>
    <t>ﾅﾋﾞﾓﾆﾀｰ ｷｰﾚｽ ﾅﾋﾞ取 保証書 取説 ﾜﾝｵｰﾅｰ ﾕｰｻﾞｰ</t>
  </si>
  <si>
    <t>27-069</t>
  </si>
  <si>
    <t>1160回</t>
  </si>
  <si>
    <t>BMW M135i</t>
  </si>
  <si>
    <t>31/7</t>
  </si>
  <si>
    <t>世田谷 300 そ 3274</t>
  </si>
  <si>
    <t>保証書 ﾜﾝｵｰﾅｰ ｷｰﾚｽ 取説</t>
  </si>
  <si>
    <t>WBA1B72060P594618</t>
  </si>
  <si>
    <t>株式会社 ﾌﾚﾝﾄﾞﾓｰﾀｰｽ</t>
  </si>
  <si>
    <t>2/10</t>
  </si>
  <si>
    <t>保証書 取説 ﾜﾝｵｰﾅｰ ｷｰﾚｽ</t>
  </si>
  <si>
    <t>27-070</t>
  </si>
  <si>
    <t>902回</t>
  </si>
  <si>
    <t>ﾌｨｶﾞﾛ ｵｰﾌﾟﾝﾄｯﾌﾟﾀｰﾎﾞ</t>
  </si>
  <si>
    <t>30/11</t>
  </si>
  <si>
    <t>神戸 504 ち 9054</t>
  </si>
  <si>
    <t>取説 保証書 ﾓﾆﾀｰ</t>
  </si>
  <si>
    <t>ﾗｲﾄﾌﾞﾙｰ</t>
  </si>
  <si>
    <t>FK10-016486</t>
  </si>
  <si>
    <t>株式会社 ｸｲﾝｵｰﾄ</t>
  </si>
  <si>
    <t>3/24</t>
  </si>
  <si>
    <t>取説 保証書 ﾓﾆﾀｰ ｽﾍﾟｱｷｰ ×</t>
  </si>
  <si>
    <t>27-071</t>
  </si>
  <si>
    <t>1954回</t>
  </si>
  <si>
    <t>21/11</t>
  </si>
  <si>
    <t>ｱｳﾃﾞｨA5 3.2FSIｸﾜﾄﾛ</t>
  </si>
  <si>
    <t>広島 376 ひ 1001</t>
  </si>
  <si>
    <t xml:space="preserve">取説 保証書 </t>
  </si>
  <si>
    <t>ﾍﾞｲｵｰｸ</t>
  </si>
  <si>
    <t>WAUZZZ8T19A030693</t>
  </si>
  <si>
    <t>株式会社 JCM</t>
  </si>
  <si>
    <t>4/8</t>
  </si>
  <si>
    <t>取説 保証書 ｷｰﾚｽ ×</t>
  </si>
  <si>
    <t>27-072</t>
  </si>
  <si>
    <t>1172回</t>
  </si>
  <si>
    <t>ｱｳﾃﾞｨA4ｱﾊﾞﾝﾄ 1.8TFSI</t>
    <phoneticPr fontId="13"/>
  </si>
  <si>
    <t>練馬 301 や 8339</t>
  </si>
  <si>
    <t>当日抹消</t>
  </si>
  <si>
    <t>WAUZZZ8K79A126528</t>
  </si>
  <si>
    <t>株式会社 ｼｰｽｸｴｱ</t>
  </si>
  <si>
    <t>5/10</t>
  </si>
  <si>
    <t>取説 保証書 ×</t>
  </si>
  <si>
    <t>27-073</t>
  </si>
  <si>
    <t>1744回</t>
  </si>
  <si>
    <t>17/12</t>
  </si>
  <si>
    <t>ﾚﾝｼﾞﾛｰﾊﾞｰｽﾎﾟｰﾂ HSE</t>
  </si>
  <si>
    <t>30/12</t>
  </si>
  <si>
    <t>岡山 349 と 5678</t>
  </si>
  <si>
    <t>SALLSJA536A923664</t>
  </si>
  <si>
    <t>株式会社 ｱﾌﾟﾗｽ</t>
  </si>
  <si>
    <t>6/3</t>
  </si>
  <si>
    <t>ﾓﾆﾀｰ 取説 保証書 ｷｰﾚｽ ﾘﾓｺﾝ</t>
  </si>
  <si>
    <t>ﾓﾆﾀｰ店長に渡しました</t>
  </si>
  <si>
    <t>27-074</t>
  </si>
  <si>
    <t>951回</t>
  </si>
  <si>
    <t>BMWﾐﾆｸｰﾊﾟｰSｸﾗﾌﾞﾏﾝ</t>
  </si>
  <si>
    <t>31/12</t>
  </si>
  <si>
    <t>京都 330 と 7754</t>
  </si>
  <si>
    <t>WMWLN720102D97064</t>
  </si>
  <si>
    <t>株式会社 服部ﾓｰﾀｰ商会</t>
  </si>
  <si>
    <t>8/3</t>
  </si>
  <si>
    <t>取説ZIPで使用</t>
    <rPh sb="0" eb="2">
      <t>トリセツ</t>
    </rPh>
    <rPh sb="6" eb="8">
      <t>シヨウ</t>
    </rPh>
    <phoneticPr fontId="13"/>
  </si>
  <si>
    <t>R3.8月抹消済</t>
    <rPh sb="4" eb="5">
      <t>ガツ</t>
    </rPh>
    <rPh sb="5" eb="8">
      <t>マッショウズ</t>
    </rPh>
    <phoneticPr fontId="13"/>
  </si>
  <si>
    <t>27-075</t>
  </si>
  <si>
    <t>1980回</t>
  </si>
  <si>
    <t>18/11</t>
  </si>
  <si>
    <t>ｴﾌﾞﾘｲﾜｺﾞﾝ PZﾀｰﾎﾞｽﾍﾟｼｬﾙ</t>
  </si>
  <si>
    <t>31/11/23</t>
  </si>
  <si>
    <t>奈良 584 せ 725</t>
  </si>
  <si>
    <t>取説 保証書 記録簿</t>
  </si>
  <si>
    <t>DA64W-164309</t>
  </si>
  <si>
    <t>伊塚 正基</t>
  </si>
  <si>
    <t>10/14</t>
  </si>
  <si>
    <t>27-076</t>
  </si>
  <si>
    <t>MﾍﾞﾝﾂC200 ｱﾊﾞﾝｷﾞｬﾙﾄﾞAMGﾗｲﾝ</t>
  </si>
  <si>
    <t>なにわ 334 た 627</t>
  </si>
  <si>
    <t>SD ﾐﾆB-CAS</t>
  </si>
  <si>
    <t>SellCa</t>
  </si>
  <si>
    <t>A00962</t>
  </si>
  <si>
    <t>WDD2050422R243070</t>
  </si>
  <si>
    <t>株式会社 ｵﾘｴﾝﾄｺｰﾎﾟﾚｰｼｮﾝ</t>
  </si>
  <si>
    <t>11/8</t>
  </si>
  <si>
    <t>取説 保証書 ﾜﾝｵｰﾅｰ ｷｰﾚｽ ﾄﾞﾗﾚｺSD（車内）</t>
    <phoneticPr fontId="13"/>
  </si>
  <si>
    <t>27-077</t>
  </si>
  <si>
    <t>21/10</t>
  </si>
  <si>
    <t>BMW M3</t>
  </si>
  <si>
    <t>31/11</t>
  </si>
  <si>
    <t>横浜 304 な 1593</t>
  </si>
  <si>
    <t>保証書 取説 記録簿 手帳</t>
  </si>
  <si>
    <t>A01261</t>
  </si>
  <si>
    <t>ﾚｯﾄﾞ</t>
  </si>
  <si>
    <t>WBSWD92090PY38768</t>
  </si>
  <si>
    <t>米倉 弘樹</t>
  </si>
  <si>
    <t>11/23</t>
  </si>
  <si>
    <t>27-078</t>
  </si>
  <si>
    <t>1476回</t>
  </si>
  <si>
    <t>28/9</t>
  </si>
  <si>
    <t>BMWﾐﾆｸｰﾊﾟｰSD</t>
  </si>
  <si>
    <t>31/9</t>
  </si>
  <si>
    <t>岐阜 376 ち 7</t>
  </si>
  <si>
    <t>ﾕｰｻﾞｰ ﾜﾝｵｰﾅｰ</t>
  </si>
  <si>
    <t>CAA中部（まとめ）</t>
  </si>
  <si>
    <t>白Ⅱ</t>
  </si>
  <si>
    <t>WMWXN920602D26939</t>
  </si>
  <si>
    <t>株式会社 ﾌｧｲﾝﾄﾗｽﾄ</t>
  </si>
  <si>
    <t>11/22</t>
  </si>
  <si>
    <t>保証書 取説 ｷｰﾚｽ ﾜﾝｵｰﾅｰ ﾕｰｻﾞｰ</t>
    <rPh sb="0" eb="3">
      <t>ホショウショ</t>
    </rPh>
    <rPh sb="4" eb="5">
      <t>トリ</t>
    </rPh>
    <rPh sb="5" eb="6">
      <t>セツ</t>
    </rPh>
    <phoneticPr fontId="13"/>
  </si>
  <si>
    <t>27-079</t>
  </si>
  <si>
    <t>1728回</t>
  </si>
  <si>
    <t>23/12</t>
  </si>
  <si>
    <t>ﾗｲﾌ Gﾀｲﾌﾟ</t>
  </si>
  <si>
    <t>R</t>
  </si>
  <si>
    <t>宮城 583 み 1022</t>
  </si>
  <si>
    <t>JC1-1262371</t>
  </si>
  <si>
    <t>迫ﾎﾝﾀﾞ販売株式会社</t>
  </si>
  <si>
    <t>11/25</t>
  </si>
  <si>
    <t>27-080</t>
  </si>
  <si>
    <t>730回</t>
  </si>
  <si>
    <t>25/12</t>
  </si>
  <si>
    <t>BMW 428iｸｰﾍﾟ Mｽﾎﾟｰﾂ</t>
  </si>
  <si>
    <t>30/12/19</t>
  </si>
  <si>
    <t>品川 302 て 5944</t>
  </si>
  <si>
    <t>29/12 28/12 27/11 27/2 記録有 ﾜﾝｵｰﾅｰ</t>
  </si>
  <si>
    <t>28/11月で記録簿届いてる</t>
  </si>
  <si>
    <t>WBA3N32000KS51471</t>
  </si>
  <si>
    <t>株式会社 ｴｱｰﾌﾟﾗﾝﾂ</t>
  </si>
  <si>
    <t>12/15</t>
  </si>
  <si>
    <t>27-081</t>
  </si>
  <si>
    <t>1734回</t>
  </si>
  <si>
    <t>20/9</t>
  </si>
  <si>
    <t>ｱｳﾃﾞｨA4 1.8TFSI</t>
  </si>
  <si>
    <t>世田谷 399 さ 9354</t>
  </si>
  <si>
    <t>取説 保証書 手帳</t>
  </si>
  <si>
    <t>WAUZZZ8K49A040996</t>
  </si>
  <si>
    <t>ｱｳﾃﾞｨｼﾞｬﾊﾟﾝ販売株式会社</t>
  </si>
  <si>
    <t>1/11</t>
  </si>
  <si>
    <t>27-082</t>
  </si>
  <si>
    <t>1483回</t>
  </si>
  <si>
    <t>ekｽﾍﾟｰｽ E</t>
  </si>
  <si>
    <t>31/8</t>
  </si>
  <si>
    <t>名古屋 582 ぬ 7113</t>
  </si>
  <si>
    <t>B11A-0014305</t>
  </si>
  <si>
    <t>株式会社 山勝</t>
  </si>
  <si>
    <t>1/24</t>
  </si>
  <si>
    <t>ｽﾍﾟｱｷｰ（車内）</t>
    <phoneticPr fontId="13"/>
  </si>
  <si>
    <t>27-083</t>
  </si>
  <si>
    <t>1736回</t>
  </si>
  <si>
    <t>BMWﾐﾆﾜﾝ</t>
  </si>
  <si>
    <t>北九州 599 と 628</t>
  </si>
  <si>
    <t>店持ち帰り</t>
  </si>
  <si>
    <t>WMWME32070TM75027</t>
  </si>
  <si>
    <t>株式会社 ﾊﾞｰｼﾞｮﾝｸﾞﾙｰﾌﾟ</t>
  </si>
  <si>
    <t>1/27</t>
  </si>
  <si>
    <t>27-084</t>
  </si>
  <si>
    <t>1484回</t>
  </si>
  <si>
    <t>24/9</t>
  </si>
  <si>
    <t>32/9</t>
  </si>
  <si>
    <t>豊橋 580 に 3789</t>
  </si>
  <si>
    <t>ﾚﾝﾀｶｰ</t>
  </si>
  <si>
    <t>MH34S-111834</t>
  </si>
  <si>
    <t>株式会社 ｽｽﾞｷ自販東海</t>
  </si>
  <si>
    <t>1/31</t>
  </si>
  <si>
    <t>27-085</t>
  </si>
  <si>
    <t>1995回</t>
  </si>
  <si>
    <t>ﾜｺﾞﾝR ﾘﾐﾃｯﾄﾞⅡ</t>
  </si>
  <si>
    <t>32/5/24</t>
  </si>
  <si>
    <t>なにわ 583 い 3507</t>
  </si>
  <si>
    <t>MH23S-192066</t>
  </si>
  <si>
    <t>森田 泰之</t>
  </si>
  <si>
    <t>2/8</t>
  </si>
  <si>
    <t>取説 保証書 × 地図SD（車内）</t>
    <rPh sb="9" eb="11">
      <t>チズ</t>
    </rPh>
    <rPh sb="14" eb="16">
      <t>シャナイ</t>
    </rPh>
    <phoneticPr fontId="13"/>
  </si>
  <si>
    <t>27-086</t>
  </si>
  <si>
    <t>25/1</t>
  </si>
  <si>
    <t>ﾀﾝﾄ G ｽﾍﾟｼｬﾙ</t>
  </si>
  <si>
    <t>32/2/22</t>
  </si>
  <si>
    <t>和泉 580 め 3393</t>
  </si>
  <si>
    <t xml:space="preserve">ﾜﾝｵｰﾅｰ </t>
  </si>
  <si>
    <t>茶</t>
  </si>
  <si>
    <t>L375S-0630435</t>
  </si>
  <si>
    <t>藤原 幸治</t>
  </si>
  <si>
    <t>2/3</t>
  </si>
  <si>
    <t>取説 ﾅﾋﾞ取 ﾜﾝｵｰﾅｰ ｽﾍﾟｱｷｰ</t>
  </si>
  <si>
    <t>27-087</t>
  </si>
  <si>
    <t>1997回</t>
  </si>
  <si>
    <t>20/4</t>
  </si>
  <si>
    <t>ﾀﾝﾄｶｽﾀﾑ Xﾘﾐﾃｯﾄﾞ</t>
  </si>
  <si>
    <t>神戸 588 ろ 370</t>
  </si>
  <si>
    <t>L375S-0040708</t>
  </si>
  <si>
    <t>株式会社 神戸ﾏﾂﾀﾞ</t>
  </si>
  <si>
    <t>2/18</t>
  </si>
  <si>
    <t>取説 保証書（車内）ｷｰﾚｽ</t>
    <phoneticPr fontId="13"/>
  </si>
  <si>
    <t>27-088</t>
  </si>
  <si>
    <t>1192回</t>
  </si>
  <si>
    <t>26/9</t>
  </si>
  <si>
    <t>BMW420iｸｰﾍﾟ Mｽﾎﾟｰﾂ</t>
  </si>
  <si>
    <t>32/1</t>
  </si>
  <si>
    <t>大分 300 む 7534</t>
  </si>
  <si>
    <t xml:space="preserve">取説 ﾅﾋﾞ取 保証書 ｽﾍﾟｱｷｰ </t>
  </si>
  <si>
    <t>店</t>
  </si>
  <si>
    <t>USS九州</t>
  </si>
  <si>
    <t>WBA3N120X0K099834</t>
  </si>
  <si>
    <t>有限会社ﾌﾟﾘﾏﾄﾞﾝﾅｺｰﾎﾟﾚｰｼｮﾝ</t>
  </si>
  <si>
    <t>3/14</t>
  </si>
  <si>
    <t>取説 ﾅﾋﾞ取 保証書 ｷｰﾚｽ</t>
  </si>
  <si>
    <t>27-089</t>
  </si>
  <si>
    <t>1750回</t>
  </si>
  <si>
    <t>ｼﾄﾛｴﾝDS5 ｴﾃﾞｨｼｮﾝ1955</t>
  </si>
  <si>
    <t>33/3</t>
  </si>
  <si>
    <t>多摩 303 て 6434</t>
  </si>
  <si>
    <t>保証書 手帳</t>
  </si>
  <si>
    <t>ﾑﾗｻｷ</t>
  </si>
  <si>
    <t>VF7KF5FVAFS517753</t>
  </si>
  <si>
    <t>5/11</t>
  </si>
  <si>
    <t>取説 保証書 ｷｰﾚｽ</t>
  </si>
  <si>
    <t>27-090</t>
  </si>
  <si>
    <t>1751回</t>
  </si>
  <si>
    <t xml:space="preserve">ﾌｨｯﾄ ﾊｲﾌﾞﾘｯﾄﾞ </t>
  </si>
  <si>
    <t>品川 59A の 7705</t>
  </si>
  <si>
    <t>GP5-3063828</t>
  </si>
  <si>
    <t>三菱ｵｰﾄﾘｰｽ株式会社</t>
  </si>
  <si>
    <t>5/18</t>
  </si>
  <si>
    <t>27-091</t>
  </si>
  <si>
    <t>1201回</t>
  </si>
  <si>
    <t>26/2</t>
  </si>
  <si>
    <t>ｼﾄﾛｴﾝDS5 ｼｯｸ</t>
  </si>
  <si>
    <t>熊本 336 そ 1012</t>
  </si>
  <si>
    <t>保証書</t>
  </si>
  <si>
    <t>ﾊﾟｰﾙ</t>
  </si>
  <si>
    <t>VF7UF5FVADS507141</t>
  </si>
  <si>
    <t>株式会社 夢工場</t>
  </si>
  <si>
    <t>5/24</t>
  </si>
  <si>
    <t>取説 保証書 ﾅﾋﾞ取 ｷｰﾚｽ ×</t>
  </si>
  <si>
    <t>27-092</t>
  </si>
  <si>
    <t>675回</t>
  </si>
  <si>
    <t>15/5</t>
  </si>
  <si>
    <t>ﾚﾝｼﾞﾛｰﾊﾞｰ ｳﾞｫｰｸﾞ</t>
  </si>
  <si>
    <t>京都 330 は 1424</t>
  </si>
  <si>
    <t>SALLM-AMA33A135627</t>
  </si>
  <si>
    <t>株式会社ﾌﾟﾚｼｬｽ</t>
  </si>
  <si>
    <t>5/30</t>
  </si>
  <si>
    <t>27-093</t>
  </si>
  <si>
    <t>990回</t>
  </si>
  <si>
    <t>BMW 4ｼﾘｰｽﾞｸｰﾍﾟ 435i Mｽﾎﾟｰﾂ</t>
  </si>
  <si>
    <t>なにわ 301 の 2779</t>
  </si>
  <si>
    <t>WBA3R120X0KT32230</t>
  </si>
  <si>
    <t>5/31</t>
  </si>
  <si>
    <t>ｷｰﾚｽ</t>
  </si>
  <si>
    <t>27-094</t>
  </si>
  <si>
    <t>1684回</t>
  </si>
  <si>
    <t>24/5</t>
  </si>
  <si>
    <t>大阪 599 む 5735</t>
  </si>
  <si>
    <t>ﾁﾘﾚｯﾄﾞ</t>
  </si>
  <si>
    <t>WMWSU32070T151647</t>
  </si>
  <si>
    <t>6/6</t>
  </si>
  <si>
    <t>27-095</t>
  </si>
  <si>
    <t>13/11</t>
  </si>
  <si>
    <t>ｿｱﾗ 430SCV</t>
  </si>
  <si>
    <t>32/11</t>
  </si>
  <si>
    <t>京都 330 た 158</t>
  </si>
  <si>
    <t>UZZ40-0020435</t>
  </si>
  <si>
    <t>和田 みゆき</t>
  </si>
  <si>
    <t>6/11</t>
  </si>
  <si>
    <t>取説 保証書 ﾅﾋﾞ取 ｽﾍﾟｱｷｰ ﾜﾝｵｰﾅｰ</t>
  </si>
  <si>
    <t>27-096</t>
  </si>
  <si>
    <t>1603回</t>
  </si>
  <si>
    <t>ｴﾌﾞﾘｲ ｼﾞｮｲﾝ ﾊｲﾙｰﾌ</t>
  </si>
  <si>
    <t>32/2</t>
  </si>
  <si>
    <t>京都 480 ち 9706</t>
  </si>
  <si>
    <t>TAA近畿</t>
  </si>
  <si>
    <t>DA64V-828755</t>
  </si>
  <si>
    <t>松井 茂雄</t>
  </si>
  <si>
    <t>6/15</t>
  </si>
  <si>
    <t xml:space="preserve">取説 保証書 ｽﾍﾟｱｷｰ(車内) ﾜﾝｵｰﾅｰ </t>
    <phoneticPr fontId="13"/>
  </si>
  <si>
    <t>27-097</t>
  </si>
  <si>
    <t>26</t>
  </si>
  <si>
    <t>ﾎﾟﾙｼｪ 911 ﾀｰﾎﾞ</t>
  </si>
  <si>
    <t>31/10</t>
  </si>
  <si>
    <t>神戸 386 み 2</t>
  </si>
  <si>
    <t>30A や 5</t>
    <phoneticPr fontId="13"/>
  </si>
  <si>
    <t>西村 豊</t>
  </si>
  <si>
    <t>WP0ZZZ99ZFS160260</t>
  </si>
  <si>
    <t>相川 直輝</t>
  </si>
  <si>
    <t>取説　保証書　ｷｰﾚｽ</t>
  </si>
  <si>
    <t>上川 善春</t>
    <rPh sb="0" eb="2">
      <t>カミカワ</t>
    </rPh>
    <rPh sb="3" eb="4">
      <t>ゼン</t>
    </rPh>
    <rPh sb="4" eb="5">
      <t>ハル</t>
    </rPh>
    <phoneticPr fontId="13"/>
  </si>
  <si>
    <t>27-098</t>
  </si>
  <si>
    <t>1604回</t>
  </si>
  <si>
    <t>ﾋﾟｸｼｽﾊﾞﾝ ｸﾙｰｽﾞSA3</t>
  </si>
  <si>
    <t>2/2</t>
    <phoneticPr fontId="13"/>
  </si>
  <si>
    <t>和泉 486 ふ 111</t>
  </si>
  <si>
    <t>S321M-0021218</t>
  </si>
  <si>
    <t>ﾄﾖﾀｶﾛｰﾗ南海株式会社</t>
  </si>
  <si>
    <t>6/22</t>
  </si>
  <si>
    <t>27-099</t>
  </si>
  <si>
    <t>1504回</t>
  </si>
  <si>
    <t>22/6</t>
  </si>
  <si>
    <t>ｱﾙﾄﾗﾊﾟﾝ X</t>
  </si>
  <si>
    <t>名古屋 590 ろ 5943</t>
  </si>
  <si>
    <t>水色</t>
  </si>
  <si>
    <t>HE22S-168702</t>
  </si>
  <si>
    <t>ﾈｯﾂﾄﾖﾀ愛知株式会社</t>
  </si>
  <si>
    <t>6/29</t>
  </si>
  <si>
    <t>27-100</t>
  </si>
  <si>
    <t xml:space="preserve">ｶﾛｰﾗﾌｨﾙﾀﾞｰ ﾊｲﾌﾞﾘｯﾄﾞG </t>
  </si>
  <si>
    <t>八戸 500 ま 5237</t>
  </si>
  <si>
    <t>取説 手帳 ﾜﾝｵｰﾅｰ</t>
  </si>
  <si>
    <t>A06072</t>
  </si>
  <si>
    <t>NKE165-7071382</t>
  </si>
  <si>
    <t>ﾄﾖﾀｶﾛｰﾗ八戸 株式会社</t>
  </si>
  <si>
    <t>7/27</t>
  </si>
  <si>
    <t>27-101</t>
  </si>
  <si>
    <t>30/8</t>
  </si>
  <si>
    <t>N-BOXｶｽﾀﾑ G・EXﾀｰﾎﾞﾎﾝﾀﾞｾﾝｼﾝｸﾞ</t>
  </si>
  <si>
    <t>R3/8</t>
  </si>
  <si>
    <t>神戸 582 き 7779</t>
  </si>
  <si>
    <t>取説 整備手帳 ﾜﾝｵｰﾅｰ</t>
  </si>
  <si>
    <t>587 こ 8810</t>
    <phoneticPr fontId="13"/>
  </si>
  <si>
    <t>A06485</t>
  </si>
  <si>
    <t>JF3-2053072</t>
  </si>
  <si>
    <t>松本 海</t>
  </si>
  <si>
    <t>8/6</t>
  </si>
  <si>
    <t>取説 手帳 ｷｰﾚｽ ﾜﾝｵｰﾅｰ</t>
  </si>
  <si>
    <t>27-102</t>
  </si>
  <si>
    <t>20/7</t>
  </si>
  <si>
    <t>ﾊﾟﾚｯﾄ T</t>
  </si>
  <si>
    <t>千葉 596 ろ 1546</t>
  </si>
  <si>
    <t>MK21S-618480</t>
  </si>
  <si>
    <t>株式会社 IDOM</t>
  </si>
  <si>
    <t>8/4</t>
  </si>
  <si>
    <t xml:space="preserve">取説 保証書 ｷｰﾚｽ </t>
  </si>
  <si>
    <t>27-103</t>
  </si>
  <si>
    <t>1236回</t>
  </si>
  <si>
    <t>20/6</t>
  </si>
  <si>
    <t>ｱｽﾄﾝﾏｰﾃｨﾝV8 ｳﾞｨﾝﾃｰｼﾞ N400ﾛｰﾄﾞｽﾀｰ</t>
  </si>
  <si>
    <t>3/5</t>
    <phoneticPr fontId="13"/>
  </si>
  <si>
    <t>水戸 301 は 8653</t>
  </si>
  <si>
    <t>H26/5/27 ｱﾄﾗﾝﾃｨｯｸｶｰｽFｸﾗｯﾁ一式交換済（28695ｷﾛ）</t>
  </si>
  <si>
    <t>ｵﾚﾝｼﾞ</t>
  </si>
  <si>
    <t>SCFBF04GJ8GD10738</t>
  </si>
  <si>
    <t>飯島 正一</t>
  </si>
  <si>
    <t>8/29</t>
  </si>
  <si>
    <t>取説 手帳 交換記録OK ×</t>
  </si>
  <si>
    <t>27-104</t>
  </si>
  <si>
    <t>1002回</t>
  </si>
  <si>
    <t>ｼﾄﾛｴﾝ C4 ﾋﾟｶｿ ｾﾀﾞｸｼｮﾝ</t>
  </si>
  <si>
    <t>姫路 399 ち 6791</t>
  </si>
  <si>
    <t xml:space="preserve">取説 保証書 ｽﾍﾟｱｷｰ </t>
  </si>
  <si>
    <t>VF73A5GZTEJ836767</t>
  </si>
  <si>
    <t>ﾈｯﾂﾄﾖﾀ兵庫株式会社</t>
  </si>
  <si>
    <t>27-105</t>
  </si>
  <si>
    <t>1695回</t>
  </si>
  <si>
    <t>ﾎﾞﾙﾎﾞXC60 T6 SE AWD</t>
  </si>
  <si>
    <t>32/10</t>
  </si>
  <si>
    <t>神戸 302 す 1291</t>
  </si>
  <si>
    <t>取説 ｷｰ類</t>
  </si>
  <si>
    <t>YV1DZ9956A2053186</t>
  </si>
  <si>
    <t>佐村 悟次</t>
  </si>
  <si>
    <t>8/30</t>
  </si>
  <si>
    <t>取説 保証書 ｷｰﾚｽ ﾜﾝｵｰﾅｰ ﾘﾓｺﾝ（後ろの箱）</t>
  </si>
  <si>
    <t>抹消済</t>
    <rPh sb="0" eb="2">
      <t>マッショウ</t>
    </rPh>
    <rPh sb="2" eb="3">
      <t>スミ</t>
    </rPh>
    <phoneticPr fontId="13"/>
  </si>
  <si>
    <t>27-106</t>
  </si>
  <si>
    <t>971回</t>
  </si>
  <si>
    <t>28/1</t>
  </si>
  <si>
    <t>ﾌｨｱｯﾄ500X ｸﾛｽﾌﾟﾗｽ</t>
  </si>
  <si>
    <t>33/1</t>
  </si>
  <si>
    <t>大阪 350 す 500</t>
  </si>
  <si>
    <t>ZFA3340000P408910</t>
  </si>
  <si>
    <t>大阪ﾄﾖﾍﾟｯﾄ株式会社</t>
  </si>
  <si>
    <t>9/3</t>
  </si>
  <si>
    <t>取説 保証書（車内）ﾜﾝｵｰﾅｰ</t>
    <phoneticPr fontId="13"/>
  </si>
  <si>
    <t>27-107</t>
  </si>
  <si>
    <t>1696回</t>
  </si>
  <si>
    <t>ｴﾌﾞﾘｲW PZﾀｰﾎﾞ</t>
  </si>
  <si>
    <t>大阪 580 こ 7197</t>
  </si>
  <si>
    <t>DA64W-164577</t>
  </si>
  <si>
    <t>株式会社 ｽｽﾞｷ自販近畿中古車本部</t>
  </si>
  <si>
    <t>9/5</t>
  </si>
  <si>
    <t>ｷｰﾚｽ（車内）取説 保証書</t>
    <phoneticPr fontId="13"/>
  </si>
  <si>
    <t>27-108</t>
  </si>
  <si>
    <t>1001回</t>
  </si>
  <si>
    <t>25/5</t>
    <phoneticPr fontId="13"/>
  </si>
  <si>
    <t>ｼﾄﾛｴﾝC4 ｴｸｽｸﾙｰｼﾌﾞ</t>
  </si>
  <si>
    <t>32/5</t>
  </si>
  <si>
    <t>練馬 301 や 3864</t>
  </si>
  <si>
    <t>赤</t>
    <rPh sb="0" eb="1">
      <t>アカ</t>
    </rPh>
    <phoneticPr fontId="13"/>
  </si>
  <si>
    <t>VF7NC5FV8CY642301</t>
  </si>
  <si>
    <t>9/20</t>
  </si>
  <si>
    <t>抹消済</t>
    <rPh sb="0" eb="3">
      <t>マッショウスミ</t>
    </rPh>
    <phoneticPr fontId="13"/>
  </si>
  <si>
    <t>27-109</t>
  </si>
  <si>
    <t>1817回</t>
  </si>
  <si>
    <t>27/12</t>
  </si>
  <si>
    <t>BMW320i Mｽﾎﾟｰﾂ</t>
    <phoneticPr fontId="13"/>
  </si>
  <si>
    <t>2/12/24</t>
  </si>
  <si>
    <t>京都 336 ほ 58</t>
  </si>
  <si>
    <t>取説 保証書 ﾅﾋﾞ取 ｷｰﾚｽ ﾃﾞｨｰﾗｰ記録簿二枚 ﾜﾝｵｰﾅｰ</t>
  </si>
  <si>
    <t>581 は 1818</t>
  </si>
  <si>
    <t>WBA8A12000K430664</t>
  </si>
  <si>
    <t>株式会社 ﾗｲﾌﾀｲﾑｼｰﾄﾞ</t>
  </si>
  <si>
    <t>11/21</t>
  </si>
  <si>
    <t>取説 保証書 ﾅﾋﾞ取 ｷｰﾚｽ ﾜﾝｵｰﾅｰ</t>
  </si>
  <si>
    <t>27-111</t>
  </si>
  <si>
    <t>31/1</t>
  </si>
  <si>
    <t>Mﾍﾞﾝﾂ E450 W 4ﾏﾁｯｸ</t>
  </si>
  <si>
    <t>4/1</t>
  </si>
  <si>
    <t>姫路　301　た　2465</t>
  </si>
  <si>
    <t>取説 保証書 手帳 Sｷｰ ﾜﾝｵｰﾅｰ</t>
  </si>
  <si>
    <t>ﾜﾝｵｰﾅｰｸﾚｰﾑ済</t>
  </si>
  <si>
    <t>301 た 2465</t>
    <phoneticPr fontId="13"/>
  </si>
  <si>
    <t>WDD22132681A444216</t>
  </si>
  <si>
    <t>㈱ﾃｨｰｴｰｼｰｺｰﾎﾟﾚｰｼｮﾝ</t>
  </si>
  <si>
    <t>TACｺｰﾎﾟﾚｰｼｮﾝから買取</t>
  </si>
  <si>
    <t>27-112</t>
  </si>
  <si>
    <t>1043回</t>
  </si>
  <si>
    <t>27/7</t>
  </si>
  <si>
    <t>BMW420i ｸﾞﾗﾝｸｰﾍﾟ Mｽﾎﾟｰﾂ</t>
  </si>
  <si>
    <t>名古屋 331 む 3125</t>
  </si>
  <si>
    <t xml:space="preserve">取説 保証書 ｽﾍﾟｱｷｰ TVﾘﾓｺﾝ </t>
  </si>
  <si>
    <t>WBA4A12050GK07067</t>
  </si>
  <si>
    <t>ﾔﾅｾﾊﾞｲｴﾙﾝﾓｰﾀｰｽﾞ株式会社</t>
  </si>
  <si>
    <t>6/23</t>
  </si>
  <si>
    <t>取説保証書 ｷｰﾚｽ TVﾘﾓｺﾝ ﾜﾝｵｰﾅｰ</t>
  </si>
  <si>
    <t>27-113</t>
  </si>
  <si>
    <t>15/1</t>
  </si>
  <si>
    <t>CQﾓｰﾀｰｽﾞ 阪神ﾀｲｶﾞｰｽＱＩ</t>
    <phoneticPr fontId="13"/>
  </si>
  <si>
    <t>堺市 り 113</t>
  </si>
  <si>
    <t>取説 手帳</t>
  </si>
  <si>
    <t>A19245</t>
  </si>
  <si>
    <t>CQ102Q1AADA-0462</t>
  </si>
  <si>
    <t>大東 美千代</t>
  </si>
  <si>
    <t>27-114</t>
  </si>
  <si>
    <t>1848回</t>
  </si>
  <si>
    <t>25/11</t>
  </si>
  <si>
    <t>ﾎﾟﾙｼｪ ｹｲﾏﾝ ｽﾎﾟｰﾂｸﾛﾉPKG 2.7</t>
  </si>
  <si>
    <t>2/11</t>
  </si>
  <si>
    <t>つくば  300 ふ 245</t>
  </si>
  <si>
    <t>30Y つ  5</t>
  </si>
  <si>
    <t>WP0ZZZ98ZEK162260</t>
  </si>
  <si>
    <t>山川 将史</t>
  </si>
  <si>
    <t>7/9</t>
  </si>
  <si>
    <t>取説 保証書 ｷｰﾚｽ ﾘﾓｺﾝ</t>
  </si>
  <si>
    <t>27-115</t>
  </si>
  <si>
    <t>1739回</t>
  </si>
  <si>
    <t xml:space="preserve">BMWﾐﾆｸｰﾊﾟｰD </t>
  </si>
  <si>
    <t>3/9/22</t>
  </si>
  <si>
    <t>堺 300 ぬ 9328</t>
  </si>
  <si>
    <t>301 た 7358</t>
  </si>
  <si>
    <t>MIRIVE大阪（ｱｲｵｰｸ）</t>
  </si>
  <si>
    <t>ﾎﾜｲﾄｼﾙﾊﾞｰﾒﾀ</t>
  </si>
  <si>
    <t>WMWXN320202E74020</t>
  </si>
  <si>
    <t>大田 浩介</t>
  </si>
  <si>
    <t>7/16</t>
  </si>
  <si>
    <t>取説 保証書 ｷｰﾚｽ ﾏｲｸﾛSD ﾘﾓｺﾝ×2 ×</t>
  </si>
  <si>
    <t>27-116</t>
  </si>
  <si>
    <t>25/8</t>
  </si>
  <si>
    <t>ﾉｰﾄ X DIG-S</t>
  </si>
  <si>
    <t>32/8</t>
  </si>
  <si>
    <t>横浜 504 ね 7884</t>
  </si>
  <si>
    <t>A20838</t>
  </si>
  <si>
    <t>ｵｰﾛﾗﾓｰｳﾞ</t>
  </si>
  <si>
    <t>E12-148954</t>
  </si>
  <si>
    <t>山内 照彦</t>
  </si>
  <si>
    <t>7/30</t>
  </si>
  <si>
    <t>27-117</t>
  </si>
  <si>
    <t>1049回</t>
  </si>
  <si>
    <t>26/1</t>
  </si>
  <si>
    <t>BMW 320i ｸﾞﾗﾝﾂｰﾘｽﾓ Mｽﾎﾟｰﾂ</t>
  </si>
  <si>
    <t>京都 369 め 117</t>
  </si>
  <si>
    <t>取説 保証書 ｽﾍﾟｱｷｰ TVﾘﾓｺﾝ</t>
  </si>
  <si>
    <t>WBA3X12070D372890</t>
  </si>
  <si>
    <t>27-118</t>
  </si>
  <si>
    <t>1660回</t>
  </si>
  <si>
    <t>30/1</t>
  </si>
  <si>
    <t>なにわ 326 と 6828</t>
  </si>
  <si>
    <t>ﾌﾞﾙｰⅡ</t>
  </si>
  <si>
    <t>WMWXM720203C11546</t>
  </si>
  <si>
    <t>大阪ﾄﾖﾀ自動車株式会社</t>
  </si>
  <si>
    <t>8/11</t>
  </si>
  <si>
    <t>取説 保証書 ｷｰﾚｽ × （車内）</t>
    <phoneticPr fontId="13"/>
  </si>
  <si>
    <t>27-119</t>
  </si>
  <si>
    <t>24/11</t>
  </si>
  <si>
    <t>NV100ｸﾘｯﾊﾟｰ DX</t>
  </si>
  <si>
    <t>岡山 483 ね 113</t>
  </si>
  <si>
    <t>ﾘｸﾙｰﾄ</t>
  </si>
  <si>
    <t>B00086834</t>
  </si>
  <si>
    <t>U71V-0615099</t>
  </si>
  <si>
    <t>ﾈｯﾂﾄﾖﾀ岡山株式会社</t>
  </si>
  <si>
    <t>8/20</t>
  </si>
  <si>
    <t>27-120</t>
  </si>
  <si>
    <t>2072回</t>
  </si>
  <si>
    <t>23/11</t>
  </si>
  <si>
    <t>BMW 640iｸｰﾍﾟ Mｽﾎﾟｰﾂ</t>
  </si>
  <si>
    <t>32/11/23</t>
  </si>
  <si>
    <t>和泉 335 に 214</t>
  </si>
  <si>
    <t>WBALW32080C798740</t>
  </si>
  <si>
    <t>大興毛糸紡績 株式会社</t>
  </si>
  <si>
    <t>8/23</t>
  </si>
  <si>
    <t>27-121</t>
  </si>
  <si>
    <t>1854回</t>
  </si>
  <si>
    <t>24/7</t>
  </si>
  <si>
    <t>BMWﾐﾆｸｰﾊﾟｰS ｸｰﾍﾟ</t>
  </si>
  <si>
    <t>3/7</t>
  </si>
  <si>
    <t>神戸 550 も 3298</t>
  </si>
  <si>
    <t>取説 保証書 ｽﾍﾟｱｷｰ</t>
  </si>
  <si>
    <t>501 み 7651</t>
    <phoneticPr fontId="13"/>
  </si>
  <si>
    <t>WMWSX32090T404476</t>
  </si>
  <si>
    <t>坂野 嘉則</t>
  </si>
  <si>
    <t>8/27</t>
  </si>
  <si>
    <t>27-122</t>
  </si>
  <si>
    <t>1856回</t>
  </si>
  <si>
    <t>26/11</t>
    <phoneticPr fontId="13"/>
  </si>
  <si>
    <t>BMW 235iｸｰﾍﾟ Mｽﾎﾟｰﾂ</t>
  </si>
  <si>
    <t>足立　302　ふ　2669</t>
  </si>
  <si>
    <t>WBA1J720X0V229650</t>
  </si>
  <si>
    <t>牧野　善知</t>
  </si>
  <si>
    <t>9/12</t>
  </si>
  <si>
    <t>27-123</t>
  </si>
  <si>
    <t>1816回</t>
  </si>
  <si>
    <t>29/8</t>
  </si>
  <si>
    <t>ｱｳﾃﾞｨA4 ｱﾊﾞﾝﾄ 1.4TFSI ｽﾎﾟｰﾂ</t>
  </si>
  <si>
    <t>なにわ 301 は 2121</t>
  </si>
  <si>
    <t>WAUZZZF45HA068163</t>
  </si>
  <si>
    <t>9/11</t>
  </si>
  <si>
    <t>27-124</t>
  </si>
  <si>
    <t>1054回</t>
  </si>
  <si>
    <t>BMW M5</t>
  </si>
  <si>
    <t>なにわ 326 な 2779</t>
  </si>
  <si>
    <t xml:space="preserve">ｽﾍﾟｱｷｰ </t>
  </si>
  <si>
    <t>WBSFV92000DX95663</t>
  </si>
  <si>
    <t>9/13</t>
  </si>
  <si>
    <t>27-125</t>
  </si>
  <si>
    <t>1288回</t>
  </si>
  <si>
    <t>BMWﾐﾆｸｰﾊﾟｰ F55</t>
  </si>
  <si>
    <t>3/9/30</t>
  </si>
  <si>
    <t>習志野 301 ひ 6901</t>
  </si>
  <si>
    <t>保証書  ﾜﾝｵｰﾅｰ</t>
  </si>
  <si>
    <t>名変10/15まで</t>
  </si>
  <si>
    <t>301 た 9256</t>
  </si>
  <si>
    <t xml:space="preserve">あか </t>
  </si>
  <si>
    <t>WMWXS50602C90557</t>
  </si>
  <si>
    <t>楠木 良樹</t>
  </si>
  <si>
    <t>9/17</t>
  </si>
  <si>
    <t>抹消済</t>
  </si>
  <si>
    <t>27-126</t>
  </si>
  <si>
    <t>27/1</t>
  </si>
  <si>
    <t>BMW M235i MﾊﾟﾌｫｰﾏﾝｽED</t>
  </si>
  <si>
    <t>4/1</t>
    <phoneticPr fontId="13"/>
  </si>
  <si>
    <t>長崎 300 ふ 4926</t>
  </si>
  <si>
    <t>301 ち 523</t>
  </si>
  <si>
    <t>WBA1J72080V229307</t>
  </si>
  <si>
    <t>株式会社 MATSUFUJI</t>
  </si>
  <si>
    <t>9/19</t>
  </si>
  <si>
    <t>ｷｰﾚｽ（車内）取説 保証書 ×</t>
    <phoneticPr fontId="13"/>
  </si>
  <si>
    <t>27-127</t>
  </si>
  <si>
    <t>1289回</t>
  </si>
  <si>
    <t>15/8</t>
  </si>
  <si>
    <t>BMW M3 SMG2</t>
  </si>
  <si>
    <t>福山 330 そ 346</t>
  </si>
  <si>
    <t>WBS-BL92080JR07289</t>
  </si>
  <si>
    <t>芝吹 直記</t>
  </si>
  <si>
    <t>9/24</t>
  </si>
  <si>
    <t>取説 保証書 ｽﾍﾟｱｷｰ ﾌﾟﾗｷｰ ﾜﾝｵｰﾅｰ</t>
  </si>
  <si>
    <t>27-128</t>
  </si>
  <si>
    <t>28/4</t>
  </si>
  <si>
    <t>ｴﾌﾞﾘｲ　PA</t>
  </si>
  <si>
    <t>4/4</t>
  </si>
  <si>
    <t>船橋 480 あ 571</t>
  </si>
  <si>
    <t>取説</t>
  </si>
  <si>
    <t>車歴事業用</t>
  </si>
  <si>
    <t>480 と 1220</t>
  </si>
  <si>
    <t>A25453</t>
  </si>
  <si>
    <t>DA17V-166336</t>
  </si>
  <si>
    <t>小川 寛稀</t>
  </si>
  <si>
    <t>10/16</t>
  </si>
  <si>
    <t>今は自家用に変更済み</t>
  </si>
  <si>
    <t>27-129</t>
  </si>
  <si>
    <t>1859回</t>
  </si>
  <si>
    <t>3/3</t>
  </si>
  <si>
    <t>浜松 301 ぬ 9097</t>
  </si>
  <si>
    <t xml:space="preserve">取説 手帳 記録簿 ｽﾍﾟｱｷｰ </t>
  </si>
  <si>
    <t>ﾚﾝﾀｶｰﾌｧｲﾙ⑧にあり</t>
    <phoneticPr fontId="13"/>
  </si>
  <si>
    <t>WMWXM520303A55876</t>
  </si>
  <si>
    <t>加藤 隼之介</t>
  </si>
  <si>
    <t>10/6</t>
  </si>
  <si>
    <t>27-130</t>
  </si>
  <si>
    <t>1057回</t>
  </si>
  <si>
    <t>BMW320i ｸﾞﾗﾝﾂｰﾘｽﾓ Mｽﾎﾟｰﾂ</t>
  </si>
  <si>
    <t>33/4</t>
  </si>
  <si>
    <t>神戸 303 の 6879</t>
  </si>
  <si>
    <t>WBA3X12020D734253</t>
  </si>
  <si>
    <t>27-131</t>
  </si>
  <si>
    <t>1058回</t>
  </si>
  <si>
    <t>ﾚﾝｼﾞﾛｰﾊﾞｰ ｲｳﾞｫｰｸ ﾌﾟﾚｽﾃｰｼﾞ</t>
  </si>
  <si>
    <t>京都 399 も 3177</t>
  </si>
  <si>
    <t>ﾅﾋﾞﾛﾑ店長にわたしました</t>
  </si>
  <si>
    <t>SALVA2AG7FH971140</t>
  </si>
  <si>
    <t>株式会社 ｸﾞﾗﾝﾄﾞｴﾝﾀｰﾌﾟﾗｲｽﾞ</t>
  </si>
  <si>
    <t>10/11</t>
  </si>
  <si>
    <t>取説 保証書 ﾅﾋﾞﾛﾑ ×</t>
  </si>
  <si>
    <t>27-132</t>
  </si>
  <si>
    <t>1293回</t>
  </si>
  <si>
    <t>25/4</t>
  </si>
  <si>
    <t>BMW640i ｸﾞﾗﾝｸｰﾍﾟMｽﾎﾟｰﾂ</t>
  </si>
  <si>
    <t>4/6</t>
  </si>
  <si>
    <t>いわき 337 つ 6</t>
  </si>
  <si>
    <t>301 ち 1778</t>
  </si>
  <si>
    <t>WBA6A02040D211474</t>
  </si>
  <si>
    <t>大谷 誠</t>
  </si>
  <si>
    <t>10/22</t>
  </si>
  <si>
    <t>27-133</t>
  </si>
  <si>
    <t>1752回</t>
  </si>
  <si>
    <t>BMW M235iｸｰﾍﾟ</t>
  </si>
  <si>
    <t>3/2</t>
  </si>
  <si>
    <t>奈良 332 む 507</t>
  </si>
  <si>
    <t xml:space="preserve">保証書 </t>
  </si>
  <si>
    <t>399 つ 2900</t>
    <phoneticPr fontId="13"/>
  </si>
  <si>
    <t>MIRIVE大阪(ｱｲｵｰｸ）</t>
  </si>
  <si>
    <t>WBA1J72010VX83613</t>
  </si>
  <si>
    <t>VSS奈良 株式会社</t>
  </si>
  <si>
    <t>保証書 ×</t>
  </si>
  <si>
    <t>27-134</t>
  </si>
  <si>
    <t>1863回</t>
  </si>
  <si>
    <t>14/11</t>
  </si>
  <si>
    <t>BMW　M3</t>
  </si>
  <si>
    <t>3/11</t>
  </si>
  <si>
    <t>大阪300　や　2763</t>
  </si>
  <si>
    <t>保証書　取説　ｽﾍﾟｱｷｰ　記録多数</t>
  </si>
  <si>
    <t>WBSBL92040JR04843</t>
  </si>
  <si>
    <t>有限会社 一博社</t>
  </si>
  <si>
    <t>10/29</t>
  </si>
  <si>
    <t>取説 保証書 ﾅﾋﾞ取 ｷｰﾚｽ ｽﾍﾟｱｷｰ ﾓﾆﾀｰ ﾘﾓｺﾝ ×</t>
  </si>
  <si>
    <t>27-135</t>
  </si>
  <si>
    <t>千葉 311 ぬ 8008</t>
  </si>
  <si>
    <t>MIRIVE埼玉(ｱｲｵｰｸ）</t>
  </si>
  <si>
    <t>WMWXT720202G66227</t>
  </si>
  <si>
    <t>前林 佳孝</t>
  </si>
  <si>
    <t>10/31</t>
  </si>
  <si>
    <t>27-136</t>
  </si>
  <si>
    <t>堺 399 に 2885</t>
  </si>
  <si>
    <t>WMWXT72010F35497</t>
  </si>
  <si>
    <t>株式会社 関西ﾏﾂﾀﾞ</t>
  </si>
  <si>
    <t>11/7</t>
  </si>
  <si>
    <t>ｷｰﾚｽ（車内）取説</t>
    <phoneticPr fontId="13"/>
  </si>
  <si>
    <t>27-137</t>
  </si>
  <si>
    <t>1062回</t>
  </si>
  <si>
    <t>31/4</t>
  </si>
  <si>
    <t>BMWﾐﾆｸｰﾊﾟｰSD</t>
    <phoneticPr fontId="13"/>
  </si>
  <si>
    <t>4/4/25</t>
  </si>
  <si>
    <t>京都 330 ろ 3714</t>
  </si>
  <si>
    <t>301 ち 2837</t>
  </si>
  <si>
    <t>WMWXT720902H91984</t>
  </si>
  <si>
    <t>11/12</t>
  </si>
  <si>
    <t>3月抹消済</t>
    <rPh sb="1" eb="2">
      <t>ツキ</t>
    </rPh>
    <rPh sb="2" eb="4">
      <t>マッショウ</t>
    </rPh>
    <rPh sb="4" eb="5">
      <t>ズ</t>
    </rPh>
    <phoneticPr fontId="13"/>
  </si>
  <si>
    <t>27-138</t>
  </si>
  <si>
    <t>BMWﾐﾆｼﾞｮﾝｸｰﾊﾟｰﾜｰｸｽ ｸｰﾍﾟ</t>
  </si>
  <si>
    <t>岡崎 599 た 9687</t>
  </si>
  <si>
    <t xml:space="preserve">取説 保証書 予備ｷｰ </t>
  </si>
  <si>
    <t>WMWSX920X0T431012</t>
  </si>
  <si>
    <t>株式会社 N・S・Produce</t>
  </si>
  <si>
    <t>11/14</t>
  </si>
  <si>
    <t>取 保証書 ﾅﾋﾞ取 ｷｰﾚｽ ×</t>
  </si>
  <si>
    <t>27-139</t>
  </si>
  <si>
    <t>ｱﾊﾞﾙﾄ595 ｺﾝﾍﾟﾃｨﾂｨｵｰﾈ</t>
  </si>
  <si>
    <t>札幌 531 は 595</t>
  </si>
  <si>
    <t>501 ま 6058</t>
  </si>
  <si>
    <t>ZFA3120000J849594</t>
  </si>
  <si>
    <t>株式会社 ｾﾃﾞｨﾅ</t>
  </si>
  <si>
    <t>11/19</t>
  </si>
  <si>
    <t>27-140</t>
  </si>
  <si>
    <t>1297回</t>
  </si>
  <si>
    <t>BMWﾐﾆｸｰﾊﾟｰS ﾍﾟｯﾊﾟｰPKG</t>
  </si>
  <si>
    <t>神戸 303 や 739</t>
  </si>
  <si>
    <t>WMWXM720602A76285</t>
  </si>
  <si>
    <t>O-RUSHｲﾝﾀｰﾅｼｮﾅﾙ株式会社</t>
  </si>
  <si>
    <t>27-141</t>
  </si>
  <si>
    <t>29/3</t>
  </si>
  <si>
    <t>ｼﾞｬｶﾞｰXE Rｽﾎﾟｰﾂ</t>
  </si>
  <si>
    <t>4/3</t>
  </si>
  <si>
    <t>世田谷 310 つ 3018</t>
  </si>
  <si>
    <t>301 ち 2983</t>
  </si>
  <si>
    <t>SAJA4AN8HA967320</t>
  </si>
  <si>
    <t>堀江 哲朗</t>
  </si>
  <si>
    <t>取説  保証書 ｷｰﾚｽ ×</t>
  </si>
  <si>
    <t>27-142</t>
  </si>
  <si>
    <t>937回</t>
  </si>
  <si>
    <t>BMW220i ｸｰﾍﾟ Mｽﾎﾟｰﾂ</t>
  </si>
  <si>
    <t>野田 335 す 122</t>
  </si>
  <si>
    <t>USS大阪</t>
  </si>
  <si>
    <t>WBA1J12060V467590</t>
  </si>
  <si>
    <t>株式会社 ﾓﾄｰﾚﾝｸﾞﾗﾝﾂ</t>
  </si>
  <si>
    <t>27-143</t>
  </si>
  <si>
    <t>27/5</t>
  </si>
  <si>
    <t>静岡 351 ぬ 9</t>
  </si>
  <si>
    <t>301 ち 2839</t>
  </si>
  <si>
    <t>WMWXM720002A75391</t>
  </si>
  <si>
    <t>渡辺 諒太朗</t>
  </si>
  <si>
    <t>保証書 ｷｰﾚｽ</t>
  </si>
  <si>
    <t>ｷｰﾚｽ清水さんに渡してます</t>
    <rPh sb="4" eb="6">
      <t>シミズ</t>
    </rPh>
    <rPh sb="9" eb="10">
      <t>ワタ</t>
    </rPh>
    <phoneticPr fontId="13"/>
  </si>
  <si>
    <t>27-145</t>
  </si>
  <si>
    <t>1866回</t>
  </si>
  <si>
    <t>26/6</t>
  </si>
  <si>
    <t>3/6</t>
  </si>
  <si>
    <t>浜松 536 そ 1031</t>
  </si>
  <si>
    <t>DｸﾞﾘｰﾝⅡ</t>
  </si>
  <si>
    <t>WMWSX32060T404872</t>
  </si>
  <si>
    <t>木俣 隆司</t>
  </si>
  <si>
    <t>取説 保証書 ﾅﾋﾞ取 ﾜﾝｵｰﾅｰ</t>
  </si>
  <si>
    <t>27-146</t>
  </si>
  <si>
    <t>1031回</t>
  </si>
  <si>
    <t>ｼﾞｬｶﾞｰXF ﾗｸﾞｼﾞｭｱﾘｰ</t>
  </si>
  <si>
    <t>京都 335 も 916</t>
  </si>
  <si>
    <t>301 ち 2838</t>
  </si>
  <si>
    <t>SAJKC05M8FPU65297</t>
  </si>
  <si>
    <t>八光ｴﾙｱｰﾙ株式会社</t>
  </si>
  <si>
    <t>11/26</t>
  </si>
  <si>
    <t>取説 保証書 ﾅﾋﾞﾛﾑ ﾜﾝｵｰﾅｰ</t>
  </si>
  <si>
    <t>ﾅﾋﾞﾛﾑ店長にわたしてます</t>
  </si>
  <si>
    <t>27-147</t>
  </si>
  <si>
    <t>1064回</t>
  </si>
  <si>
    <t>28/11</t>
  </si>
  <si>
    <t>ﾚﾝｼﾞﾛｰﾊﾞｰｲｳﾞｫｰｸ SE ﾌﾟﾗｽ</t>
  </si>
  <si>
    <t>神戸 330 ぬ 452</t>
  </si>
  <si>
    <t>301 ち 2982</t>
  </si>
  <si>
    <t>SALVA2AGXHH173458</t>
  </si>
  <si>
    <t>ﾈｯﾂﾄﾖﾀｿﾞﾅ神戸株式会社</t>
  </si>
  <si>
    <t>27-148</t>
  </si>
  <si>
    <t>京都 334 ま 805</t>
  </si>
  <si>
    <t>ｸﾞﾘｰﾝⅡ</t>
  </si>
  <si>
    <t>WMWXS520802C88969</t>
  </si>
  <si>
    <t>11/24</t>
  </si>
  <si>
    <t>27-149</t>
  </si>
  <si>
    <t>29/12</t>
  </si>
  <si>
    <t>名古屋 345 ら 2727</t>
  </si>
  <si>
    <t>SAJAB4AN9JCP29034</t>
  </si>
  <si>
    <t>取説 保証書 ﾅﾋﾞﾛﾑ ｷｰﾚｽ ﾜﾝｵｰﾅｰ</t>
  </si>
  <si>
    <t>27-150</t>
  </si>
  <si>
    <t>1066回</t>
  </si>
  <si>
    <t>BMWﾐﾆｼﾞｬｰﾐﾝｸｰﾊﾟｰS</t>
  </si>
  <si>
    <t>京都 301 め 8816</t>
  </si>
  <si>
    <t>ﾗﾋﾟｽﾗｸﾞｼﾞｭｱﾘｰ青</t>
  </si>
  <si>
    <t>WMWXS720902C48928</t>
  </si>
  <si>
    <t>12/10</t>
  </si>
  <si>
    <t>27-151</t>
  </si>
  <si>
    <t>1760回</t>
  </si>
  <si>
    <t>BMW220i ｶﾌﾞﾘｵﾚ Mｽﾎﾟｰﾂ</t>
  </si>
  <si>
    <t>3/5</t>
  </si>
  <si>
    <t>神戸 352 す 312</t>
  </si>
  <si>
    <t>MIRIVE大阪（AS)</t>
  </si>
  <si>
    <t>WBA1L72030V492458</t>
  </si>
  <si>
    <t>森岡 健</t>
  </si>
  <si>
    <t>12/17</t>
  </si>
  <si>
    <t>27-152</t>
  </si>
  <si>
    <t>1068回</t>
  </si>
  <si>
    <t>25/6</t>
  </si>
  <si>
    <t>BMW M6 ｸﾞﾗﾝｸｰﾍﾟ</t>
  </si>
  <si>
    <t>京都 302 な 319</t>
  </si>
  <si>
    <t>ﾌﾛｰｽﾞﾝｼﾙﾊﾞｰ</t>
  </si>
  <si>
    <t>WBS6C92080DV74091</t>
  </si>
  <si>
    <t>株式会社 服部ﾓｰﾀｰｽ</t>
  </si>
  <si>
    <t>12/24</t>
  </si>
  <si>
    <t>27-153</t>
  </si>
  <si>
    <t>1871回</t>
  </si>
  <si>
    <t>28/8</t>
  </si>
  <si>
    <t>BMW M235i ｸｰﾍﾟ</t>
  </si>
  <si>
    <t>3/8/30</t>
  </si>
  <si>
    <t>福岡 347 た 318</t>
  </si>
  <si>
    <t>ｱﾙﾋﾟﾝﾎﾜｲﾄ</t>
  </si>
  <si>
    <t>WBA1J72070V486717</t>
  </si>
  <si>
    <t>杜 翔</t>
  </si>
  <si>
    <t>12/25</t>
  </si>
  <si>
    <r>
      <rPr>
        <sz val="11"/>
        <color theme="4" tint="-0.499984740745262"/>
        <rFont val="ＭＳ Ｐゴシック"/>
        <family val="3"/>
        <charset val="128"/>
      </rPr>
      <t xml:space="preserve">取説 保証書 </t>
    </r>
    <r>
      <rPr>
        <sz val="11"/>
        <color theme="4" tint="-0.249977111117893"/>
        <rFont val="ＭＳ Ｐゴシック"/>
        <family val="3"/>
        <charset val="128"/>
      </rPr>
      <t>ｽﾍﾟｱｷｰﾚｽ</t>
    </r>
  </si>
  <si>
    <t>27-154</t>
  </si>
  <si>
    <t>30/6</t>
  </si>
  <si>
    <t>NV100 ｸﾘｯﾊﾟｰﾊﾞﾝ</t>
  </si>
  <si>
    <t>34/6</t>
  </si>
  <si>
    <t>練馬 480 さ 8952</t>
  </si>
  <si>
    <t>取説 保証書 事業用</t>
  </si>
  <si>
    <t>480 と 2340</t>
  </si>
  <si>
    <t>A30611</t>
  </si>
  <si>
    <t>DR17V-279878</t>
  </si>
  <si>
    <t>株式会社 K＆S</t>
  </si>
  <si>
    <t>1/14</t>
  </si>
  <si>
    <t>保証書 取説 ｽﾍﾟｱｷｰ</t>
  </si>
  <si>
    <t>名変期限2/10まで</t>
  </si>
  <si>
    <t>27-155</t>
  </si>
  <si>
    <t>831回</t>
  </si>
  <si>
    <t>BMWM235Ｉｸｰﾍﾟ</t>
  </si>
  <si>
    <t>横浜 305 て 177</t>
  </si>
  <si>
    <t>保証書 取説 ﾜﾝｵｰﾅｰ</t>
  </si>
  <si>
    <t>WBA1J710X0V486193</t>
  </si>
  <si>
    <t>株式会社 ﾃﾞｽﾃｨｰﾉ</t>
  </si>
  <si>
    <t>1/17</t>
  </si>
  <si>
    <t>保証書 取説 ｷｰﾚｽ ﾜﾝｵｰﾅｰ</t>
  </si>
  <si>
    <t>27-156</t>
  </si>
  <si>
    <t>1305回</t>
  </si>
  <si>
    <t>BMW640I ｸﾞﾗﾝｸｰﾍﾟMｽﾎﾟｰﾂ</t>
  </si>
  <si>
    <t>4/11/3</t>
  </si>
  <si>
    <t>杉並 310 ほ 415</t>
  </si>
  <si>
    <t>301 ち 5230</t>
  </si>
  <si>
    <t>WBA6A02040DZ11555</t>
  </si>
  <si>
    <t>株式会社ｵﾘｴﾝﾄｺｰﾎﾟﾚｰｼｮﾝ</t>
  </si>
  <si>
    <t>1/21</t>
  </si>
  <si>
    <t>保証書 取説 ｷｰﾚｽ</t>
  </si>
  <si>
    <t>1月抹消済</t>
  </si>
  <si>
    <t>27-157</t>
  </si>
  <si>
    <t>25/10</t>
  </si>
  <si>
    <t>ﾀﾝﾄ GA</t>
  </si>
  <si>
    <t>4/10</t>
  </si>
  <si>
    <t>豊橋 580 に 2664</t>
  </si>
  <si>
    <t>581 の 234</t>
  </si>
  <si>
    <t>B00131753</t>
  </si>
  <si>
    <t>茶色</t>
  </si>
  <si>
    <t>LA600S-0004167</t>
  </si>
  <si>
    <t>愛知ﾄﾖﾀ自動車株式会社</t>
  </si>
  <si>
    <t>2/6</t>
  </si>
  <si>
    <t>保証書 取説 ｷｰﾚｽ ｽﾍﾟｱｷｰ(車内）</t>
    <phoneticPr fontId="13"/>
  </si>
  <si>
    <t>11月抹消済</t>
    <rPh sb="2" eb="3">
      <t>ガツ</t>
    </rPh>
    <rPh sb="3" eb="6">
      <t>マッショウズ</t>
    </rPh>
    <phoneticPr fontId="13"/>
  </si>
  <si>
    <t>27-158</t>
  </si>
  <si>
    <t>947回</t>
  </si>
  <si>
    <t xml:space="preserve"> BMWﾐﾆ ｸｰﾊﾟｰS</t>
  </si>
  <si>
    <t>大阪 350 ま 125</t>
  </si>
  <si>
    <t>保証書 ｽﾍﾟｱｷｰ ﾜﾝｵｰﾅｰ</t>
  </si>
  <si>
    <t>WMWXR52090TM81733</t>
  </si>
  <si>
    <t>西田 美智子</t>
  </si>
  <si>
    <t>2/4</t>
  </si>
  <si>
    <t>27-159</t>
  </si>
  <si>
    <t>1041回</t>
  </si>
  <si>
    <t>堺 399 に 6416</t>
  </si>
  <si>
    <t>保証書 取説 ｽﾍﾟｱｷｰ ﾜﾝｵｰﾅｰ</t>
  </si>
  <si>
    <t>ＺＦＡ3340000Ｐ646547</t>
  </si>
  <si>
    <t>八光自動車工業株式会社</t>
  </si>
  <si>
    <t>保証書 取説 ｷｰﾚｽ ﾜﾝｵｰﾅｰ</t>
    <phoneticPr fontId="13"/>
  </si>
  <si>
    <t>詳細</t>
  </si>
  <si>
    <t>27-160</t>
  </si>
  <si>
    <t>1042回</t>
  </si>
  <si>
    <t>ﾏｾﾗﾃｨ ｷﾞﾌﾞﾘ</t>
  </si>
  <si>
    <t>神戸 335 る 36</t>
  </si>
  <si>
    <t>ZAMSS57C001126563</t>
  </si>
  <si>
    <t>株式会社ﾈﾛ</t>
  </si>
  <si>
    <t>保証書 取説 ﾅﾋﾞ取 ｷｰﾚｽ</t>
  </si>
  <si>
    <t>27-161</t>
  </si>
  <si>
    <t>1313回</t>
  </si>
  <si>
    <t>BMWﾐﾆｸｰﾍﾟ ｸｰﾊﾟｰS</t>
  </si>
  <si>
    <t>沖縄 333 ね 58</t>
  </si>
  <si>
    <t>WMWXS720302C50609</t>
  </si>
  <si>
    <t>株式会社IDOM</t>
  </si>
  <si>
    <t>3/18</t>
  </si>
  <si>
    <t xml:space="preserve">保証書 取説 ｷｰﾚｽ </t>
  </si>
  <si>
    <t>27-162</t>
  </si>
  <si>
    <t>1290回</t>
  </si>
  <si>
    <t>BMW740I Mｽﾎﾟｰﾂ ﾘｱｺﾝﾌｫｰﾄﾊﾟｯｹｰｼﾞ</t>
  </si>
  <si>
    <t>3/9</t>
  </si>
  <si>
    <t>福岡 325 ね 358</t>
  </si>
  <si>
    <t>31L そ  5</t>
  </si>
  <si>
    <t>WBA7A22060G751094</t>
  </si>
  <si>
    <t>ﾕｲ株式会社</t>
  </si>
  <si>
    <t>保証書 取説 ﾄﾞﾗﾚｺ取説 ｷｰﾚｽ ｾｷｭﾘﾃｨﾘﾓｺﾝ2つ ﾃﾚｷｬﾝ</t>
  </si>
  <si>
    <t>27-163</t>
  </si>
  <si>
    <t>28/6</t>
  </si>
  <si>
    <t>BMW220Iｸｰﾍﾟ Mｽﾎﾟｰﾂ</t>
  </si>
  <si>
    <t>鹿児島 334 ち 4</t>
  </si>
  <si>
    <t>保証書 取説 ﾅﾋﾞ取</t>
  </si>
  <si>
    <t>WBA1J120X0Y467740</t>
  </si>
  <si>
    <t>株式会社ｾｲﾊﾞｰ</t>
  </si>
  <si>
    <t>27-164</t>
  </si>
  <si>
    <t>1291回</t>
  </si>
  <si>
    <t>ｱﾙﾌｧﾛﾒｵﾐﾄ ｺﾝﾍﾟﾃｨﾂｨｵｰﾈ</t>
  </si>
  <si>
    <t>熊本 334 め 708</t>
  </si>
  <si>
    <t>ZAR9550000X045327</t>
  </si>
  <si>
    <t>海江田 ちひろ</t>
  </si>
  <si>
    <t>3/25</t>
  </si>
  <si>
    <t>ｷｰﾚｽ（車内） 保証書 取説 ﾅﾋﾞ取</t>
    <phoneticPr fontId="13"/>
  </si>
  <si>
    <t>27-165</t>
  </si>
  <si>
    <t>24/6</t>
  </si>
  <si>
    <t>BMWﾐﾆ ｸｰﾊﾟｰSｸｰﾍﾟ</t>
  </si>
  <si>
    <t>大阪 599 も 107</t>
  </si>
  <si>
    <t>ﾎﾝﾀﾞ関西（まとめ）</t>
  </si>
  <si>
    <t>WMWSX32080T442328</t>
    <phoneticPr fontId="13"/>
  </si>
  <si>
    <t>空港自販株式会社</t>
  </si>
  <si>
    <t>4/13</t>
  </si>
  <si>
    <t>27-166</t>
  </si>
  <si>
    <t>1776回</t>
  </si>
  <si>
    <t>BMWﾐﾆ ｼﾞｮﾝｸｰﾊﾟｰﾜｰｸｽ</t>
  </si>
  <si>
    <t>和歌山 330 て 7072</t>
  </si>
  <si>
    <t>保証書 取説</t>
  </si>
  <si>
    <t>ﾐﾗｲﾌﾞ大阪（AS)</t>
  </si>
  <si>
    <t>WMWXM920702D05892</t>
  </si>
  <si>
    <t>株式会社ﾋﾞｰｴﾑﾊﾅﾃﾝ</t>
  </si>
  <si>
    <t>4/18</t>
  </si>
  <si>
    <t>27-167</t>
  </si>
  <si>
    <t>844回</t>
  </si>
  <si>
    <t>ﾗﾝﾄﾞﾛｰﾊﾞｰ ﾃﾞｨｽｶﾊﾞﾘｰ</t>
  </si>
  <si>
    <t>山梨 330 そ 1322</t>
  </si>
  <si>
    <t>SALLTAMP34A837678</t>
  </si>
  <si>
    <t>飯島 浩二</t>
  </si>
  <si>
    <t>4/19</t>
  </si>
  <si>
    <t>取説(車内)</t>
  </si>
  <si>
    <t>27-168</t>
  </si>
  <si>
    <t>1052回</t>
  </si>
  <si>
    <t>20/2</t>
  </si>
  <si>
    <t>ｴﾌﾞﾘｨﾜｺﾞﾝ PZﾀｰﾎﾞｽﾍﾟｼｬﾙ</t>
  </si>
  <si>
    <t>岡山 580 た 714</t>
  </si>
  <si>
    <t>DA64W-262998</t>
  </si>
  <si>
    <t>飛鳥ﾎﾝﾀﾞ株式会社</t>
  </si>
  <si>
    <t>4/27</t>
  </si>
  <si>
    <t>27-169</t>
  </si>
  <si>
    <t>1890回</t>
  </si>
  <si>
    <t>ﾌﾟｼﾞｮｰRCZ GTﾗｲﾝ</t>
  </si>
  <si>
    <t>福井 300 ほ 9355</t>
  </si>
  <si>
    <t>VF34J5FVAFP003786</t>
  </si>
  <si>
    <t>株式会社 GP福井</t>
  </si>
  <si>
    <t>5/22</t>
  </si>
  <si>
    <t>保証書 取説 ﾅﾋﾞ取 ｷｰﾚｽ ﾜﾝｵｰﾅｰ</t>
  </si>
  <si>
    <t>27-170</t>
  </si>
  <si>
    <t>1597回</t>
  </si>
  <si>
    <t>ｼﾄﾛｴﾝDS5  ｼｯｸ ﾚｻﾞｰﾊﾟｯｹｰｼﾞ</t>
  </si>
  <si>
    <t>三河 302 た 8518</t>
  </si>
  <si>
    <t>VF7KF5GZTGS507623</t>
  </si>
  <si>
    <t>ﾄﾖﾀｶﾛｰﾗ愛豊株式会社</t>
  </si>
  <si>
    <t>取説 ﾅﾋﾞ取 ｷｰﾚｽ(車内)   手帳</t>
  </si>
  <si>
    <t>27-171</t>
  </si>
  <si>
    <t>1300回</t>
  </si>
  <si>
    <t>25/9</t>
  </si>
  <si>
    <t>BMW ｱｸﾃｨﾌﾞﾊｲﾌﾞﾘｯﾄ3 Mｽﾎﾟｰﾂ</t>
  </si>
  <si>
    <t>4/9</t>
  </si>
  <si>
    <t>長崎 332 す 3838</t>
  </si>
  <si>
    <t>保証書 取説 ｽﾍﾟｱｷｰ 記録 ﾜﾝｵｰﾅｰ</t>
  </si>
  <si>
    <t>301 つ 251</t>
  </si>
  <si>
    <t>WBA3F92060KL53521</t>
  </si>
  <si>
    <t>医療法人社団 宮崎耳鼻咽喉科医院</t>
  </si>
  <si>
    <t>保証書 取説 ﾅﾋﾞ取 ｷｰﾚｽ 記録 法人ﾜﾝｵｰﾅｰ</t>
  </si>
  <si>
    <t>27-172</t>
  </si>
  <si>
    <t>1090回</t>
  </si>
  <si>
    <t>ｱｳﾃﾞｨRS4</t>
  </si>
  <si>
    <t>姫路 300 ひ 3579</t>
  </si>
  <si>
    <t>ｽﾍﾟｱｷｰ</t>
  </si>
  <si>
    <t>WAUZZZ8E17N906286</t>
  </si>
  <si>
    <t>株式会社 阪神小型ﾓｰﾀｰｽ</t>
  </si>
  <si>
    <t>27-173</t>
  </si>
  <si>
    <t>1325回</t>
  </si>
  <si>
    <t>ﾗﾝﾄﾞﾛｰﾊﾞｰ ﾃﾞｨｽｶﾊﾞﾘｰ SE</t>
  </si>
  <si>
    <t>浜松 358 は 10</t>
  </si>
  <si>
    <t>301 つ 1201</t>
  </si>
  <si>
    <t>SALLAJAD3DA654558</t>
  </si>
  <si>
    <t>27-174</t>
  </si>
  <si>
    <t>1894回</t>
  </si>
  <si>
    <t>ｱｳﾃﾞｨRS4 ｱﾊﾞﾝﾄ 4.2ｸﾜﾄﾛ</t>
  </si>
  <si>
    <t>岐阜 302 も 375</t>
  </si>
  <si>
    <t>WAUZZZ8E37N906533</t>
  </si>
  <si>
    <t>岡田 猛</t>
  </si>
  <si>
    <t>27-175</t>
  </si>
  <si>
    <t>29/11</t>
  </si>
  <si>
    <t>BMW M2ｸｰﾍﾟ</t>
  </si>
  <si>
    <t>品川 326 る 7352</t>
  </si>
  <si>
    <t>保証書 ﾜﾝｵｰﾅｰ</t>
  </si>
  <si>
    <t>WBS1J52000VD42672</t>
  </si>
  <si>
    <t>ﾋﾞｰｴﾑﾀﾞﾌﾞﾘｭｰｼﾞｬﾊﾟﾝﾌｧｲﾅﾝｽ株式会社</t>
  </si>
  <si>
    <t>27-176</t>
  </si>
  <si>
    <t xml:space="preserve">BMW M3 </t>
  </si>
  <si>
    <t>4/7</t>
  </si>
  <si>
    <t>船橋 300 さ 6607</t>
  </si>
  <si>
    <t>301 つ 1198</t>
  </si>
  <si>
    <t>WBSVA91020E039433</t>
  </si>
  <si>
    <t>株式会社ﾄｯﾌﾟﾗﾝｸ</t>
  </si>
  <si>
    <t>保証書 取説 ｷｰﾚｽ ﾘﾓｺﾝ</t>
  </si>
  <si>
    <t>27-177</t>
  </si>
  <si>
    <t>BMW 220Iｸｰﾍﾟ</t>
  </si>
  <si>
    <t>4/12</t>
  </si>
  <si>
    <t>大阪 343 め1000</t>
  </si>
  <si>
    <t>301 つ1196</t>
  </si>
  <si>
    <t>WBA2H52070VB21588</t>
  </si>
  <si>
    <t>株式会社ﾋﾞｰ・ｴﾑ・ﾀﾞﾌﾞﾘｭｰ・ｼﾞｬﾊﾟﾝ・ﾌｧｲﾅﾝｽ</t>
  </si>
  <si>
    <t>7/4</t>
  </si>
  <si>
    <t>27-178</t>
  </si>
  <si>
    <t>27/6</t>
  </si>
  <si>
    <t>ｼﾞｬｶﾞーXF 2.0R ｽﾎﾟｰﾂLTDｴﾃﾞｨｼｮﾝ</t>
  </si>
  <si>
    <t>神戸 381 る 23</t>
  </si>
  <si>
    <t>301 つ 2405</t>
    <phoneticPr fontId="13"/>
  </si>
  <si>
    <t>SAJKC05M8FPU75294</t>
  </si>
  <si>
    <t>7/6</t>
  </si>
  <si>
    <t>27-179</t>
  </si>
  <si>
    <t>ｼﾄﾛｴﾝGC4 ﾋﾟｶｿ ｼｬｲﾝ ﾌﾞﾙｰHDI</t>
  </si>
  <si>
    <t>練馬 302 ち 9522</t>
  </si>
  <si>
    <t>301 つ 2408</t>
    <phoneticPr fontId="13"/>
  </si>
  <si>
    <t>VF73AAHXTHJ544918</t>
  </si>
  <si>
    <t>株式会社 ｸﾞﾗﾝﾃﾞｨｽﾞﾑ</t>
  </si>
  <si>
    <t>7/11</t>
  </si>
  <si>
    <t>保証書 取説(車内)    ｷｰﾚｽ</t>
  </si>
  <si>
    <t>27-180</t>
  </si>
  <si>
    <t>3/11/28</t>
  </si>
  <si>
    <t>尾張小牧 330 な 3141</t>
  </si>
  <si>
    <t>保証書 法人ﾜﾝｵｰﾅｰ</t>
  </si>
  <si>
    <t>WBSPM92060E198387</t>
  </si>
  <si>
    <t>医療法人おおわきﾚﾃﾞｨｽｸﾘﾆｯｸ</t>
  </si>
  <si>
    <t>7/15</t>
  </si>
  <si>
    <t>保証書 取説 ｷｰﾚｽ 法人ﾜﾝｵｰﾅｰ</t>
  </si>
  <si>
    <t>27-181</t>
  </si>
  <si>
    <t>BMW M3 ｸｰﾍﾟ</t>
  </si>
  <si>
    <t>成田 399 す 2805</t>
  </si>
  <si>
    <t>WBSWD910X0PY30406</t>
  </si>
  <si>
    <t>株式会社 ｼﾞｮｲﾙｰﾄ</t>
  </si>
  <si>
    <t>7/18</t>
  </si>
  <si>
    <t>27-182</t>
  </si>
  <si>
    <t>28/7</t>
  </si>
  <si>
    <t>BMW320I GT Mｽﾎﾟｰﾂ</t>
  </si>
  <si>
    <t>和泉 337 ま 128</t>
  </si>
  <si>
    <t>WBA3X12080D737139</t>
  </si>
  <si>
    <t>ｴﾙﾍﾞｵｰﾄ株式会社</t>
  </si>
  <si>
    <t>7/20</t>
  </si>
  <si>
    <t>27-183</t>
  </si>
  <si>
    <t>BMW420I ｸｰﾍﾟ Mｽﾎﾟｰﾂ</t>
  </si>
  <si>
    <t>神戸 304 す 6224</t>
  </si>
  <si>
    <t>保証書 取説 ｽﾍﾟｱｷｰ TVﾘﾓｺﾝ</t>
  </si>
  <si>
    <t>301 つ 2402</t>
    <phoneticPr fontId="13"/>
  </si>
  <si>
    <t>WBA3N12040K410125</t>
  </si>
  <si>
    <t>株式会社ﾔﾅｾ</t>
  </si>
  <si>
    <t>7/22</t>
  </si>
  <si>
    <t>保証書 ｷｰﾚｽ ﾘﾓｺﾝ</t>
    <phoneticPr fontId="13"/>
  </si>
  <si>
    <t>取説 小売りで使用</t>
    <rPh sb="0" eb="2">
      <t>トリセツ</t>
    </rPh>
    <rPh sb="3" eb="5">
      <t>コウ</t>
    </rPh>
    <rPh sb="7" eb="9">
      <t>シヨウ</t>
    </rPh>
    <phoneticPr fontId="13"/>
  </si>
  <si>
    <t>27-184</t>
  </si>
  <si>
    <t>24/2</t>
  </si>
  <si>
    <t>5/3</t>
  </si>
  <si>
    <t>水戸 527 に   3</t>
  </si>
  <si>
    <t>501 み 3248</t>
    <phoneticPr fontId="13"/>
  </si>
  <si>
    <t>WMWSV32030T151113</t>
    <phoneticPr fontId="13"/>
  </si>
  <si>
    <t>株式会社ﾌﾟﾛﾌｨｰﾙ</t>
  </si>
  <si>
    <t xml:space="preserve">保証書 取説 ﾅﾋﾞ取 ﾐﾆB-CAS </t>
  </si>
  <si>
    <t>27-185</t>
  </si>
  <si>
    <t>神戸 547 さ 1</t>
  </si>
  <si>
    <t>保証書 手帳 取説 ｽﾍﾟｱｷｰ</t>
  </si>
  <si>
    <t>ﾚｯﾄﾞⅡ</t>
  </si>
  <si>
    <t>WMWSX32020T139738</t>
  </si>
  <si>
    <t>株式会社神戸ﾏﾂﾀﾞ</t>
  </si>
  <si>
    <t>7/29</t>
  </si>
  <si>
    <t>保証書 手帳 取説 ｷｰﾚｽ</t>
  </si>
  <si>
    <t>27-186</t>
  </si>
  <si>
    <t>BMW320I ﾂｰﾘﾝｸﾞMｽﾎﾟｰﾂ</t>
  </si>
  <si>
    <t>4/3/30</t>
  </si>
  <si>
    <t>湘南 345 ぬ 27</t>
  </si>
  <si>
    <t>保証書 取説 記録簿（H30.R2.R3）</t>
  </si>
  <si>
    <t>301 つ 2401</t>
    <phoneticPr fontId="13"/>
  </si>
  <si>
    <t>WBA8G32040K779174</t>
  </si>
  <si>
    <t>菊池 正貢</t>
  </si>
  <si>
    <t>8/5</t>
  </si>
  <si>
    <t>保証書 取説 ｷｰﾚｽ 記録</t>
  </si>
  <si>
    <t>27-187</t>
  </si>
  <si>
    <t>ｱﾊﾞﾙﾄ 595ﾂｰﾘｽﾞﾓ</t>
  </si>
  <si>
    <t>5/1/28</t>
  </si>
  <si>
    <t>愛媛 501 ぬ 8876</t>
  </si>
  <si>
    <t>501 み 2943</t>
    <phoneticPr fontId="13"/>
  </si>
  <si>
    <t>ｶﾞﾝM</t>
  </si>
  <si>
    <t>ZFA31200001472895</t>
  </si>
  <si>
    <t>医療法人 いちかわ内視鏡内科ｸﾘﾆｯｸ</t>
  </si>
  <si>
    <t>8/8</t>
  </si>
  <si>
    <t>ｷｰﾚｽ(車内)   保証書 取説 法人ﾜﾝｵｰﾅｰ</t>
  </si>
  <si>
    <t>1月抹消済</t>
    <rPh sb="1" eb="2">
      <t>ガツ</t>
    </rPh>
    <rPh sb="2" eb="5">
      <t>マッショウズ</t>
    </rPh>
    <phoneticPr fontId="13"/>
  </si>
  <si>
    <t>27-188</t>
  </si>
  <si>
    <t>25/2</t>
  </si>
  <si>
    <t>4/2/21</t>
  </si>
  <si>
    <t>大分 533 は 1006</t>
  </si>
  <si>
    <t>501 み 3247</t>
    <phoneticPr fontId="13"/>
  </si>
  <si>
    <t>WMWSV32080T152337</t>
    <phoneticPr fontId="13"/>
  </si>
  <si>
    <t>株式会社ｲﾝﾊﾟｸﾄ</t>
  </si>
  <si>
    <t>車検月2ヶ月違いｸﾚｰﾑ済</t>
  </si>
  <si>
    <t>27-189</t>
  </si>
  <si>
    <t>5/2/22</t>
  </si>
  <si>
    <t>奈良 344 ゆ 3377</t>
  </si>
  <si>
    <t>301 つ 3428</t>
    <phoneticPr fontId="13"/>
  </si>
  <si>
    <t>WBA2H52040VB21595</t>
  </si>
  <si>
    <t>株式会社 ﾐﾅﾐｼﾏ自動車販売</t>
  </si>
  <si>
    <t>8/10</t>
  </si>
  <si>
    <t>27-190</t>
  </si>
  <si>
    <t>3/8</t>
  </si>
  <si>
    <t>足立 330 さ 9850</t>
  </si>
  <si>
    <t>保証書 取説 地ﾃﾞｼﾞﾘﾓｺﾝ ｽﾏｰﾄｷｰ</t>
  </si>
  <si>
    <t>WMWXT720X02H18638</t>
  </si>
  <si>
    <t>前川 米夫</t>
  </si>
  <si>
    <t>保証書 取説 ｷｰﾚｽ ﾘﾓｺﾝ ﾜﾝｵｰﾅｰ</t>
  </si>
  <si>
    <t>27-191</t>
  </si>
  <si>
    <t>29/7</t>
    <phoneticPr fontId="13"/>
  </si>
  <si>
    <t>MﾍﾞﾝﾂG350ｄ  ﾗｸﾞｼﾞｭｱﾘｰﾊﾟｯｹｰｼﾞ</t>
    <phoneticPr fontId="13"/>
  </si>
  <si>
    <t>4/7/30</t>
    <phoneticPr fontId="13"/>
  </si>
  <si>
    <t>名古屋 345 て 3776</t>
    <rPh sb="0" eb="3">
      <t>ナゴヤ</t>
    </rPh>
    <phoneticPr fontId="13"/>
  </si>
  <si>
    <t>保証書 ﾜﾝｵｰﾅｰ  点検記録30/7、R1/7、R2/7</t>
  </si>
  <si>
    <t>371 ひ 6</t>
    <phoneticPr fontId="13"/>
  </si>
  <si>
    <t>USS名古屋</t>
    <rPh sb="3" eb="6">
      <t>ナゴヤ</t>
    </rPh>
    <phoneticPr fontId="13"/>
  </si>
  <si>
    <t>ｸﾞﾚｰM</t>
    <phoneticPr fontId="13"/>
  </si>
  <si>
    <t>WDB4633482X268304</t>
    <phoneticPr fontId="13"/>
  </si>
  <si>
    <t>株式会社 服部ﾓｰﾀｰｽ</t>
    <rPh sb="0" eb="4">
      <t>カブシキガイシャ</t>
    </rPh>
    <rPh sb="5" eb="7">
      <t>ハットリ</t>
    </rPh>
    <phoneticPr fontId="13"/>
  </si>
  <si>
    <t>9/3</t>
    <phoneticPr fontId="13"/>
  </si>
  <si>
    <t>保証書 取説 ｷｰﾚｽ 記録OK 法人ﾜﾝｵｰﾅｰ</t>
    <rPh sb="0" eb="3">
      <t>ホショウショ</t>
    </rPh>
    <rPh sb="4" eb="6">
      <t>トリセツ</t>
    </rPh>
    <rPh sb="12" eb="14">
      <t>キロク</t>
    </rPh>
    <rPh sb="17" eb="19">
      <t>ホウジン</t>
    </rPh>
    <phoneticPr fontId="13"/>
  </si>
  <si>
    <t>27-192</t>
  </si>
  <si>
    <t>27/4</t>
    <phoneticPr fontId="13"/>
  </si>
  <si>
    <t>ｼﾞｬｶﾞｰ F CPｹｲﾆｼｺﾘｴﾃﾞｨｼｮﾝ</t>
    <phoneticPr fontId="13"/>
  </si>
  <si>
    <t>4/4/27</t>
    <phoneticPr fontId="13"/>
  </si>
  <si>
    <t>大分 330 み 1986</t>
    <rPh sb="0" eb="2">
      <t>オオイタ</t>
    </rPh>
    <phoneticPr fontId="13"/>
  </si>
  <si>
    <t>保証書 取説 記録</t>
  </si>
  <si>
    <t>301 つ 3423</t>
    <phoneticPr fontId="13"/>
  </si>
  <si>
    <t>USS九州</t>
    <rPh sb="3" eb="5">
      <t>キュウシュウ</t>
    </rPh>
    <phoneticPr fontId="13"/>
  </si>
  <si>
    <t>ｵﾚﾝｼﾞ</t>
    <phoneticPr fontId="13"/>
  </si>
  <si>
    <t>SAJKC60F1G8K23782</t>
    <phoneticPr fontId="13"/>
  </si>
  <si>
    <t>株式会社ｵｰｼｰ</t>
    <rPh sb="0" eb="4">
      <t>カブシキガイシャ</t>
    </rPh>
    <phoneticPr fontId="13"/>
  </si>
  <si>
    <t>9/2</t>
    <phoneticPr fontId="13"/>
  </si>
  <si>
    <t>保証書 取説 記録</t>
    <rPh sb="0" eb="3">
      <t>ホショウショ</t>
    </rPh>
    <rPh sb="4" eb="6">
      <t>トリセツ</t>
    </rPh>
    <rPh sb="7" eb="9">
      <t>キロク</t>
    </rPh>
    <phoneticPr fontId="13"/>
  </si>
  <si>
    <t>27-193</t>
  </si>
  <si>
    <t>27/5</t>
    <phoneticPr fontId="13"/>
  </si>
  <si>
    <t>BMWﾐﾆｸｰﾊﾟｰS JCWﾊﾟｯｹｰｼﾞ</t>
    <phoneticPr fontId="13"/>
  </si>
  <si>
    <t>4/5</t>
    <phoneticPr fontId="13"/>
  </si>
  <si>
    <t>岡山 385 ら 1122</t>
    <rPh sb="0" eb="2">
      <t>オカヤマ</t>
    </rPh>
    <phoneticPr fontId="13"/>
  </si>
  <si>
    <t>保証書 ｽﾍﾟｱｷｰ</t>
  </si>
  <si>
    <t>301 つ 4545</t>
    <phoneticPr fontId="13"/>
  </si>
  <si>
    <t>HAA</t>
    <phoneticPr fontId="13"/>
  </si>
  <si>
    <t>ｸﾞﾚｰⅡ</t>
    <phoneticPr fontId="13"/>
  </si>
  <si>
    <t>WMWXS720402C46679</t>
    <phoneticPr fontId="13"/>
  </si>
  <si>
    <t>山内 一幸</t>
    <rPh sb="0" eb="2">
      <t>ヤマウチ</t>
    </rPh>
    <rPh sb="3" eb="5">
      <t>カズユキ</t>
    </rPh>
    <phoneticPr fontId="13"/>
  </si>
  <si>
    <t>9/19</t>
    <phoneticPr fontId="13"/>
  </si>
  <si>
    <t>27-194</t>
  </si>
  <si>
    <t>28/8</t>
    <phoneticPr fontId="13"/>
  </si>
  <si>
    <t>BMWﾐﾆｸｰﾊﾟｰS ｺﾝﾊﾞｰﾁﾌﾞﾙ</t>
    <phoneticPr fontId="13"/>
  </si>
  <si>
    <t>和泉 329 す 865</t>
    <rPh sb="0" eb="2">
      <t>イズミ</t>
    </rPh>
    <phoneticPr fontId="13"/>
  </si>
  <si>
    <t>青</t>
    <rPh sb="0" eb="1">
      <t>アオ</t>
    </rPh>
    <phoneticPr fontId="13"/>
  </si>
  <si>
    <t>WMWWG720703C10315</t>
    <phoneticPr fontId="13"/>
  </si>
  <si>
    <t>ﾌｫｰｼｰｽﾞﾝｽﾞ株式会社</t>
    <rPh sb="10" eb="14">
      <t>カブシキガイシャ</t>
    </rPh>
    <phoneticPr fontId="13"/>
  </si>
  <si>
    <t>27-195</t>
  </si>
  <si>
    <t>BMW 640i ｸﾞﾗﾝｸｰﾍﾟ Mｽﾎﾟｰﾂﾊﾟｯｹｰｼﾞ</t>
    <phoneticPr fontId="13"/>
  </si>
  <si>
    <t>福岡 331 は 3007</t>
    <rPh sb="0" eb="2">
      <t>フクオカ</t>
    </rPh>
    <phoneticPr fontId="13"/>
  </si>
  <si>
    <t>34X り 5</t>
    <phoneticPr fontId="13"/>
  </si>
  <si>
    <t>WBA6A02030DZ11255</t>
    <phoneticPr fontId="13"/>
  </si>
  <si>
    <t>株式会社 JCM</t>
    <rPh sb="0" eb="4">
      <t>カブシキガイシャ</t>
    </rPh>
    <phoneticPr fontId="13"/>
  </si>
  <si>
    <t>取説 ｷｰﾚｽ</t>
    <rPh sb="0" eb="1">
      <t>トリ</t>
    </rPh>
    <rPh sb="1" eb="2">
      <t>セツ</t>
    </rPh>
    <phoneticPr fontId="13"/>
  </si>
  <si>
    <t>27-196</t>
  </si>
  <si>
    <t>31/3</t>
    <phoneticPr fontId="13"/>
  </si>
  <si>
    <t>BMWﾐﾆ ｸｰﾊﾟｰSD</t>
    <phoneticPr fontId="13"/>
  </si>
  <si>
    <t>4/3/27</t>
    <phoneticPr fontId="13"/>
  </si>
  <si>
    <t>横浜 304 ゆ 3280</t>
    <rPh sb="0" eb="2">
      <t>ヨコハマ</t>
    </rPh>
    <phoneticPr fontId="13"/>
  </si>
  <si>
    <t>301 つ 4546</t>
    <phoneticPr fontId="13"/>
  </si>
  <si>
    <t>USS横浜</t>
    <rPh sb="3" eb="5">
      <t>ヨコハマ</t>
    </rPh>
    <phoneticPr fontId="13"/>
  </si>
  <si>
    <t>白</t>
    <rPh sb="0" eb="1">
      <t>シロ</t>
    </rPh>
    <phoneticPr fontId="13"/>
  </si>
  <si>
    <t>WMWXT720902H91872</t>
    <phoneticPr fontId="13"/>
  </si>
  <si>
    <t>ﾋﾞｰｴﾑﾀﾞﾌﾞﾘｭｰｼﾞｬﾊﾟﾝﾌｧｲﾅﾝｽ株式会社</t>
    <rPh sb="24" eb="28">
      <t>カブシキガイシャ</t>
    </rPh>
    <phoneticPr fontId="13"/>
  </si>
  <si>
    <t>9/18</t>
    <phoneticPr fontId="13"/>
  </si>
  <si>
    <t>保証書 取説 ｷｰﾚｽ 法人ﾜﾝｵｰﾅｰ</t>
    <rPh sb="0" eb="3">
      <t>ホショウショ</t>
    </rPh>
    <rPh sb="4" eb="6">
      <t>トリセツ</t>
    </rPh>
    <rPh sb="12" eb="14">
      <t>ホウジン</t>
    </rPh>
    <phoneticPr fontId="13"/>
  </si>
  <si>
    <t>27-197</t>
  </si>
  <si>
    <t>30/9</t>
    <phoneticPr fontId="13"/>
  </si>
  <si>
    <t>ｼﾄﾛｴﾝC3 ｴﾙ ｽﾍﾟｼｬﾙED</t>
    <phoneticPr fontId="13"/>
  </si>
  <si>
    <t>山形 300 る 3270</t>
    <rPh sb="0" eb="2">
      <t>ヤマガタ</t>
    </rPh>
    <phoneticPr fontId="13"/>
  </si>
  <si>
    <t>USS東京</t>
    <rPh sb="3" eb="5">
      <t>トウキョウ</t>
    </rPh>
    <phoneticPr fontId="13"/>
  </si>
  <si>
    <t>白Ⅱ</t>
    <rPh sb="0" eb="1">
      <t>シロ</t>
    </rPh>
    <phoneticPr fontId="13"/>
  </si>
  <si>
    <t>VF7SXHNZTJ553210</t>
    <phoneticPr fontId="13"/>
  </si>
  <si>
    <t>ｽﾏｲﾙｽﾞﾌﾟﾛｼﾞｪｸﾄ株式会社</t>
    <rPh sb="14" eb="18">
      <t>カブシキガイシャ</t>
    </rPh>
    <phoneticPr fontId="13"/>
  </si>
  <si>
    <t>9/30</t>
    <phoneticPr fontId="13"/>
  </si>
  <si>
    <t xml:space="preserve">保証書 取説 </t>
    <rPh sb="0" eb="3">
      <t>ホショウショ</t>
    </rPh>
    <rPh sb="4" eb="6">
      <t>トリセツ</t>
    </rPh>
    <phoneticPr fontId="13"/>
  </si>
  <si>
    <t>27-198</t>
  </si>
  <si>
    <t>28/10</t>
    <phoneticPr fontId="13"/>
  </si>
  <si>
    <t>BMWﾐﾆ ｸｰﾊﾟｰ</t>
    <phoneticPr fontId="13"/>
  </si>
  <si>
    <t>横浜 330 は 8231</t>
    <rPh sb="0" eb="2">
      <t>ヨコハマ</t>
    </rPh>
    <phoneticPr fontId="13"/>
  </si>
  <si>
    <t>保証書 取説 Sｷｰ</t>
  </si>
  <si>
    <t>WMWXS520902C92318</t>
    <phoneticPr fontId="13"/>
  </si>
  <si>
    <t>ｳｴｲﾝｽﾞｲﾝﾎﾟｰﾄｶｰｽﾞ株式会社</t>
    <rPh sb="16" eb="20">
      <t>カブシキガイシャ</t>
    </rPh>
    <phoneticPr fontId="13"/>
  </si>
  <si>
    <t>10/9</t>
    <phoneticPr fontId="13"/>
  </si>
  <si>
    <t>保証書 取説 ｷｰﾚｽ ﾜﾝｵｰﾅｰ</t>
    <rPh sb="0" eb="3">
      <t>ホショウショ</t>
    </rPh>
    <rPh sb="4" eb="6">
      <t>トリセツ</t>
    </rPh>
    <phoneticPr fontId="13"/>
  </si>
  <si>
    <t>27-199</t>
  </si>
  <si>
    <t>30/5</t>
    <phoneticPr fontId="13"/>
  </si>
  <si>
    <t>ｼﾄﾛｴﾝC3 ｼｬｲﾝ</t>
    <phoneticPr fontId="13"/>
  </si>
  <si>
    <t>なにわ 326 は 3461</t>
    <phoneticPr fontId="13"/>
  </si>
  <si>
    <t>詳細</t>
    <rPh sb="0" eb="2">
      <t>ショウサイ</t>
    </rPh>
    <phoneticPr fontId="13"/>
  </si>
  <si>
    <t>黒Ⅱ</t>
    <rPh sb="0" eb="1">
      <t>クロ</t>
    </rPh>
    <phoneticPr fontId="13"/>
  </si>
  <si>
    <t>VF7SXHNZTJT538270</t>
    <phoneticPr fontId="13"/>
  </si>
  <si>
    <t>株式会社 はなまる</t>
    <rPh sb="0" eb="4">
      <t>カブシキガイシャ</t>
    </rPh>
    <phoneticPr fontId="13"/>
  </si>
  <si>
    <t>10/14</t>
    <phoneticPr fontId="13"/>
  </si>
  <si>
    <t>27-200</t>
  </si>
  <si>
    <t>26/9</t>
    <phoneticPr fontId="13"/>
  </si>
  <si>
    <t>ﾌﾟｼﾞｮｰ RCZﾍﾞｰｽｸﾞﾚｰﾄﾞ</t>
    <phoneticPr fontId="13"/>
  </si>
  <si>
    <t>下関 399 さ 4847</t>
    <rPh sb="0" eb="2">
      <t>シモノセキ</t>
    </rPh>
    <phoneticPr fontId="13"/>
  </si>
  <si>
    <t>ﾚｯﾄﾞⅡ</t>
    <phoneticPr fontId="13"/>
  </si>
  <si>
    <t>VF34J5FVADP008252</t>
    <phoneticPr fontId="13"/>
  </si>
  <si>
    <t>株式会社 CARｵｰｸｼｮﾝ</t>
    <rPh sb="0" eb="4">
      <t>カブシキガイシャ</t>
    </rPh>
    <phoneticPr fontId="13"/>
  </si>
  <si>
    <t>27-201</t>
  </si>
  <si>
    <t>16/8</t>
    <phoneticPr fontId="13"/>
  </si>
  <si>
    <t>ﾗﾝﾄﾞﾛｰﾊﾞｰ ﾃﾞｨｽｶﾊﾞﾘｰ ﾛｲﾔﾙｴﾃﾞｨｼｮﾝ</t>
    <phoneticPr fontId="13"/>
  </si>
  <si>
    <t>3/10</t>
    <phoneticPr fontId="13"/>
  </si>
  <si>
    <t>多摩 330 み 1336</t>
    <rPh sb="0" eb="2">
      <t>タマ</t>
    </rPh>
    <phoneticPr fontId="13"/>
  </si>
  <si>
    <t>399 つ 8081</t>
    <phoneticPr fontId="13"/>
  </si>
  <si>
    <t>紺</t>
    <rPh sb="0" eb="1">
      <t>コン</t>
    </rPh>
    <phoneticPr fontId="13"/>
  </si>
  <si>
    <t>SALLTAMP34A858648</t>
    <phoneticPr fontId="13"/>
  </si>
  <si>
    <t>荒井 康隆</t>
    <rPh sb="0" eb="2">
      <t>アライ</t>
    </rPh>
    <rPh sb="3" eb="4">
      <t>コウ</t>
    </rPh>
    <rPh sb="4" eb="5">
      <t>リュウ</t>
    </rPh>
    <phoneticPr fontId="13"/>
  </si>
  <si>
    <t>10/16</t>
    <phoneticPr fontId="13"/>
  </si>
  <si>
    <t>保証書 取説 ｽﾍﾟｱｷｰ</t>
    <rPh sb="0" eb="3">
      <t>ホショウショ</t>
    </rPh>
    <rPh sb="4" eb="5">
      <t>トリ</t>
    </rPh>
    <rPh sb="5" eb="6">
      <t>セツ</t>
    </rPh>
    <phoneticPr fontId="13"/>
  </si>
  <si>
    <t>27-202</t>
  </si>
  <si>
    <t>29/2</t>
    <phoneticPr fontId="13"/>
  </si>
  <si>
    <t>BMW M4ｸｰﾍﾟ</t>
    <phoneticPr fontId="13"/>
  </si>
  <si>
    <t>4/2</t>
    <phoneticPr fontId="13"/>
  </si>
  <si>
    <t>横浜 305 ぬ 1546</t>
    <rPh sb="0" eb="2">
      <t>ヨコハマ</t>
    </rPh>
    <phoneticPr fontId="13"/>
  </si>
  <si>
    <t>手帳 取説  ﾜﾝｵｰﾅｰ</t>
  </si>
  <si>
    <t>301 つ 5840</t>
    <phoneticPr fontId="13"/>
  </si>
  <si>
    <t>WBS3R92050K346689</t>
    <phoneticPr fontId="13"/>
  </si>
  <si>
    <t>株式会社 ﾔﾅｾ</t>
    <rPh sb="0" eb="4">
      <t>カブシキガイシャ</t>
    </rPh>
    <phoneticPr fontId="13"/>
  </si>
  <si>
    <t>10/17</t>
    <phoneticPr fontId="13"/>
  </si>
  <si>
    <t>27-203</t>
  </si>
  <si>
    <t>Mﾍﾞﾝﾂ S550L AMG ｽﾎﾟｰﾂPKG</t>
    <phoneticPr fontId="13"/>
  </si>
  <si>
    <t>5/4</t>
    <phoneticPr fontId="13"/>
  </si>
  <si>
    <t>練馬 342 な 81</t>
    <rPh sb="0" eb="2">
      <t>ネリマ</t>
    </rPh>
    <phoneticPr fontId="13"/>
  </si>
  <si>
    <t>社用車</t>
    <rPh sb="0" eb="3">
      <t>シャヨウシャ</t>
    </rPh>
    <phoneticPr fontId="13"/>
  </si>
  <si>
    <t>31Y む 5</t>
    <phoneticPr fontId="13"/>
  </si>
  <si>
    <t>WDD2221821A117883</t>
    <phoneticPr fontId="13"/>
  </si>
  <si>
    <t>株式会社ｵﾘｴﾝﾄｺｰﾎﾟﾚｰｼｮﾝ</t>
    <rPh sb="0" eb="4">
      <t>カブシキガイシャ</t>
    </rPh>
    <phoneticPr fontId="13"/>
  </si>
  <si>
    <t>10/22</t>
    <phoneticPr fontId="13"/>
  </si>
  <si>
    <t>保証書 取説 ｷｰﾚｽ ﾘﾓｺﾝ</t>
    <rPh sb="0" eb="3">
      <t>ホショウショ</t>
    </rPh>
    <rPh sb="4" eb="6">
      <t>トリセツ</t>
    </rPh>
    <phoneticPr fontId="13"/>
  </si>
  <si>
    <t>27-204</t>
  </si>
  <si>
    <t>17/3</t>
    <phoneticPr fontId="13"/>
  </si>
  <si>
    <t>ﾗﾝﾄﾞﾛｰﾊﾞｰ ﾃﾞｨｽｶﾊﾞﾘｰ HSE</t>
    <phoneticPr fontId="13"/>
  </si>
  <si>
    <t>金沢 300 に 5236</t>
    <rPh sb="0" eb="2">
      <t>カナザワ</t>
    </rPh>
    <phoneticPr fontId="13"/>
  </si>
  <si>
    <t>399 つ 8588</t>
    <phoneticPr fontId="13"/>
  </si>
  <si>
    <t>SALLTAMP34A857799</t>
    <phoneticPr fontId="13"/>
  </si>
  <si>
    <t>相川 二郎</t>
    <rPh sb="0" eb="2">
      <t>アイカワ</t>
    </rPh>
    <rPh sb="3" eb="5">
      <t>ジロウ</t>
    </rPh>
    <phoneticPr fontId="13"/>
  </si>
  <si>
    <t>10/21</t>
    <phoneticPr fontId="13"/>
  </si>
  <si>
    <t>ｸﾚｰﾑ終わり次第抹消</t>
    <rPh sb="4" eb="5">
      <t>オ</t>
    </rPh>
    <rPh sb="7" eb="9">
      <t>シダイ</t>
    </rPh>
    <rPh sb="9" eb="11">
      <t>マッショウ</t>
    </rPh>
    <phoneticPr fontId="13"/>
  </si>
  <si>
    <t>27-205</t>
  </si>
  <si>
    <t>28/4</t>
    <phoneticPr fontId="13"/>
  </si>
  <si>
    <t>5/4/26</t>
    <phoneticPr fontId="13"/>
  </si>
  <si>
    <t>堺 300 に 7035</t>
    <rPh sb="0" eb="1">
      <t>サカイ</t>
    </rPh>
    <phoneticPr fontId="13"/>
  </si>
  <si>
    <t>301 つ 5041</t>
    <phoneticPr fontId="13"/>
  </si>
  <si>
    <t>WMWXS720202C50679</t>
    <phoneticPr fontId="13"/>
  </si>
  <si>
    <t>ﾌﾟﾚﾐｱ株式会社</t>
    <rPh sb="5" eb="9">
      <t>カブシキガイシャ</t>
    </rPh>
    <phoneticPr fontId="13"/>
  </si>
  <si>
    <t>10/28</t>
    <phoneticPr fontId="13"/>
  </si>
  <si>
    <t>27-206</t>
  </si>
  <si>
    <t>27/2</t>
    <phoneticPr fontId="13"/>
  </si>
  <si>
    <t>ﾙﾉｰ ﾒｶﾞｰﾇｴｽﾃｰﾄ GT220</t>
    <phoneticPr fontId="13"/>
  </si>
  <si>
    <t>岐阜 302 た 7100</t>
    <rPh sb="0" eb="2">
      <t>ギフ</t>
    </rPh>
    <phoneticPr fontId="13"/>
  </si>
  <si>
    <t>保証書 取説 ｽﾍﾟｱｷｰ？  ﾜﾝｵｰﾅｰ</t>
  </si>
  <si>
    <t>399 つ 8587</t>
    <phoneticPr fontId="13"/>
  </si>
  <si>
    <t>ﾌﾞﾙｰM</t>
    <phoneticPr fontId="13"/>
  </si>
  <si>
    <t>VF1KZY306E0701347</t>
    <phoneticPr fontId="13"/>
  </si>
  <si>
    <t>株式会社 ｺﾞﾄｳｽﾊﾞﾙ</t>
    <rPh sb="0" eb="4">
      <t>カブシキガイシャ</t>
    </rPh>
    <phoneticPr fontId="13"/>
  </si>
  <si>
    <t>11/4</t>
    <phoneticPr fontId="13"/>
  </si>
  <si>
    <t>保証書 取説 ｷｰﾚｽ ｶｰﾄﾞ型ｷｰﾚｽ ﾜﾝｵｰﾅｰ</t>
    <rPh sb="0" eb="3">
      <t>ホショウショ</t>
    </rPh>
    <rPh sb="4" eb="5">
      <t>トリ</t>
    </rPh>
    <rPh sb="5" eb="6">
      <t>セツ</t>
    </rPh>
    <rPh sb="16" eb="17">
      <t>ガタ</t>
    </rPh>
    <phoneticPr fontId="13"/>
  </si>
  <si>
    <t>11月抹消済</t>
    <rPh sb="2" eb="3">
      <t>ガツ</t>
    </rPh>
    <rPh sb="3" eb="5">
      <t>マッショウ</t>
    </rPh>
    <rPh sb="5" eb="6">
      <t>ズ</t>
    </rPh>
    <phoneticPr fontId="13"/>
  </si>
  <si>
    <t>27-207</t>
  </si>
  <si>
    <t>28/2</t>
    <phoneticPr fontId="13"/>
  </si>
  <si>
    <t>ﾌﾟｼﾞｮｰ5008 ﾌﾟﾚﾐｱﾑ</t>
    <phoneticPr fontId="13"/>
  </si>
  <si>
    <t>5/2</t>
    <phoneticPr fontId="13"/>
  </si>
  <si>
    <t>名古屋 331 み 5008</t>
    <rPh sb="0" eb="3">
      <t>ナゴヤ</t>
    </rPh>
    <phoneticPr fontId="13"/>
  </si>
  <si>
    <t>取説 ｽﾍﾟｱｷｰ</t>
  </si>
  <si>
    <t>301 つ 6871</t>
    <phoneticPr fontId="13"/>
  </si>
  <si>
    <t>VF30E5FVAFS084089</t>
    <phoneticPr fontId="13"/>
  </si>
  <si>
    <t>株式会社ｼﾞｬｯｸｽ</t>
    <rPh sb="0" eb="4">
      <t>カブシキカイシャ</t>
    </rPh>
    <phoneticPr fontId="13"/>
  </si>
  <si>
    <t>11/9</t>
    <phoneticPr fontId="13"/>
  </si>
  <si>
    <t>27-208</t>
  </si>
  <si>
    <t>28/6</t>
    <phoneticPr fontId="13"/>
  </si>
  <si>
    <t>BMW 118I Mｽﾎﾟｰﾂ</t>
    <phoneticPr fontId="13"/>
  </si>
  <si>
    <t>5/6</t>
    <phoneticPr fontId="13"/>
  </si>
  <si>
    <t>岐阜 302 と 6612</t>
    <rPh sb="0" eb="2">
      <t>ギフ</t>
    </rPh>
    <phoneticPr fontId="13"/>
  </si>
  <si>
    <t>301 つ 6359</t>
    <phoneticPr fontId="13"/>
  </si>
  <si>
    <t>ﾌﾞﾙｰ</t>
    <phoneticPr fontId="13"/>
  </si>
  <si>
    <t>WBA1R520505C71837</t>
    <phoneticPr fontId="13"/>
  </si>
  <si>
    <t>水野 貴</t>
    <rPh sb="0" eb="2">
      <t>ミズノ</t>
    </rPh>
    <rPh sb="3" eb="4">
      <t>タカシ</t>
    </rPh>
    <phoneticPr fontId="13"/>
  </si>
  <si>
    <t>11/16</t>
    <phoneticPr fontId="13"/>
  </si>
  <si>
    <t>ｷｰﾚｽ(車内)   保証書 取説 ﾘﾓｺﾝ ﾜﾝｵｰﾅｰ</t>
    <rPh sb="5" eb="7">
      <t>シャナイ</t>
    </rPh>
    <rPh sb="11" eb="14">
      <t>ホショウショ</t>
    </rPh>
    <rPh sb="15" eb="17">
      <t>トリセツ</t>
    </rPh>
    <phoneticPr fontId="13"/>
  </si>
  <si>
    <t>27-209</t>
  </si>
  <si>
    <t>多摩 326 た 7407</t>
    <rPh sb="0" eb="2">
      <t>タマ</t>
    </rPh>
    <phoneticPr fontId="13"/>
  </si>
  <si>
    <t>TAA横浜</t>
    <rPh sb="3" eb="5">
      <t>ヨコハマ</t>
    </rPh>
    <phoneticPr fontId="13"/>
  </si>
  <si>
    <t>VF30E5FVADS219373</t>
    <phoneticPr fontId="13"/>
  </si>
  <si>
    <t>株式会社 ﾎﾝﾀﾞｶｰｽﾞ東京中央</t>
    <rPh sb="0" eb="4">
      <t>カブシキガイシャ</t>
    </rPh>
    <rPh sb="13" eb="15">
      <t>トウキョウ</t>
    </rPh>
    <rPh sb="15" eb="17">
      <t>チュウオウ</t>
    </rPh>
    <phoneticPr fontId="13"/>
  </si>
  <si>
    <t>ｷｰﾚｽ 地図SD ﾐﾆB-CAS（車内）   保証書 取説 ﾅﾋﾞ取 ｱﾝﾃﾅ</t>
    <rPh sb="5" eb="7">
      <t>チズ</t>
    </rPh>
    <rPh sb="18" eb="20">
      <t>シャナイ</t>
    </rPh>
    <rPh sb="24" eb="27">
      <t>ホショウショ</t>
    </rPh>
    <rPh sb="28" eb="30">
      <t>トリセツ</t>
    </rPh>
    <rPh sb="34" eb="35">
      <t>トリ</t>
    </rPh>
    <phoneticPr fontId="13"/>
  </si>
  <si>
    <t>SDｶｰﾄﾞとﾐﾆB-CAS現車に装着済</t>
    <rPh sb="14" eb="16">
      <t>ゲンシャ</t>
    </rPh>
    <rPh sb="17" eb="20">
      <t>ソウチャクズ</t>
    </rPh>
    <phoneticPr fontId="13"/>
  </si>
  <si>
    <t>27-210</t>
  </si>
  <si>
    <t>29/3</t>
    <phoneticPr fontId="13"/>
  </si>
  <si>
    <t>N-WGN G SSﾊﾟｯｹｰｼﾞ</t>
    <phoneticPr fontId="13"/>
  </si>
  <si>
    <t>3/3</t>
    <phoneticPr fontId="13"/>
  </si>
  <si>
    <t>R</t>
    <phoneticPr fontId="13"/>
  </si>
  <si>
    <t>香川 581 か 1697</t>
    <rPh sb="0" eb="2">
      <t>カガワ</t>
    </rPh>
    <phoneticPr fontId="13"/>
  </si>
  <si>
    <t xml:space="preserve">保証書 取説 </t>
  </si>
  <si>
    <t>ﾚﾝﾀ歴ありｸﾚｰﾑ済</t>
    <rPh sb="3" eb="4">
      <t>レキ</t>
    </rPh>
    <rPh sb="10" eb="11">
      <t>スミ</t>
    </rPh>
    <phoneticPr fontId="13"/>
  </si>
  <si>
    <t>Sellca</t>
    <phoneticPr fontId="13"/>
  </si>
  <si>
    <t>A87666</t>
    <phoneticPr fontId="13"/>
  </si>
  <si>
    <t>ｼﾙﾊﾞｰ</t>
    <phoneticPr fontId="13"/>
  </si>
  <si>
    <t>JH1-1335633</t>
    <phoneticPr fontId="13"/>
  </si>
  <si>
    <t>田中 綾乃</t>
    <rPh sb="0" eb="2">
      <t>タナカ</t>
    </rPh>
    <rPh sb="3" eb="4">
      <t>アヤ</t>
    </rPh>
    <rPh sb="4" eb="5">
      <t>ノ</t>
    </rPh>
    <phoneticPr fontId="13"/>
  </si>
  <si>
    <t>11/27</t>
    <phoneticPr fontId="13"/>
  </si>
  <si>
    <t>保証書 取説 ﾅﾋﾞ取 ﾚﾝﾀ歴</t>
    <rPh sb="0" eb="3">
      <t>ホショウショ</t>
    </rPh>
    <rPh sb="4" eb="5">
      <t>トリ</t>
    </rPh>
    <rPh sb="5" eb="6">
      <t>セツ</t>
    </rPh>
    <rPh sb="10" eb="11">
      <t>トリ</t>
    </rPh>
    <rPh sb="15" eb="16">
      <t>レキ</t>
    </rPh>
    <phoneticPr fontId="13"/>
  </si>
  <si>
    <t>27-211</t>
  </si>
  <si>
    <t>31/2</t>
    <phoneticPr fontId="13"/>
  </si>
  <si>
    <t>ｱﾊﾞﾙﾄ595 ﾂｰﾘｽﾞﾓ</t>
    <phoneticPr fontId="13"/>
  </si>
  <si>
    <t>福岡 546 ぬ 115</t>
    <rPh sb="0" eb="2">
      <t>フクオカ</t>
    </rPh>
    <phoneticPr fontId="13"/>
  </si>
  <si>
    <t>599 て 9685</t>
    <phoneticPr fontId="13"/>
  </si>
  <si>
    <t>ZFA3120000JA57644</t>
    <phoneticPr fontId="13"/>
  </si>
  <si>
    <t>株式会社 ｼﾞｬｯｸｽ</t>
    <rPh sb="0" eb="4">
      <t>カブシキガイシャ</t>
    </rPh>
    <phoneticPr fontId="13"/>
  </si>
  <si>
    <t>11/28</t>
    <phoneticPr fontId="13"/>
  </si>
  <si>
    <t>保証書 取説 ｽﾍﾟｱｷｰ ﾜﾝｵｰﾅｰ</t>
    <rPh sb="0" eb="3">
      <t>ホショウショ</t>
    </rPh>
    <rPh sb="4" eb="6">
      <t>トリセツ</t>
    </rPh>
    <phoneticPr fontId="13"/>
  </si>
  <si>
    <t>12月抹消済</t>
    <rPh sb="2" eb="3">
      <t>ガツ</t>
    </rPh>
    <rPh sb="3" eb="5">
      <t>マッショウ</t>
    </rPh>
    <rPh sb="5" eb="6">
      <t>ズ</t>
    </rPh>
    <phoneticPr fontId="13"/>
  </si>
  <si>
    <t>27-212</t>
  </si>
  <si>
    <t>BMWM235Iｸｰﾍﾟ</t>
    <phoneticPr fontId="13"/>
  </si>
  <si>
    <t>一宮 300 に 7280</t>
    <rPh sb="0" eb="2">
      <t>イチノミヤ</t>
    </rPh>
    <phoneticPr fontId="13"/>
  </si>
  <si>
    <t xml:space="preserve">保証書 取説 ｽﾍﾟｱｷｰ    </t>
  </si>
  <si>
    <t>301 つ 6873</t>
    <phoneticPr fontId="13"/>
  </si>
  <si>
    <t>NAA名古屋（まとめ）</t>
    <rPh sb="3" eb="6">
      <t>ナゴヤ</t>
    </rPh>
    <phoneticPr fontId="13"/>
  </si>
  <si>
    <t>WBA1J72060V486269</t>
    <phoneticPr fontId="13"/>
  </si>
  <si>
    <t>竹尾 光昭</t>
    <rPh sb="0" eb="2">
      <t>タケオ</t>
    </rPh>
    <rPh sb="3" eb="5">
      <t>ミツテル</t>
    </rPh>
    <phoneticPr fontId="13"/>
  </si>
  <si>
    <t>12/2</t>
    <phoneticPr fontId="13"/>
  </si>
  <si>
    <t>3月抹消済</t>
    <rPh sb="1" eb="2">
      <t>ガツ</t>
    </rPh>
    <rPh sb="2" eb="4">
      <t>マッショウ</t>
    </rPh>
    <rPh sb="4" eb="5">
      <t>ズ</t>
    </rPh>
    <phoneticPr fontId="13"/>
  </si>
  <si>
    <t>永見 修平</t>
    <rPh sb="0" eb="2">
      <t>ナガミ</t>
    </rPh>
    <rPh sb="3" eb="5">
      <t>シュウヘイ</t>
    </rPh>
    <phoneticPr fontId="13"/>
  </si>
  <si>
    <t>27-213</t>
  </si>
  <si>
    <t>30/10</t>
    <phoneticPr fontId="13"/>
  </si>
  <si>
    <t>奈良 301 そ 7568</t>
    <rPh sb="0" eb="2">
      <t>ナラ</t>
    </rPh>
    <phoneticPr fontId="13"/>
  </si>
  <si>
    <t>保証書 手帳 取説 ｽﾍﾟｱｷｰ ﾜﾝｵｰﾅｰ</t>
  </si>
  <si>
    <t>ZIP大阪</t>
    <rPh sb="3" eb="5">
      <t>オオサカ</t>
    </rPh>
    <phoneticPr fontId="13"/>
  </si>
  <si>
    <t>ｵﾚﾝｼﾞⅡ</t>
    <phoneticPr fontId="13"/>
  </si>
  <si>
    <t>WMWXT720902H18274</t>
    <phoneticPr fontId="13"/>
  </si>
  <si>
    <t>株式会社 ﾓﾄｰﾚﾝﾃｨｰｱｲ</t>
    <rPh sb="0" eb="4">
      <t>カブシキガイシャ</t>
    </rPh>
    <phoneticPr fontId="13"/>
  </si>
  <si>
    <t>12/5</t>
    <phoneticPr fontId="13"/>
  </si>
  <si>
    <t>27-214</t>
  </si>
  <si>
    <t>26/7</t>
    <phoneticPr fontId="13"/>
  </si>
  <si>
    <t>BMWﾐﾆｼﾞｮﾝｸｰﾊﾟｰﾜｰｸｽ ｺﾝﾊﾞｰﾁﾌﾞﾙ</t>
    <phoneticPr fontId="13"/>
  </si>
  <si>
    <t>京都 599 め 4</t>
    <rPh sb="0" eb="2">
      <t>キョウト</t>
    </rPh>
    <phoneticPr fontId="13"/>
  </si>
  <si>
    <t>WMWMR92090T430579</t>
    <phoneticPr fontId="13"/>
  </si>
  <si>
    <t>株式会社ﾋﾞｰｴﾑﾊﾅﾃﾝ</t>
    <rPh sb="0" eb="4">
      <t>カブシキカイシャ</t>
    </rPh>
    <phoneticPr fontId="13"/>
  </si>
  <si>
    <t>12/16</t>
    <phoneticPr fontId="13"/>
  </si>
  <si>
    <t>27-215</t>
  </si>
  <si>
    <t>27/8</t>
    <phoneticPr fontId="13"/>
  </si>
  <si>
    <t>ｼﾞｬｶﾞｰXE ﾌﾟﾚｽﾃｰｼﾞ</t>
    <phoneticPr fontId="13"/>
  </si>
  <si>
    <t>4/8</t>
    <phoneticPr fontId="13"/>
  </si>
  <si>
    <t>世田谷 311 ふ 1117</t>
    <rPh sb="0" eb="3">
      <t>セタガヤ</t>
    </rPh>
    <phoneticPr fontId="13"/>
  </si>
  <si>
    <t>保証書 手帳 取説   名変期限1/24まで</t>
  </si>
  <si>
    <t>SAJAB4AG8GA905870</t>
    <phoneticPr fontId="13"/>
  </si>
  <si>
    <t>株式会社 たきおか</t>
    <rPh sb="0" eb="4">
      <t>カブシキガイシャ</t>
    </rPh>
    <phoneticPr fontId="13"/>
  </si>
  <si>
    <t>12/9</t>
    <phoneticPr fontId="13"/>
  </si>
  <si>
    <t>保証書 取説 ﾅﾋﾞ取 ｷｰﾚｽ</t>
    <rPh sb="0" eb="3">
      <t>ホショウショ</t>
    </rPh>
    <rPh sb="4" eb="5">
      <t>トリ</t>
    </rPh>
    <rPh sb="5" eb="6">
      <t>セツ</t>
    </rPh>
    <rPh sb="10" eb="11">
      <t>トリ</t>
    </rPh>
    <phoneticPr fontId="13"/>
  </si>
  <si>
    <t>27-216</t>
  </si>
  <si>
    <t>28/11</t>
    <phoneticPr fontId="13"/>
  </si>
  <si>
    <t>VWｻﾞ・ﾋﾞｰﾄﾙ ﾊｯｼｭﾀｸﾞﾋﾟﾝｸﾋﾞｰﾄﾙ</t>
    <phoneticPr fontId="13"/>
  </si>
  <si>
    <t>京都 399 ゆ 1820</t>
    <rPh sb="0" eb="2">
      <t>キョウト</t>
    </rPh>
    <phoneticPr fontId="13"/>
  </si>
  <si>
    <t>保証書 手帳 ﾜﾝｵｰﾅｰ</t>
  </si>
  <si>
    <t>ﾌﾚｯｼｭﾌｸｼｱﾒﾀﾘｯｸ</t>
    <phoneticPr fontId="13"/>
  </si>
  <si>
    <t>WVWZZZ16ZHM605818</t>
    <phoneticPr fontId="13"/>
  </si>
  <si>
    <t>株式会社ﾌｧｰﾚﾝ京都</t>
    <rPh sb="0" eb="4">
      <t>カブシキガイシャ</t>
    </rPh>
    <rPh sb="9" eb="11">
      <t>キョウト</t>
    </rPh>
    <phoneticPr fontId="13"/>
  </si>
  <si>
    <t>保証書 ﾅﾋﾞ取 地図SD ﾜﾝｵｰﾅｰ</t>
    <rPh sb="0" eb="3">
      <t>ホショウショ</t>
    </rPh>
    <rPh sb="7" eb="8">
      <t>トリ</t>
    </rPh>
    <rPh sb="9" eb="11">
      <t>チズ</t>
    </rPh>
    <phoneticPr fontId="13"/>
  </si>
  <si>
    <t>SDｶｰﾄﾞ現車装着済</t>
    <rPh sb="6" eb="8">
      <t>ゲンシャ</t>
    </rPh>
    <rPh sb="8" eb="10">
      <t>ソウチャク</t>
    </rPh>
    <rPh sb="10" eb="11">
      <t>ズミ</t>
    </rPh>
    <phoneticPr fontId="13"/>
  </si>
  <si>
    <t>27-217</t>
  </si>
  <si>
    <t>28/12</t>
    <phoneticPr fontId="13"/>
  </si>
  <si>
    <t>BMWﾐﾆｸｰﾊﾟｰ SD</t>
    <phoneticPr fontId="13"/>
  </si>
  <si>
    <t>岡山 335 る 327</t>
    <rPh sb="0" eb="2">
      <t>オカヤマ</t>
    </rPh>
    <phoneticPr fontId="13"/>
  </si>
  <si>
    <t>USS岡山</t>
    <rPh sb="3" eb="5">
      <t>オカヤマ</t>
    </rPh>
    <phoneticPr fontId="13"/>
  </si>
  <si>
    <t>ﾌﾞﾗｯｸⅡ</t>
    <phoneticPr fontId="13"/>
  </si>
  <si>
    <t>WMWXT72070T859688</t>
    <phoneticPr fontId="13"/>
  </si>
  <si>
    <t>株式会社日産ｻﾃｨｵ岡山</t>
    <rPh sb="0" eb="4">
      <t>カブシキガイシャ</t>
    </rPh>
    <rPh sb="4" eb="6">
      <t>ニッサン</t>
    </rPh>
    <rPh sb="10" eb="12">
      <t>オカヤマ</t>
    </rPh>
    <phoneticPr fontId="13"/>
  </si>
  <si>
    <t>12/18</t>
    <phoneticPr fontId="13"/>
  </si>
  <si>
    <t>保証書 取説 ｷｰﾚｽ(車内) ﾜﾝｵｰﾅｰ</t>
    <rPh sb="0" eb="3">
      <t>ホショウショ</t>
    </rPh>
    <rPh sb="4" eb="5">
      <t>トリ</t>
    </rPh>
    <rPh sb="5" eb="6">
      <t>セツ</t>
    </rPh>
    <rPh sb="12" eb="14">
      <t>シャナイ</t>
    </rPh>
    <phoneticPr fontId="13"/>
  </si>
  <si>
    <t>27-218</t>
  </si>
  <si>
    <t>ﾌﾟｼﾞｮｰ 5008 ｼｴﾛ  ﾋﾞﾃﾞｵﾊﾟｯｹｰｼﾞ</t>
    <phoneticPr fontId="13"/>
  </si>
  <si>
    <t>4/6</t>
    <phoneticPr fontId="13"/>
  </si>
  <si>
    <t>神戸 338 は 5868</t>
    <rPh sb="0" eb="2">
      <t>コウベ</t>
    </rPh>
    <phoneticPr fontId="13"/>
  </si>
  <si>
    <t>保証書 取説 ﾅﾋﾞSD ﾜﾝｵｰﾅｰ</t>
  </si>
  <si>
    <t>399 つ 9363</t>
    <phoneticPr fontId="13"/>
  </si>
  <si>
    <t>VF30E5FVADS244781</t>
    <phoneticPr fontId="13"/>
  </si>
  <si>
    <t>保証書 取説 ﾅﾋﾞ取 地図SD その他SD ﾜﾝｵｰﾅｰ</t>
    <rPh sb="0" eb="3">
      <t>ホショウショ</t>
    </rPh>
    <rPh sb="4" eb="6">
      <t>トリセツ</t>
    </rPh>
    <rPh sb="10" eb="11">
      <t>トリ</t>
    </rPh>
    <rPh sb="12" eb="14">
      <t>チズ</t>
    </rPh>
    <rPh sb="19" eb="20">
      <t>タ</t>
    </rPh>
    <phoneticPr fontId="13"/>
  </si>
  <si>
    <t>1月抹消済</t>
    <rPh sb="1" eb="2">
      <t>ガツ</t>
    </rPh>
    <rPh sb="2" eb="4">
      <t>マッショウ</t>
    </rPh>
    <rPh sb="4" eb="5">
      <t>ズ</t>
    </rPh>
    <phoneticPr fontId="13"/>
  </si>
  <si>
    <t>27-219</t>
  </si>
  <si>
    <t>24/3</t>
    <phoneticPr fontId="13"/>
  </si>
  <si>
    <t>BMWﾐﾆｸｰﾊﾟｰS ｸｰﾍﾟ</t>
    <phoneticPr fontId="13"/>
  </si>
  <si>
    <t>4/10</t>
    <phoneticPr fontId="13"/>
  </si>
  <si>
    <t>大阪 550 む 3298</t>
    <rPh sb="0" eb="2">
      <t>オオサカ</t>
    </rPh>
    <phoneticPr fontId="13"/>
  </si>
  <si>
    <t>ﾓﾆﾀｰ良さんに渡してます</t>
    <rPh sb="4" eb="5">
      <t>リョウ</t>
    </rPh>
    <rPh sb="8" eb="9">
      <t>ワタ</t>
    </rPh>
    <phoneticPr fontId="13"/>
  </si>
  <si>
    <t>501 み 6961</t>
    <phoneticPr fontId="13"/>
  </si>
  <si>
    <t>WMWSX32030T404134</t>
    <phoneticPr fontId="13"/>
  </si>
  <si>
    <t>松岡 大祐</t>
    <rPh sb="0" eb="2">
      <t>マツオカ</t>
    </rPh>
    <rPh sb="3" eb="5">
      <t>ダイスケ</t>
    </rPh>
    <phoneticPr fontId="13"/>
  </si>
  <si>
    <t>保証書 取説 ﾓﾆﾀｰ</t>
    <rPh sb="0" eb="3">
      <t>ホショウショ</t>
    </rPh>
    <rPh sb="4" eb="6">
      <t>トリセツ</t>
    </rPh>
    <phoneticPr fontId="13"/>
  </si>
  <si>
    <t>27-220</t>
  </si>
  <si>
    <t>29/6</t>
    <phoneticPr fontId="13"/>
  </si>
  <si>
    <t>BMW530I ﾗｸﾞｼﾞｭｱﾘｰ</t>
    <phoneticPr fontId="13"/>
  </si>
  <si>
    <t>岡崎 312 さ 88</t>
    <rPh sb="0" eb="2">
      <t>オカザキ</t>
    </rPh>
    <phoneticPr fontId="13"/>
  </si>
  <si>
    <t>CAA中部（まとめ）</t>
    <rPh sb="3" eb="5">
      <t>チュウブ</t>
    </rPh>
    <phoneticPr fontId="13"/>
  </si>
  <si>
    <t>WBAJA52050WA34573</t>
    <phoneticPr fontId="13"/>
  </si>
  <si>
    <t>簗瀬 辰五郎</t>
    <rPh sb="1" eb="2">
      <t>セ</t>
    </rPh>
    <rPh sb="3" eb="6">
      <t>タツゴロウ</t>
    </rPh>
    <phoneticPr fontId="13"/>
  </si>
  <si>
    <t>12/21</t>
    <phoneticPr fontId="13"/>
  </si>
  <si>
    <t>27-221</t>
  </si>
  <si>
    <t>BMWﾐﾆｼﾞｮﾝｸｰﾊﾟｰﾜｰｸｽ</t>
    <phoneticPr fontId="13"/>
  </si>
  <si>
    <t>品川 39A さ 5576</t>
    <rPh sb="0" eb="2">
      <t>シナガワ</t>
    </rPh>
    <phoneticPr fontId="13"/>
  </si>
  <si>
    <t>ｸﾞﾘｰﾝ</t>
    <phoneticPr fontId="13"/>
  </si>
  <si>
    <t>WMWXM920002D05863</t>
    <phoneticPr fontId="13"/>
  </si>
  <si>
    <t>ﾋﾞｰ・ｴﾑ・ﾀﾞﾌﾞﾘｭｰ・ｼﾞｬﾊﾟﾝ・ﾌｧｲﾅﾝｽ株式会社</t>
    <rPh sb="28" eb="32">
      <t>カブシキガイシャ</t>
    </rPh>
    <phoneticPr fontId="13"/>
  </si>
  <si>
    <t>1/15</t>
    <phoneticPr fontId="13"/>
  </si>
  <si>
    <t>保証書 取説 ｷｰﾚｽ ﾘﾓｺﾝ</t>
    <rPh sb="0" eb="3">
      <t>ホショウショ</t>
    </rPh>
    <rPh sb="4" eb="5">
      <t>トリ</t>
    </rPh>
    <rPh sb="5" eb="6">
      <t>セツ</t>
    </rPh>
    <phoneticPr fontId="13"/>
  </si>
  <si>
    <t>27-222</t>
  </si>
  <si>
    <t>25/4</t>
    <phoneticPr fontId="13"/>
  </si>
  <si>
    <t>ｱﾙﾌｧﾛﾒｵ ｼﾞｭﾘｴｯﾀ ｽﾎﾟﾙﾃｨｰﾊﾞ</t>
    <phoneticPr fontId="13"/>
  </si>
  <si>
    <t>滋賀 391 せ 8</t>
    <rPh sb="0" eb="2">
      <t>シガ</t>
    </rPh>
    <phoneticPr fontId="13"/>
  </si>
  <si>
    <t>ZAR94000007206654</t>
    <phoneticPr fontId="13"/>
  </si>
  <si>
    <t>日産ﾌﾟﾘﾝｽ滋賀販売株式会社</t>
    <rPh sb="0" eb="2">
      <t>ニッサン</t>
    </rPh>
    <rPh sb="7" eb="9">
      <t>シガ</t>
    </rPh>
    <rPh sb="9" eb="11">
      <t>ハンバイ</t>
    </rPh>
    <rPh sb="11" eb="15">
      <t>カブシキガイシャ</t>
    </rPh>
    <phoneticPr fontId="13"/>
  </si>
  <si>
    <t>1/18</t>
    <phoneticPr fontId="13"/>
  </si>
  <si>
    <t>保証書 取説 ｽﾍﾟｱｷｰ</t>
    <rPh sb="0" eb="3">
      <t>ホショウショ</t>
    </rPh>
    <rPh sb="4" eb="6">
      <t>トリセツ</t>
    </rPh>
    <phoneticPr fontId="13"/>
  </si>
  <si>
    <t>27-223</t>
  </si>
  <si>
    <t>25/9</t>
    <phoneticPr fontId="13"/>
  </si>
  <si>
    <t>BMWﾐﾆｸｰﾊﾟｰ ｸｰﾍﾟ</t>
    <phoneticPr fontId="13"/>
  </si>
  <si>
    <t>4/9</t>
    <phoneticPr fontId="13"/>
  </si>
  <si>
    <t>愛媛 533 と 822</t>
    <rPh sb="0" eb="2">
      <t>エヒメ</t>
    </rPh>
    <phoneticPr fontId="13"/>
  </si>
  <si>
    <t>501 み 7691</t>
    <phoneticPr fontId="13"/>
  </si>
  <si>
    <t>USS大阪</t>
    <rPh sb="3" eb="5">
      <t>オオサカ</t>
    </rPh>
    <phoneticPr fontId="13"/>
  </si>
  <si>
    <t>WMWSX12030T138022</t>
    <phoneticPr fontId="13"/>
  </si>
  <si>
    <t>山口 泰弘</t>
    <rPh sb="0" eb="2">
      <t>ヤマグチ</t>
    </rPh>
    <rPh sb="3" eb="5">
      <t>ヤスヒロ</t>
    </rPh>
    <phoneticPr fontId="13"/>
  </si>
  <si>
    <t>27-224</t>
  </si>
  <si>
    <t>27/1</t>
    <phoneticPr fontId="13"/>
  </si>
  <si>
    <t>BMWﾐﾆ 3HB ｸｰﾊﾟｰS</t>
    <phoneticPr fontId="13"/>
  </si>
  <si>
    <t>なにわ 326 ほ 1110</t>
    <phoneticPr fontId="13"/>
  </si>
  <si>
    <t>緑Ⅱ</t>
    <rPh sb="0" eb="1">
      <t>ミドリ</t>
    </rPh>
    <phoneticPr fontId="13"/>
  </si>
  <si>
    <t>WMWXM72080T960493</t>
    <phoneticPr fontId="13"/>
  </si>
  <si>
    <t>双日ｵｰﾄｸﾞﾙｰﾌﾟ大阪株式会社</t>
    <rPh sb="0" eb="2">
      <t>ソウジツ</t>
    </rPh>
    <rPh sb="11" eb="13">
      <t>カブシキ</t>
    </rPh>
    <rPh sb="13" eb="15">
      <t>カイシャ</t>
    </rPh>
    <phoneticPr fontId="13"/>
  </si>
  <si>
    <t>1/29</t>
    <phoneticPr fontId="13"/>
  </si>
  <si>
    <t>取説（車内）   保証書 ﾜﾝｵｰﾅｰ</t>
    <rPh sb="0" eb="1">
      <t>トリ</t>
    </rPh>
    <rPh sb="1" eb="2">
      <t>セツ</t>
    </rPh>
    <rPh sb="3" eb="5">
      <t>シャナイ</t>
    </rPh>
    <rPh sb="9" eb="12">
      <t>ホショウショ</t>
    </rPh>
    <phoneticPr fontId="13"/>
  </si>
  <si>
    <t>27-225</t>
  </si>
  <si>
    <t>26/3</t>
    <phoneticPr fontId="13"/>
  </si>
  <si>
    <t>BMW ｱｸﾃｨﾌﾞﾊｲﾌﾞﾘｯﾄﾞ3Mｽﾎﾟｰﾂ</t>
    <phoneticPr fontId="13"/>
  </si>
  <si>
    <t>横浜 326 み 8339</t>
    <rPh sb="0" eb="2">
      <t>ヨコハマ</t>
    </rPh>
    <phoneticPr fontId="13"/>
  </si>
  <si>
    <t>手帳 取説</t>
  </si>
  <si>
    <t>WBA3F92030KL53881</t>
    <phoneticPr fontId="13"/>
  </si>
  <si>
    <t>株式会社ﾓﾄｰﾚﾝ湘南</t>
    <rPh sb="0" eb="4">
      <t>カブシキガイシャ</t>
    </rPh>
    <rPh sb="9" eb="11">
      <t>ショウナン</t>
    </rPh>
    <phoneticPr fontId="13"/>
  </si>
  <si>
    <t>2/8</t>
    <phoneticPr fontId="13"/>
  </si>
  <si>
    <t>27-226</t>
  </si>
  <si>
    <t>BMWﾐﾆ 5HB ｸｰﾊﾟｰSD</t>
    <phoneticPr fontId="13"/>
  </si>
  <si>
    <t>5/12</t>
    <phoneticPr fontId="13"/>
  </si>
  <si>
    <t>山梨 300 ゆ 9333</t>
    <rPh sb="0" eb="2">
      <t>ヤマナシ</t>
    </rPh>
    <phoneticPr fontId="13"/>
  </si>
  <si>
    <t>301 て 435</t>
    <phoneticPr fontId="13"/>
  </si>
  <si>
    <t>ﾎﾜｲﾄⅡ</t>
    <phoneticPr fontId="13"/>
  </si>
  <si>
    <t>WMWXT720802F35058</t>
    <phoneticPr fontId="13"/>
  </si>
  <si>
    <t>西海 大地</t>
    <rPh sb="0" eb="2">
      <t>ニシウミ</t>
    </rPh>
    <rPh sb="3" eb="5">
      <t>ダイチ</t>
    </rPh>
    <phoneticPr fontId="13"/>
  </si>
  <si>
    <t>2/11</t>
    <phoneticPr fontId="13"/>
  </si>
  <si>
    <t>保証書 取説 ﾘﾓｺﾝ ﾚﾝﾁ×2</t>
    <rPh sb="0" eb="3">
      <t>ホショウショ</t>
    </rPh>
    <rPh sb="4" eb="6">
      <t>トリセツ</t>
    </rPh>
    <phoneticPr fontId="13"/>
  </si>
  <si>
    <t>27-227</t>
  </si>
  <si>
    <t>27/9</t>
    <phoneticPr fontId="13"/>
  </si>
  <si>
    <t>BMW 220IｶﾌﾞﾘｵﾚMｽﾎﾟｰﾂ</t>
    <phoneticPr fontId="13"/>
  </si>
  <si>
    <t>横浜 305 に 3422</t>
    <rPh sb="0" eb="2">
      <t>ヨコハマ</t>
    </rPh>
    <phoneticPr fontId="13"/>
  </si>
  <si>
    <t>ZIP東京</t>
    <rPh sb="3" eb="5">
      <t>トウキョウ</t>
    </rPh>
    <phoneticPr fontId="13"/>
  </si>
  <si>
    <t>WBA1L72070V491085</t>
    <phoneticPr fontId="13"/>
  </si>
  <si>
    <t>株式会社ﾔﾅｾ</t>
    <rPh sb="0" eb="4">
      <t>カブシキガイシャ</t>
    </rPh>
    <phoneticPr fontId="13"/>
  </si>
  <si>
    <t>3月抹消済</t>
    <rPh sb="1" eb="5">
      <t>ガツマッショウスミ</t>
    </rPh>
    <phoneticPr fontId="13"/>
  </si>
  <si>
    <t>27-228</t>
  </si>
  <si>
    <t>29/4</t>
    <phoneticPr fontId="13"/>
  </si>
  <si>
    <t>ｱﾙﾌｧﾛﾒｵ ﾐﾄ ｽｰﾊﾟｰ</t>
    <phoneticPr fontId="13"/>
  </si>
  <si>
    <t>岐阜 318 ち   33</t>
    <rPh sb="0" eb="2">
      <t>ギフ</t>
    </rPh>
    <phoneticPr fontId="13"/>
  </si>
  <si>
    <t>ZAR9550000X059482</t>
    <phoneticPr fontId="13"/>
  </si>
  <si>
    <t>ﾄﾖﾀｶﾛｰﾗ岐阜 株式会社</t>
    <rPh sb="7" eb="9">
      <t>ギフ</t>
    </rPh>
    <rPh sb="10" eb="14">
      <t>カブシキガイシャ</t>
    </rPh>
    <phoneticPr fontId="13"/>
  </si>
  <si>
    <t>2/18</t>
    <phoneticPr fontId="13"/>
  </si>
  <si>
    <t>取説 ｷｰﾚｽ(車内)   保証書 ﾜﾝｵｰﾅｰ</t>
    <rPh sb="0" eb="1">
      <t>トリ</t>
    </rPh>
    <rPh sb="1" eb="2">
      <t>セツ</t>
    </rPh>
    <rPh sb="8" eb="10">
      <t>シャナイ</t>
    </rPh>
    <rPh sb="14" eb="17">
      <t>ホショウショ</t>
    </rPh>
    <phoneticPr fontId="13"/>
  </si>
  <si>
    <t>27-229</t>
  </si>
  <si>
    <t>BMWﾐﾆｸｰﾊﾟｰS</t>
    <phoneticPr fontId="13"/>
  </si>
  <si>
    <t>多摩 303 ふ 8413</t>
    <rPh sb="0" eb="2">
      <t>タマ</t>
    </rPh>
    <phoneticPr fontId="13"/>
  </si>
  <si>
    <t>保証書 Sｷｰ</t>
  </si>
  <si>
    <t>ﾚｯﾄﾞ</t>
    <phoneticPr fontId="13"/>
  </si>
  <si>
    <t>WMWXM720902A76717</t>
    <phoneticPr fontId="13"/>
  </si>
  <si>
    <t>株式会社ﾓﾄｰﾚﾝ東都</t>
    <rPh sb="0" eb="4">
      <t>カブシキガイシャ</t>
    </rPh>
    <rPh sb="9" eb="10">
      <t>ヒガシ</t>
    </rPh>
    <rPh sb="10" eb="11">
      <t>ト</t>
    </rPh>
    <phoneticPr fontId="13"/>
  </si>
  <si>
    <t>2/17</t>
    <phoneticPr fontId="13"/>
  </si>
  <si>
    <t>保証書 取説 ｷｰﾚｽ ﾛｯｸﾅｯﾄ</t>
    <rPh sb="0" eb="3">
      <t>ホショウショ</t>
    </rPh>
    <rPh sb="4" eb="6">
      <t>トリセツ</t>
    </rPh>
    <phoneticPr fontId="13"/>
  </si>
  <si>
    <t>27-230</t>
  </si>
  <si>
    <t>23/3</t>
    <phoneticPr fontId="13"/>
  </si>
  <si>
    <t>LR ﾃﾞｨｽｶﾊﾞﾘｰ4SE</t>
    <phoneticPr fontId="13"/>
  </si>
  <si>
    <t>岐阜 303 さ 1528</t>
    <rPh sb="0" eb="2">
      <t>ギフ</t>
    </rPh>
    <phoneticPr fontId="13"/>
  </si>
  <si>
    <t>301 て 434</t>
    <phoneticPr fontId="13"/>
  </si>
  <si>
    <t>ﾎﾜｲﾄ</t>
    <phoneticPr fontId="13"/>
  </si>
  <si>
    <t>SALLAJAD3BA566277</t>
    <phoneticPr fontId="13"/>
  </si>
  <si>
    <t>ﾕｰﾛｵｰﾄ岐阜 株式会社</t>
    <rPh sb="6" eb="8">
      <t>ギフ</t>
    </rPh>
    <rPh sb="9" eb="13">
      <t>カブシキガイシャ</t>
    </rPh>
    <phoneticPr fontId="13"/>
  </si>
  <si>
    <t>2/24</t>
    <phoneticPr fontId="13"/>
  </si>
  <si>
    <t>保証書 取説 ﾅﾋﾞ取</t>
    <rPh sb="0" eb="3">
      <t>ホショウショ</t>
    </rPh>
    <rPh sb="4" eb="5">
      <t>トリ</t>
    </rPh>
    <rPh sb="5" eb="6">
      <t>セツ</t>
    </rPh>
    <rPh sb="10" eb="11">
      <t>トリ</t>
    </rPh>
    <phoneticPr fontId="13"/>
  </si>
  <si>
    <t>8月抹消済</t>
    <rPh sb="1" eb="5">
      <t>ガツマッショウズ</t>
    </rPh>
    <phoneticPr fontId="13"/>
  </si>
  <si>
    <t>27-231</t>
  </si>
  <si>
    <t>29/8</t>
    <phoneticPr fontId="13"/>
  </si>
  <si>
    <t>ｼﾞｬｶﾞｰXJ ﾌﾟﾚﾐｱﾑﾗｸﾞｼﾞｭｱﾘｰ</t>
    <phoneticPr fontId="13"/>
  </si>
  <si>
    <t>神戸 366 ゆ 505</t>
    <rPh sb="0" eb="2">
      <t>コウベ</t>
    </rPh>
    <phoneticPr fontId="13"/>
  </si>
  <si>
    <t>保証書     名変期限3/22まで</t>
  </si>
  <si>
    <t>SAJKC1282G8V97450</t>
    <phoneticPr fontId="13"/>
  </si>
  <si>
    <t>株式会社 ｵﾘｴﾝﾄｺｰﾎﾟﾚｰｼｮﾝ</t>
    <rPh sb="0" eb="4">
      <t>カブシキガイシャ</t>
    </rPh>
    <phoneticPr fontId="13"/>
  </si>
  <si>
    <t>2/22</t>
    <phoneticPr fontId="13"/>
  </si>
  <si>
    <t>3月抹消済</t>
  </si>
  <si>
    <t>27-232</t>
  </si>
  <si>
    <t>23/1</t>
    <phoneticPr fontId="13"/>
  </si>
  <si>
    <t>BMW5ｼﾘｰｽﾞ</t>
    <phoneticPr fontId="13"/>
  </si>
  <si>
    <t>大宮 315 に 11</t>
    <rPh sb="0" eb="2">
      <t>オオミヤ</t>
    </rPh>
    <phoneticPr fontId="13"/>
  </si>
  <si>
    <t>保証書 取説 手帳 ｽﾍﾟｱｷｰ</t>
  </si>
  <si>
    <t>WBAFR72000C580612</t>
    <phoneticPr fontId="13"/>
  </si>
  <si>
    <t>株式会社 ﾎｿｶﾜｺｰﾎﾟﾚｰｼｮﾝ</t>
    <rPh sb="0" eb="4">
      <t>カブシキガイシャ</t>
    </rPh>
    <phoneticPr fontId="13"/>
  </si>
  <si>
    <t>3/1</t>
    <phoneticPr fontId="13"/>
  </si>
  <si>
    <t xml:space="preserve">保証書 取説 ｷｰﾚｽ ﾘﾓｺﾝ×6 ﾚﾝﾁ </t>
    <rPh sb="0" eb="3">
      <t>ホショウショ</t>
    </rPh>
    <rPh sb="4" eb="6">
      <t>トリセツ</t>
    </rPh>
    <phoneticPr fontId="13"/>
  </si>
  <si>
    <t>27-233</t>
  </si>
  <si>
    <t>18/4</t>
    <phoneticPr fontId="13"/>
  </si>
  <si>
    <t>ﾗﾝﾄﾞﾛｰﾊﾞｰ ﾚﾝｼﾞﾛｰﾊﾞｰｽﾎﾟｰﾂ ｽｰﾊﾟｰﾁｬｰｼﾞﾄﾞ</t>
    <phoneticPr fontId="13"/>
  </si>
  <si>
    <t>5/5</t>
    <phoneticPr fontId="13"/>
  </si>
  <si>
    <t>大阪 303 は 9680</t>
    <rPh sb="0" eb="2">
      <t>オオサカ</t>
    </rPh>
    <phoneticPr fontId="13"/>
  </si>
  <si>
    <t>SALLSJA336A917779</t>
    <phoneticPr fontId="13"/>
  </si>
  <si>
    <t>八光ｴﾙｱｰﾙ株式会社</t>
    <rPh sb="0" eb="2">
      <t>ハッコウ</t>
    </rPh>
    <rPh sb="7" eb="11">
      <t>カブシキガイシャ</t>
    </rPh>
    <phoneticPr fontId="13"/>
  </si>
  <si>
    <t>3/27</t>
    <phoneticPr fontId="13"/>
  </si>
  <si>
    <t>4月抹消済</t>
    <rPh sb="1" eb="2">
      <t>ガツ</t>
    </rPh>
    <rPh sb="2" eb="5">
      <t>マッショウズ</t>
    </rPh>
    <phoneticPr fontId="13"/>
  </si>
  <si>
    <t>27-234</t>
  </si>
  <si>
    <t>BMWﾐﾆｸｰﾊﾟｰ ｼﾞｮﾝｸｰﾊﾟｰﾜｰｸｽ</t>
    <phoneticPr fontId="13"/>
  </si>
  <si>
    <t>沖縄 330 す 732</t>
    <rPh sb="0" eb="2">
      <t>オキナワ</t>
    </rPh>
    <phoneticPr fontId="13"/>
  </si>
  <si>
    <t>保証書 取説 ｽﾍﾟｱｷｰ 記録（29/6.30/6.1/6.2/6.3/6） ﾜﾝｵｰﾅｰ</t>
  </si>
  <si>
    <t>WMWXM920902D05201</t>
    <phoneticPr fontId="13"/>
  </si>
  <si>
    <t>安田 茂</t>
    <rPh sb="0" eb="2">
      <t>ヤスダ</t>
    </rPh>
    <rPh sb="3" eb="4">
      <t>シゲル</t>
    </rPh>
    <phoneticPr fontId="13"/>
  </si>
  <si>
    <t>3/31</t>
    <phoneticPr fontId="13"/>
  </si>
  <si>
    <t>保証書 取説 ｷｰﾚｽ ﾜﾝｵｰﾅｰ 記録OK</t>
    <rPh sb="0" eb="3">
      <t>ホショウショ</t>
    </rPh>
    <rPh sb="4" eb="6">
      <t>トリセツ</t>
    </rPh>
    <rPh sb="19" eb="21">
      <t>キロク</t>
    </rPh>
    <phoneticPr fontId="13"/>
  </si>
  <si>
    <t>27-235</t>
  </si>
  <si>
    <t>28/7</t>
    <phoneticPr fontId="13"/>
  </si>
  <si>
    <t>NV350ｷｬﾗﾊﾞﾝ 2.5DTﾌﾟﾚﾐｱﾑGXﾛﾝｸﾞ</t>
    <phoneticPr fontId="13"/>
  </si>
  <si>
    <t>4/7</t>
    <phoneticPr fontId="13"/>
  </si>
  <si>
    <t>名古屋 430 つ 629</t>
    <rPh sb="0" eb="3">
      <t>ナゴヤ</t>
    </rPh>
    <phoneticPr fontId="13"/>
  </si>
  <si>
    <t>403 ろ  5</t>
    <phoneticPr fontId="13"/>
  </si>
  <si>
    <t>ﾘｸﾙｰﾄ</t>
    <phoneticPr fontId="13"/>
  </si>
  <si>
    <t>B01214137</t>
    <phoneticPr fontId="13"/>
  </si>
  <si>
    <t>VW2E26-026440</t>
    <phoneticPr fontId="13"/>
  </si>
  <si>
    <t>愛知ﾄﾖﾀ自動車株式会社</t>
    <rPh sb="0" eb="2">
      <t>アイチ</t>
    </rPh>
    <rPh sb="5" eb="12">
      <t>ジドウシャカブシキガイシャ</t>
    </rPh>
    <phoneticPr fontId="13"/>
  </si>
  <si>
    <t>27-236</t>
  </si>
  <si>
    <t>27/3</t>
    <phoneticPr fontId="13"/>
  </si>
  <si>
    <t>6/3</t>
    <phoneticPr fontId="13"/>
  </si>
  <si>
    <t>札幌 302 ぬ 2324</t>
    <rPh sb="0" eb="2">
      <t>サッポロ</t>
    </rPh>
    <phoneticPr fontId="13"/>
  </si>
  <si>
    <t xml:space="preserve">保証書 取説 ｽﾍﾟｱｷｰ </t>
  </si>
  <si>
    <t>301 て 2651</t>
    <phoneticPr fontId="13"/>
  </si>
  <si>
    <t>ﾍﾟｯﾊﾟｰﾎﾜｲﾄⅡ</t>
    <phoneticPr fontId="13"/>
  </si>
  <si>
    <t>WMWXS72000T849300</t>
    <phoneticPr fontId="13"/>
  </si>
  <si>
    <t>今野 有紀</t>
    <rPh sb="0" eb="2">
      <t>イマノ</t>
    </rPh>
    <rPh sb="3" eb="5">
      <t>ユキ</t>
    </rPh>
    <phoneticPr fontId="13"/>
  </si>
  <si>
    <t>27-237</t>
  </si>
  <si>
    <t>28/9</t>
    <phoneticPr fontId="13"/>
  </si>
  <si>
    <t>BMWﾐﾆｸｰﾊﾟｰ</t>
    <phoneticPr fontId="13"/>
  </si>
  <si>
    <t>前橋 399 せ 1590</t>
    <rPh sb="0" eb="2">
      <t>マエバシ</t>
    </rPh>
    <phoneticPr fontId="13"/>
  </si>
  <si>
    <t>JU愛知（まとめ）</t>
    <rPh sb="2" eb="4">
      <t>アイチ</t>
    </rPh>
    <phoneticPr fontId="13"/>
  </si>
  <si>
    <t>ｼﾙﾊﾞｰⅡ</t>
    <phoneticPr fontId="13"/>
  </si>
  <si>
    <t>WMWXS720302C49671</t>
    <phoneticPr fontId="13"/>
  </si>
  <si>
    <t>株式会社 ﾈｸｽﾃｰｼﾞ</t>
    <rPh sb="0" eb="4">
      <t>カブシキガイシャ</t>
    </rPh>
    <phoneticPr fontId="13"/>
  </si>
  <si>
    <t>4/14</t>
    <phoneticPr fontId="13"/>
  </si>
  <si>
    <t>保証書 取説 ﾜﾝｵｰﾅｰ</t>
    <rPh sb="0" eb="3">
      <t>ホショウショ</t>
    </rPh>
    <rPh sb="4" eb="6">
      <t>トリセツ</t>
    </rPh>
    <phoneticPr fontId="13"/>
  </si>
  <si>
    <t>27-238</t>
  </si>
  <si>
    <t>H8/</t>
    <phoneticPr fontId="13"/>
  </si>
  <si>
    <t>ｼﾞﾑﾆｰ ﾜｲﾙﾄﾞｳｨﾝﾄﾞ</t>
    <phoneticPr fontId="13"/>
  </si>
  <si>
    <t>豊橋 50 け 1735</t>
    <rPh sb="0" eb="2">
      <t>トヨハシ</t>
    </rPh>
    <phoneticPr fontId="13"/>
  </si>
  <si>
    <t>ﾐﾗｲﾌﾞ愛知（AS)</t>
    <rPh sb="5" eb="7">
      <t>アイチ</t>
    </rPh>
    <phoneticPr fontId="13"/>
  </si>
  <si>
    <t>JA22W-117174</t>
    <phoneticPr fontId="13"/>
  </si>
  <si>
    <t>山本 誠</t>
    <rPh sb="0" eb="2">
      <t>ヤマモト</t>
    </rPh>
    <rPh sb="3" eb="4">
      <t>マコト</t>
    </rPh>
    <phoneticPr fontId="13"/>
  </si>
  <si>
    <t>4/16</t>
    <phoneticPr fontId="13"/>
  </si>
  <si>
    <t>27-239</t>
  </si>
  <si>
    <t>1/5</t>
    <phoneticPr fontId="13"/>
  </si>
  <si>
    <t>札幌 330 せ 985</t>
    <rPh sb="0" eb="2">
      <t>サッポロ</t>
    </rPh>
    <phoneticPr fontId="13"/>
  </si>
  <si>
    <t>WMWXR52090TV09949</t>
    <phoneticPr fontId="13"/>
  </si>
  <si>
    <t>4/29</t>
    <phoneticPr fontId="13"/>
  </si>
  <si>
    <t>27-240</t>
  </si>
  <si>
    <t>29/10</t>
    <phoneticPr fontId="13"/>
  </si>
  <si>
    <t>福岡 303 た 252</t>
    <rPh sb="0" eb="2">
      <t>フクオカ</t>
    </rPh>
    <phoneticPr fontId="13"/>
  </si>
  <si>
    <t>WMWXT720502G65802</t>
    <phoneticPr fontId="13"/>
  </si>
  <si>
    <t>株式会社 九州ﾕｰﾎﾟｽ</t>
    <rPh sb="0" eb="4">
      <t>カブシキガイシャ</t>
    </rPh>
    <rPh sb="5" eb="7">
      <t>キュウシュウ</t>
    </rPh>
    <phoneticPr fontId="13"/>
  </si>
  <si>
    <t>4/28</t>
    <phoneticPr fontId="13"/>
  </si>
  <si>
    <t>5月抹消済</t>
  </si>
  <si>
    <t>27-241</t>
  </si>
  <si>
    <t>ｼﾞｬｶﾞｰXF 25tﾌﾟﾚｽﾃｰｼﾞ</t>
    <phoneticPr fontId="13"/>
  </si>
  <si>
    <t>5/11/1</t>
    <phoneticPr fontId="13"/>
  </si>
  <si>
    <t>練馬 347 は 315</t>
    <rPh sb="0" eb="2">
      <t>ネリマ</t>
    </rPh>
    <phoneticPr fontId="13"/>
  </si>
  <si>
    <t>保証書 整備手帳 取説</t>
  </si>
  <si>
    <t>301 て 2654</t>
    <phoneticPr fontId="13"/>
  </si>
  <si>
    <t>SAJBB4AGXHCY36920</t>
    <phoneticPr fontId="13"/>
  </si>
  <si>
    <t>株式会社ｱｳﾄﾌﾟﾗｯﾂ</t>
    <rPh sb="0" eb="4">
      <t>カブシキガイシャ</t>
    </rPh>
    <phoneticPr fontId="13"/>
  </si>
  <si>
    <t>5/10</t>
    <phoneticPr fontId="13"/>
  </si>
  <si>
    <t>27-242</t>
  </si>
  <si>
    <t>BMWﾐﾆｸｰﾍﾟ ｼﾞｮﾝｸｰﾊﾟｰﾜｰｸｽ</t>
    <phoneticPr fontId="13"/>
  </si>
  <si>
    <t>熊谷 501 め 6700</t>
    <rPh sb="0" eb="2">
      <t>クマタニ</t>
    </rPh>
    <phoneticPr fontId="13"/>
  </si>
  <si>
    <t>501 む 1173</t>
    <phoneticPr fontId="13"/>
  </si>
  <si>
    <t>WMWSX92090T495302</t>
    <phoneticPr fontId="13"/>
  </si>
  <si>
    <t>5/19</t>
    <phoneticPr fontId="13"/>
  </si>
  <si>
    <t>27-243</t>
  </si>
  <si>
    <t>1/6</t>
    <phoneticPr fontId="13"/>
  </si>
  <si>
    <t>AQ</t>
    <phoneticPr fontId="13"/>
  </si>
  <si>
    <t>北九州 399 つ 1059</t>
    <rPh sb="0" eb="3">
      <t>キタキュウシュウ</t>
    </rPh>
    <phoneticPr fontId="13"/>
  </si>
  <si>
    <t>ｴﾒﾗﾙﾄﾞｸﾞﾚｰﾒﾀﾘｯｸⅡ</t>
    <phoneticPr fontId="13"/>
  </si>
  <si>
    <t>WMWXT720002H92134</t>
    <phoneticPr fontId="13"/>
  </si>
  <si>
    <t>株式会社AG</t>
    <rPh sb="0" eb="4">
      <t>カブシキガイシャ</t>
    </rPh>
    <phoneticPr fontId="13"/>
  </si>
  <si>
    <t>5/22</t>
    <phoneticPr fontId="13"/>
  </si>
  <si>
    <t xml:space="preserve">保証書 取説 ｷｰﾚｽ 記録有 ﾜﾝｵｰﾅｰ </t>
    <rPh sb="0" eb="3">
      <t>ホショウショ</t>
    </rPh>
    <rPh sb="4" eb="6">
      <t>トリセツ</t>
    </rPh>
    <rPh sb="12" eb="14">
      <t>キロク</t>
    </rPh>
    <rPh sb="14" eb="15">
      <t>アリ</t>
    </rPh>
    <phoneticPr fontId="13"/>
  </si>
  <si>
    <t>27-244</t>
  </si>
  <si>
    <t>3/4</t>
    <phoneticPr fontId="13"/>
  </si>
  <si>
    <t>BMW M3ｺﾝﾍﾟﾃｨｼｮﾝ</t>
    <phoneticPr fontId="13"/>
  </si>
  <si>
    <t>6/4</t>
    <phoneticPr fontId="13"/>
  </si>
  <si>
    <t>野田 338 た 321</t>
    <rPh sb="0" eb="2">
      <t>ノダ</t>
    </rPh>
    <phoneticPr fontId="13"/>
  </si>
  <si>
    <t>32K さ 5</t>
    <phoneticPr fontId="13"/>
  </si>
  <si>
    <t>WBA32AY050FK87262</t>
    <phoneticPr fontId="13"/>
  </si>
  <si>
    <t>取説 (車内） 保証書 ｷｰﾚｽ ﾜﾝｵｰﾅｰ</t>
    <rPh sb="0" eb="2">
      <t>トリセツ</t>
    </rPh>
    <rPh sb="4" eb="6">
      <t>シャナイ</t>
    </rPh>
    <rPh sb="8" eb="11">
      <t>ホショウショ</t>
    </rPh>
    <phoneticPr fontId="13"/>
  </si>
  <si>
    <t>27-245</t>
  </si>
  <si>
    <t>15/11</t>
    <phoneticPr fontId="13"/>
  </si>
  <si>
    <t>ﾗﾝﾄﾞﾛｰﾊﾞｰﾃﾞｨｽｶﾊﾞﾘｰ HSE</t>
    <phoneticPr fontId="13"/>
  </si>
  <si>
    <t>三河 399 ち 9378</t>
    <rPh sb="0" eb="2">
      <t>ミカワ</t>
    </rPh>
    <phoneticPr fontId="13"/>
  </si>
  <si>
    <t>SALLTAMP34A830544</t>
    <phoneticPr fontId="13"/>
  </si>
  <si>
    <t>株式会社ﾈｸｽﾃｰｼﾞ</t>
    <rPh sb="0" eb="4">
      <t>カブシキガイシャ</t>
    </rPh>
    <phoneticPr fontId="13"/>
  </si>
  <si>
    <t>6/2</t>
    <phoneticPr fontId="13"/>
  </si>
  <si>
    <t>27-246</t>
  </si>
  <si>
    <t>20/1</t>
    <phoneticPr fontId="13"/>
  </si>
  <si>
    <t>BMW M5</t>
    <phoneticPr fontId="13"/>
  </si>
  <si>
    <t>5/1</t>
    <phoneticPr fontId="13"/>
  </si>
  <si>
    <t>横浜 305 は 7780</t>
    <rPh sb="0" eb="2">
      <t>ヨコハマ</t>
    </rPh>
    <phoneticPr fontId="13"/>
  </si>
  <si>
    <t>保証書 記録簿 取説</t>
  </si>
  <si>
    <t>301 て 3616</t>
    <phoneticPr fontId="13"/>
  </si>
  <si>
    <t>WBSNB92040CY10143</t>
    <phoneticPr fontId="13"/>
  </si>
  <si>
    <t>ｶﾚﾝﾄ自動車株式会社</t>
    <rPh sb="4" eb="7">
      <t>ジドウシャ</t>
    </rPh>
    <rPh sb="7" eb="11">
      <t>カブシキガイシャ</t>
    </rPh>
    <phoneticPr fontId="13"/>
  </si>
  <si>
    <t>保証書 取説 ｷｰﾚｽ 記録簿</t>
    <rPh sb="0" eb="3">
      <t>ホショウショ</t>
    </rPh>
    <rPh sb="4" eb="5">
      <t>トリ</t>
    </rPh>
    <rPh sb="5" eb="6">
      <t>セツ</t>
    </rPh>
    <rPh sb="12" eb="14">
      <t>キロク</t>
    </rPh>
    <rPh sb="14" eb="15">
      <t>ボ</t>
    </rPh>
    <phoneticPr fontId="13"/>
  </si>
  <si>
    <t>ｸｲｯｸﾈｯﾄﾜｰｸ</t>
    <phoneticPr fontId="13"/>
  </si>
  <si>
    <t>27-247</t>
  </si>
  <si>
    <t>LRﾃﾞｨｽｶﾊﾞﾘｰｽﾎﾟｰﾂ SE</t>
    <phoneticPr fontId="13"/>
  </si>
  <si>
    <t>5/7</t>
    <phoneticPr fontId="13"/>
  </si>
  <si>
    <t>富山 345 そ 1010</t>
    <rPh sb="0" eb="2">
      <t>トヤマ</t>
    </rPh>
    <phoneticPr fontId="13"/>
  </si>
  <si>
    <t>301 て 4566</t>
    <phoneticPr fontId="13"/>
  </si>
  <si>
    <t>SALCA2AG2GH627725</t>
    <phoneticPr fontId="13"/>
  </si>
  <si>
    <t>仙道 貴彰</t>
    <rPh sb="0" eb="2">
      <t>センドウ</t>
    </rPh>
    <rPh sb="3" eb="5">
      <t>タカアキ</t>
    </rPh>
    <phoneticPr fontId="13"/>
  </si>
  <si>
    <t>6/9</t>
    <phoneticPr fontId="13"/>
  </si>
  <si>
    <t>ｷｰﾚｽ(車内)   保証書 取説</t>
    <rPh sb="11" eb="14">
      <t>ホショウショ</t>
    </rPh>
    <rPh sb="15" eb="17">
      <t>トリセツ</t>
    </rPh>
    <phoneticPr fontId="13"/>
  </si>
  <si>
    <t>27-248</t>
  </si>
  <si>
    <t>BMWﾐﾆｸｰﾊﾟｰ ｸﾛｽｵｰﾊﾞｰ</t>
    <phoneticPr fontId="13"/>
  </si>
  <si>
    <t>岐阜 334 に 3298</t>
    <rPh sb="0" eb="2">
      <t>ギフ</t>
    </rPh>
    <phoneticPr fontId="13"/>
  </si>
  <si>
    <t>WMWZB72000WT66932</t>
    <phoneticPr fontId="13"/>
  </si>
  <si>
    <t>ﾈｯﾂﾄﾖﾀ岐阜株式会社</t>
    <rPh sb="6" eb="8">
      <t>ギフ</t>
    </rPh>
    <rPh sb="8" eb="12">
      <t>カブシキガイシャ</t>
    </rPh>
    <phoneticPr fontId="13"/>
  </si>
  <si>
    <t>6/17</t>
    <phoneticPr fontId="13"/>
  </si>
  <si>
    <t>取説(車内) 保証書</t>
    <rPh sb="0" eb="2">
      <t>トリセツ</t>
    </rPh>
    <rPh sb="7" eb="10">
      <t>ホショウショ</t>
    </rPh>
    <phoneticPr fontId="13"/>
  </si>
  <si>
    <t>27-249</t>
  </si>
  <si>
    <t>30/3</t>
    <phoneticPr fontId="13"/>
  </si>
  <si>
    <t>5/3/29</t>
    <phoneticPr fontId="13"/>
  </si>
  <si>
    <t>名古屋 349 に 5577</t>
    <rPh sb="0" eb="3">
      <t>ナゴヤ</t>
    </rPh>
    <phoneticPr fontId="13"/>
  </si>
  <si>
    <t>ﾜﾝｵｰﾅｰ</t>
  </si>
  <si>
    <t>301 て 4565</t>
    <phoneticPr fontId="13"/>
  </si>
  <si>
    <t>VF7SXHNZTJT509756</t>
    <phoneticPr fontId="13"/>
  </si>
  <si>
    <t>株式会社 名鉄ｱｵﾄ</t>
    <rPh sb="0" eb="4">
      <t>カブシキガイシャ</t>
    </rPh>
    <rPh sb="5" eb="7">
      <t>メイテツ</t>
    </rPh>
    <phoneticPr fontId="13"/>
  </si>
  <si>
    <t>6/16</t>
    <phoneticPr fontId="13"/>
  </si>
  <si>
    <t>ｷｰﾚｽ(車内)   取説 ﾜﾝｵｰﾅｰ</t>
    <rPh sb="11" eb="12">
      <t>トリ</t>
    </rPh>
    <rPh sb="12" eb="13">
      <t>セツ</t>
    </rPh>
    <phoneticPr fontId="13"/>
  </si>
  <si>
    <t>27-250</t>
  </si>
  <si>
    <t>ﾗﾝﾄﾞﾛｰﾊﾞｰﾃﾞｨｽｶﾊﾞﾘｰｽﾎﾟｰﾂ HSE</t>
    <phoneticPr fontId="13"/>
  </si>
  <si>
    <t>相模 399 ふ 192</t>
    <rPh sb="0" eb="2">
      <t>サガミ</t>
    </rPh>
    <phoneticPr fontId="13"/>
  </si>
  <si>
    <t>SALCA2AGXHH683767</t>
    <phoneticPr fontId="13"/>
  </si>
  <si>
    <t>株式会社 ﾌｧｲﾌﾞｽﾀｰ東名横浜</t>
    <rPh sb="0" eb="4">
      <t>カブシキガイシャ</t>
    </rPh>
    <rPh sb="13" eb="17">
      <t>トウメイヨコハマ</t>
    </rPh>
    <phoneticPr fontId="13"/>
  </si>
  <si>
    <t>6/18</t>
    <phoneticPr fontId="13"/>
  </si>
  <si>
    <t>27-251</t>
  </si>
  <si>
    <t>ｴﾌﾞﾘｨﾜｺﾞﾝ PZﾀｰﾎﾞｽﾍﾟｼｬﾙ</t>
    <phoneticPr fontId="13"/>
  </si>
  <si>
    <t>5/3</t>
    <phoneticPr fontId="13"/>
  </si>
  <si>
    <t>堺 580 に 7078</t>
    <rPh sb="0" eb="1">
      <t>サカイ</t>
    </rPh>
    <phoneticPr fontId="13"/>
  </si>
  <si>
    <t>581 ほ 3628</t>
    <phoneticPr fontId="13"/>
  </si>
  <si>
    <t>ﾐﾗｲﾌﾞ大阪（AS)</t>
    <rPh sb="5" eb="7">
      <t>オオサカ</t>
    </rPh>
    <phoneticPr fontId="13"/>
  </si>
  <si>
    <t>ﾊﾟｰﾌﾟﾙ</t>
    <phoneticPr fontId="13"/>
  </si>
  <si>
    <t>DA64W-434334</t>
    <phoneticPr fontId="13"/>
  </si>
  <si>
    <t>鈴木 克寛</t>
    <rPh sb="0" eb="2">
      <t>スズキ</t>
    </rPh>
    <rPh sb="3" eb="4">
      <t>カツ</t>
    </rPh>
    <rPh sb="4" eb="5">
      <t>ヒロ</t>
    </rPh>
    <phoneticPr fontId="13"/>
  </si>
  <si>
    <t>7/8</t>
    <phoneticPr fontId="13"/>
  </si>
  <si>
    <t>保証書 取説 ｽﾍﾟｱｷｰX2</t>
    <rPh sb="0" eb="3">
      <t>ホショウショ</t>
    </rPh>
    <rPh sb="4" eb="6">
      <t>トリセツ</t>
    </rPh>
    <phoneticPr fontId="13"/>
  </si>
  <si>
    <t>27-252</t>
  </si>
  <si>
    <t>5/3/30</t>
    <phoneticPr fontId="13"/>
  </si>
  <si>
    <t>金沢 334 ち 73</t>
    <rPh sb="0" eb="2">
      <t>カナザワ</t>
    </rPh>
    <phoneticPr fontId="13"/>
  </si>
  <si>
    <t>301 て 5660</t>
    <phoneticPr fontId="13"/>
  </si>
  <si>
    <t>SALCA2AG1GH552631</t>
    <phoneticPr fontId="13"/>
  </si>
  <si>
    <t>株式会社ｱｽﾓｰﾀｰ</t>
    <rPh sb="0" eb="4">
      <t>カブシキカイシャ</t>
    </rPh>
    <phoneticPr fontId="13"/>
  </si>
  <si>
    <t>7/14</t>
    <phoneticPr fontId="13"/>
  </si>
  <si>
    <t>保証書 取説 ﾅﾋﾞ取 ｷｰﾚｽ</t>
    <rPh sb="0" eb="3">
      <t>ホショウショ</t>
    </rPh>
    <rPh sb="4" eb="6">
      <t>トリセツ</t>
    </rPh>
    <rPh sb="10" eb="11">
      <t>トリ</t>
    </rPh>
    <phoneticPr fontId="13"/>
  </si>
  <si>
    <t>27-253</t>
  </si>
  <si>
    <t>ﾊｲｾﾞｯﾄｶｰｺﾞ 4WDｽﾍﾟｼｬﾙ</t>
    <phoneticPr fontId="13"/>
  </si>
  <si>
    <t>和泉 480 つ 5626</t>
    <rPh sb="0" eb="2">
      <t>イズミ</t>
    </rPh>
    <phoneticPr fontId="13"/>
  </si>
  <si>
    <t>整備手帳</t>
  </si>
  <si>
    <t>ｵﾘｯｸｽ神戸(ｱｲｵｰｸ)</t>
    <rPh sb="5" eb="7">
      <t>コウベ</t>
    </rPh>
    <phoneticPr fontId="13"/>
  </si>
  <si>
    <t>S331V-0175066</t>
    <phoneticPr fontId="13"/>
  </si>
  <si>
    <t>ｵﾘｯｸｽ自動車株式会社</t>
    <rPh sb="5" eb="8">
      <t>ジドウシャ</t>
    </rPh>
    <rPh sb="8" eb="12">
      <t>カブシキガイシャ</t>
    </rPh>
    <phoneticPr fontId="13"/>
  </si>
  <si>
    <t>7/28</t>
    <phoneticPr fontId="13"/>
  </si>
  <si>
    <t>27-254</t>
  </si>
  <si>
    <t>27/12</t>
    <phoneticPr fontId="13"/>
  </si>
  <si>
    <t>ｼﾄﾛｴﾝDS5 ｴﾃﾞｨｼｮﾝ1955</t>
    <phoneticPr fontId="13"/>
  </si>
  <si>
    <t>なにわ 326 む 2369</t>
    <phoneticPr fontId="13"/>
  </si>
  <si>
    <t>VF7KF5FVAFS518815</t>
    <phoneticPr fontId="13"/>
  </si>
  <si>
    <t>大阪ｶﾞｽｵｰﾄｻｰﾋﾞｽ株式会社</t>
    <rPh sb="0" eb="2">
      <t>オオサカ</t>
    </rPh>
    <rPh sb="13" eb="17">
      <t>カブシキガイシャ</t>
    </rPh>
    <phoneticPr fontId="13"/>
  </si>
  <si>
    <t>8/7</t>
    <phoneticPr fontId="13"/>
  </si>
  <si>
    <t>27-255</t>
  </si>
  <si>
    <t>BMWﾐﾆﾛｰﾄﾞｽﾀｰ ｼﾞｮﾝｸｰﾊﾟｰﾜｰｸｽ</t>
    <phoneticPr fontId="13"/>
  </si>
  <si>
    <t>5/8</t>
    <phoneticPr fontId="13"/>
  </si>
  <si>
    <t>福岡 534 め 329</t>
    <rPh sb="0" eb="2">
      <t>フクオカ</t>
    </rPh>
    <phoneticPr fontId="13"/>
  </si>
  <si>
    <t>地図SD川本さんに渡しました</t>
    <rPh sb="0" eb="2">
      <t>チズ</t>
    </rPh>
    <rPh sb="4" eb="6">
      <t>カワモト</t>
    </rPh>
    <rPh sb="9" eb="10">
      <t>ワタ</t>
    </rPh>
    <phoneticPr fontId="13"/>
  </si>
  <si>
    <t>501 む 2590</t>
    <phoneticPr fontId="13"/>
  </si>
  <si>
    <t>WMWSY920X0T495774</t>
    <phoneticPr fontId="13"/>
  </si>
  <si>
    <t>坂本 智史</t>
    <rPh sb="0" eb="2">
      <t>サカモト</t>
    </rPh>
    <rPh sb="3" eb="4">
      <t>トモ</t>
    </rPh>
    <rPh sb="4" eb="5">
      <t>シ</t>
    </rPh>
    <phoneticPr fontId="13"/>
  </si>
  <si>
    <t xml:space="preserve">ﾐﾆB-CAS （ZIPから）地図SD (車内） 保証書 取説 ﾅﾋﾞ取 ｷｰﾚｽ   </t>
    <rPh sb="15" eb="17">
      <t>チズ</t>
    </rPh>
    <rPh sb="21" eb="23">
      <t>シャナイ</t>
    </rPh>
    <rPh sb="25" eb="28">
      <t>ホショウショ</t>
    </rPh>
    <rPh sb="29" eb="31">
      <t>トリセツ</t>
    </rPh>
    <rPh sb="35" eb="36">
      <t>トリ</t>
    </rPh>
    <phoneticPr fontId="13"/>
  </si>
  <si>
    <t>王 暁雁</t>
    <rPh sb="0" eb="1">
      <t>オウ</t>
    </rPh>
    <rPh sb="2" eb="3">
      <t>アカツキ</t>
    </rPh>
    <phoneticPr fontId="13"/>
  </si>
  <si>
    <t>27-256</t>
  </si>
  <si>
    <t xml:space="preserve">ﾎﾟﾙｼｪ ｶｲｴﾝ </t>
    <phoneticPr fontId="13"/>
  </si>
  <si>
    <t>山口 301 な 254</t>
    <rPh sb="0" eb="2">
      <t>ヤマグチ</t>
    </rPh>
    <phoneticPr fontId="13"/>
  </si>
  <si>
    <t>保証書 手帳 取説</t>
  </si>
  <si>
    <t>374 つ 6</t>
    <phoneticPr fontId="13"/>
  </si>
  <si>
    <t>WP1ZZZ9YZKDA35448</t>
    <phoneticPr fontId="13"/>
  </si>
  <si>
    <t>山口日産自動車 株式会社</t>
    <rPh sb="0" eb="7">
      <t>ヤマグチニッサンジドウシャ</t>
    </rPh>
    <rPh sb="8" eb="12">
      <t>カブシキガイシャ</t>
    </rPh>
    <phoneticPr fontId="13"/>
  </si>
  <si>
    <t>7/29</t>
    <phoneticPr fontId="13"/>
  </si>
  <si>
    <t>保証書 取説 ｷｰﾚｽ ﾘﾓｺﾝ ﾜﾝｵｰﾅｰ</t>
    <rPh sb="0" eb="3">
      <t>ホショウショ</t>
    </rPh>
    <rPh sb="4" eb="6">
      <t>トリセツ</t>
    </rPh>
    <phoneticPr fontId="13"/>
  </si>
  <si>
    <t>付属品一式会長に渡してます</t>
    <rPh sb="0" eb="4">
      <t>フゾクヒンイッ</t>
    </rPh>
    <rPh sb="4" eb="5">
      <t>シキ</t>
    </rPh>
    <rPh sb="5" eb="7">
      <t>カイチョウ</t>
    </rPh>
    <rPh sb="8" eb="9">
      <t>ワタ</t>
    </rPh>
    <phoneticPr fontId="13"/>
  </si>
  <si>
    <t>27-257</t>
  </si>
  <si>
    <t>14/11</t>
    <phoneticPr fontId="13"/>
  </si>
  <si>
    <t>ﾚﾝｼﾞﾛｰﾊﾞｰｲｳﾞｫｰｸﾞ</t>
    <phoneticPr fontId="13"/>
  </si>
  <si>
    <t>5/11</t>
    <phoneticPr fontId="13"/>
  </si>
  <si>
    <t>岐阜 303 の 8000</t>
    <rPh sb="0" eb="2">
      <t>ギフ</t>
    </rPh>
    <phoneticPr fontId="13"/>
  </si>
  <si>
    <t>ｺﾞｰﾙﾄﾞ</t>
    <phoneticPr fontId="13"/>
  </si>
  <si>
    <t>SALLM-AMA33A114650</t>
    <phoneticPr fontId="13"/>
  </si>
  <si>
    <t>医療法人社団 仙寿会</t>
    <rPh sb="0" eb="6">
      <t>イリョウホウジンシャダン</t>
    </rPh>
    <rPh sb="7" eb="10">
      <t>センジュカイ</t>
    </rPh>
    <phoneticPr fontId="13"/>
  </si>
  <si>
    <t>8/23</t>
    <phoneticPr fontId="13"/>
  </si>
  <si>
    <t>9月抹消済</t>
    <rPh sb="1" eb="2">
      <t>ガツ</t>
    </rPh>
    <rPh sb="2" eb="5">
      <t>マッショウズ</t>
    </rPh>
    <phoneticPr fontId="13"/>
  </si>
  <si>
    <t>27-258</t>
  </si>
  <si>
    <t>BMWﾐﾆ ｼﾞｮﾝｸｰﾊﾟｰﾜｰｸｽ ｺﾝﾊﾞｰﾁﾌﾞﾙ</t>
    <phoneticPr fontId="13"/>
  </si>
  <si>
    <t>4/11</t>
    <phoneticPr fontId="13"/>
  </si>
  <si>
    <t>大阪 303 な 9850</t>
    <rPh sb="0" eb="2">
      <t>オオサカ</t>
    </rPh>
    <phoneticPr fontId="13"/>
  </si>
  <si>
    <t>A138636</t>
    <phoneticPr fontId="13"/>
  </si>
  <si>
    <t>ﾐｯﾄﾞﾅｲﾄﾌﾞﾗｯｸ</t>
    <phoneticPr fontId="13"/>
  </si>
  <si>
    <t>WMWWH920303A88884</t>
    <phoneticPr fontId="13"/>
  </si>
  <si>
    <t>ﾋﾞｰ･ｴﾑ･ﾀﾞﾌﾞﾘｭｰ･ｼﾞｬﾊﾟﾝ・ﾌｧｲﾅﾝｽ株式会社</t>
    <rPh sb="28" eb="32">
      <t>カブシキガイシャ</t>
    </rPh>
    <phoneticPr fontId="13"/>
  </si>
  <si>
    <t>9/20</t>
    <phoneticPr fontId="13"/>
  </si>
  <si>
    <t>10月抹消済</t>
    <rPh sb="2" eb="3">
      <t>ガツ</t>
    </rPh>
    <rPh sb="3" eb="6">
      <t>マッショウズ</t>
    </rPh>
    <phoneticPr fontId="13"/>
  </si>
  <si>
    <t>27-259</t>
  </si>
  <si>
    <t>30/1</t>
    <phoneticPr fontId="13"/>
  </si>
  <si>
    <t>BMW523d ﾂｰﾘﾝｸﾞ Mｽﾎﾟｰﾂ</t>
    <phoneticPr fontId="13"/>
  </si>
  <si>
    <t>春日井 314 つ 5</t>
    <rPh sb="0" eb="3">
      <t>カスガイ</t>
    </rPh>
    <phoneticPr fontId="13"/>
  </si>
  <si>
    <t>ｱﾙﾋﾟﾝﾎﾜｲﾄ</t>
    <phoneticPr fontId="13"/>
  </si>
  <si>
    <t>WBAJM72080G986476</t>
    <phoneticPr fontId="13"/>
  </si>
  <si>
    <t>ｷｰﾚｽ(車内)  保証書 取説 ﾜﾝｵｰﾅｰ</t>
    <rPh sb="5" eb="7">
      <t>シャナイ</t>
    </rPh>
    <rPh sb="10" eb="13">
      <t>ホショウショ</t>
    </rPh>
    <rPh sb="14" eb="16">
      <t>トリセツ</t>
    </rPh>
    <phoneticPr fontId="13"/>
  </si>
  <si>
    <t>9月抹消済</t>
    <phoneticPr fontId="13"/>
  </si>
  <si>
    <t>27-260</t>
  </si>
  <si>
    <t>ﾗﾝﾄﾞﾛｰﾊﾞｰﾃﾞｨｽｶﾊﾞﾘｰ4 SE</t>
    <phoneticPr fontId="13"/>
  </si>
  <si>
    <t>京都 330 み 2555</t>
    <rPh sb="0" eb="2">
      <t>キョウト</t>
    </rPh>
    <phoneticPr fontId="13"/>
  </si>
  <si>
    <t>保証書 整備手帳 取説 ｽﾍﾟｱｷｰ</t>
  </si>
  <si>
    <t>SALLAJAD3DA670117</t>
    <phoneticPr fontId="13"/>
  </si>
  <si>
    <t>株式会社 京滋ﾏﾂﾀﾞ</t>
    <rPh sb="0" eb="4">
      <t>カブシキガイシャ</t>
    </rPh>
    <rPh sb="5" eb="6">
      <t>キョウ</t>
    </rPh>
    <rPh sb="6" eb="7">
      <t>ジ</t>
    </rPh>
    <phoneticPr fontId="13"/>
  </si>
  <si>
    <t>9/4</t>
    <phoneticPr fontId="13"/>
  </si>
  <si>
    <t>27-261</t>
  </si>
  <si>
    <t>20/3</t>
    <phoneticPr fontId="13"/>
  </si>
  <si>
    <t>ｱｽﾄﾝﾏｰﾃｨﾝ V8ｳﾞｧﾝﾃｰｼﾞ</t>
    <phoneticPr fontId="13"/>
  </si>
  <si>
    <t>沼津 399 た 1766</t>
    <rPh sb="0" eb="2">
      <t>ヌマヅ</t>
    </rPh>
    <phoneticPr fontId="13"/>
  </si>
  <si>
    <t>ｶﾞﾝﾒﾀ</t>
    <phoneticPr fontId="13"/>
  </si>
  <si>
    <t>SCFBFD3BJ8GC09611</t>
    <phoneticPr fontId="13"/>
  </si>
  <si>
    <t>株式会社ﾜｰﾙﾄﾞｽﾀｰｴﾝﾀｰﾌﾟﾗｲｽﾞ</t>
    <rPh sb="0" eb="4">
      <t>カブシキガイシャ</t>
    </rPh>
    <phoneticPr fontId="13"/>
  </si>
  <si>
    <t>9/13</t>
    <phoneticPr fontId="13"/>
  </si>
  <si>
    <t>保証書 取説 ｷｰﾚｽ ｽﾍﾟｱｷｰ ﾘﾓｺﾝX2</t>
    <rPh sb="0" eb="3">
      <t>ホショウショ</t>
    </rPh>
    <rPh sb="4" eb="6">
      <t>トリセツ</t>
    </rPh>
    <phoneticPr fontId="13"/>
  </si>
  <si>
    <t>27-262</t>
  </si>
  <si>
    <t>ｼﾞｬｶﾞｰXF ﾌﾟﾚｽﾃｰｼﾞ</t>
    <phoneticPr fontId="13"/>
  </si>
  <si>
    <t>6/8</t>
    <phoneticPr fontId="13"/>
  </si>
  <si>
    <t>名古屋 31M つ 8000</t>
    <rPh sb="0" eb="3">
      <t>ナゴヤ</t>
    </rPh>
    <phoneticPr fontId="13"/>
  </si>
  <si>
    <t>301 て 8185</t>
    <phoneticPr fontId="13"/>
  </si>
  <si>
    <t>ﾌﾞﾛﾝｽﾞ</t>
    <phoneticPr fontId="13"/>
  </si>
  <si>
    <t>SAJBB4AG5HCY46447</t>
    <phoneticPr fontId="13"/>
  </si>
  <si>
    <t>9/15</t>
    <phoneticPr fontId="13"/>
  </si>
  <si>
    <t>保証書 取説 ｷｰﾚｽ ﾏｲｸﾛSD ﾐﾆB-CAS ﾘﾓｺﾝ</t>
    <rPh sb="0" eb="3">
      <t>ホショウショ</t>
    </rPh>
    <rPh sb="4" eb="6">
      <t>トリセツ</t>
    </rPh>
    <phoneticPr fontId="13"/>
  </si>
  <si>
    <t>27-263</t>
  </si>
  <si>
    <t>MﾍﾞﾝﾂGLC200 ｽﾎﾟｰﾂ</t>
    <phoneticPr fontId="13"/>
  </si>
  <si>
    <t>神戸 330 は 461</t>
    <rPh sb="0" eb="2">
      <t>コウベ</t>
    </rPh>
    <phoneticPr fontId="13"/>
  </si>
  <si>
    <t>TAA近畿</t>
    <rPh sb="3" eb="5">
      <t>キンキ</t>
    </rPh>
    <phoneticPr fontId="13"/>
  </si>
  <si>
    <t>WDC2539422F283571</t>
    <phoneticPr fontId="13"/>
  </si>
  <si>
    <t>ﾈｯﾂﾄﾖﾀ神戸株式会社</t>
    <rPh sb="6" eb="8">
      <t>コウベ</t>
    </rPh>
    <rPh sb="8" eb="12">
      <t>カブシキガイシャ</t>
    </rPh>
    <phoneticPr fontId="13"/>
  </si>
  <si>
    <t>取説 ｷｰﾚｽ ｽﾀｰﾄﾎﾞﾀﾝ (車内）  保証書 ﾜﾝｵｰﾅｰ</t>
    <rPh sb="0" eb="2">
      <t>トリセツ</t>
    </rPh>
    <rPh sb="18" eb="20">
      <t>シャナイ</t>
    </rPh>
    <rPh sb="23" eb="26">
      <t>ホショウショ</t>
    </rPh>
    <phoneticPr fontId="13"/>
  </si>
  <si>
    <t>27-264</t>
  </si>
  <si>
    <t>29/9</t>
    <phoneticPr fontId="13"/>
  </si>
  <si>
    <t>ﾗﾝﾄﾞﾛｰﾊﾞｰ ﾃﾞｨｽｶﾊﾞﾘｰｽﾎﾟｰﾂ HSE</t>
    <phoneticPr fontId="13"/>
  </si>
  <si>
    <t>富山 330 せ 8136</t>
    <rPh sb="0" eb="2">
      <t>トヤマ</t>
    </rPh>
    <phoneticPr fontId="13"/>
  </si>
  <si>
    <t>A143001</t>
    <phoneticPr fontId="13"/>
  </si>
  <si>
    <t>SALCA2AG8HH693312</t>
    <phoneticPr fontId="13"/>
  </si>
  <si>
    <t>村田 雅文</t>
    <rPh sb="0" eb="2">
      <t>ムラタ</t>
    </rPh>
    <rPh sb="3" eb="5">
      <t>マサフミ</t>
    </rPh>
    <phoneticPr fontId="13"/>
  </si>
  <si>
    <t>27-265</t>
  </si>
  <si>
    <t>27/7</t>
    <phoneticPr fontId="13"/>
  </si>
  <si>
    <t>ｱｽﾄﾝﾏｰﾃｨﾝV8 ｳﾞｧﾝﾃｰｼﾞ</t>
    <phoneticPr fontId="13"/>
  </si>
  <si>
    <t>筑豊 331 は 929</t>
    <rPh sb="0" eb="2">
      <t>チクホウ</t>
    </rPh>
    <phoneticPr fontId="13"/>
  </si>
  <si>
    <t>保証書 取説 ｶﾞﾗｽｷｰ</t>
  </si>
  <si>
    <t>301 て 8181</t>
    <phoneticPr fontId="13"/>
  </si>
  <si>
    <t>SCFEJBAKJFGC19507</t>
    <phoneticPr fontId="13"/>
  </si>
  <si>
    <t>株式会社久恒組</t>
    <rPh sb="0" eb="4">
      <t>カブシキガイシャ</t>
    </rPh>
    <rPh sb="4" eb="5">
      <t>ヒサ</t>
    </rPh>
    <rPh sb="5" eb="6">
      <t>コウ</t>
    </rPh>
    <rPh sb="6" eb="7">
      <t>クミ</t>
    </rPh>
    <phoneticPr fontId="13"/>
  </si>
  <si>
    <t>9/22</t>
    <phoneticPr fontId="13"/>
  </si>
  <si>
    <t>保証書 取説 ｶﾞﾗｽｷｰ</t>
    <rPh sb="0" eb="3">
      <t>ホショウショ</t>
    </rPh>
    <rPh sb="4" eb="6">
      <t>トリセツ</t>
    </rPh>
    <phoneticPr fontId="13"/>
  </si>
  <si>
    <t>27-266</t>
  </si>
  <si>
    <t>BMW530Iﾂｰﾘﾝｸﾞ Mｽﾎﾟｰﾂ</t>
    <phoneticPr fontId="13"/>
  </si>
  <si>
    <t>神戸 329 み 7279</t>
    <rPh sb="0" eb="2">
      <t>コウベ</t>
    </rPh>
    <phoneticPr fontId="13"/>
  </si>
  <si>
    <t>WBAJL32040G635396</t>
    <phoneticPr fontId="13"/>
  </si>
  <si>
    <t>10/1</t>
    <phoneticPr fontId="13"/>
  </si>
  <si>
    <t>27-267</t>
  </si>
  <si>
    <t>盛岡 310 さ 3732</t>
    <rPh sb="0" eb="2">
      <t>モリオカ</t>
    </rPh>
    <phoneticPr fontId="13"/>
  </si>
  <si>
    <t>WMWXM520803A55310</t>
    <phoneticPr fontId="13"/>
  </si>
  <si>
    <t>株式会社ﾉｰｽﾌﾛﾝﾃｨｱ</t>
    <rPh sb="0" eb="4">
      <t>カブシキガイシャ</t>
    </rPh>
    <phoneticPr fontId="13"/>
  </si>
  <si>
    <t>10/6</t>
    <phoneticPr fontId="13"/>
  </si>
  <si>
    <t>27-268</t>
  </si>
  <si>
    <t>26/1</t>
    <phoneticPr fontId="13"/>
  </si>
  <si>
    <t>N BOX G SSﾊﾟｯｹｰｼﾞ</t>
    <phoneticPr fontId="13"/>
  </si>
  <si>
    <t>なにわ 583 ね 412</t>
    <phoneticPr fontId="13"/>
  </si>
  <si>
    <t>581 ま 2285</t>
    <phoneticPr fontId="13"/>
  </si>
  <si>
    <t>ﾐﾗｲﾌﾞ大阪(AS)</t>
    <rPh sb="5" eb="7">
      <t>オオサカ</t>
    </rPh>
    <phoneticPr fontId="13"/>
  </si>
  <si>
    <t>JF1-1324950</t>
    <phoneticPr fontId="13"/>
  </si>
  <si>
    <t>北幅 愛</t>
    <rPh sb="0" eb="2">
      <t>キタハバ</t>
    </rPh>
    <rPh sb="3" eb="4">
      <t>アイ</t>
    </rPh>
    <phoneticPr fontId="13"/>
  </si>
  <si>
    <t>10/13</t>
    <phoneticPr fontId="13"/>
  </si>
  <si>
    <t>保証書 ｷｰﾚｽ(ﾒｶｷｰ無)</t>
    <rPh sb="0" eb="3">
      <t>ホショウショ</t>
    </rPh>
    <rPh sb="13" eb="14">
      <t>ナシ</t>
    </rPh>
    <phoneticPr fontId="13"/>
  </si>
  <si>
    <t>27-269</t>
  </si>
  <si>
    <t>16/2</t>
    <phoneticPr fontId="13"/>
  </si>
  <si>
    <t>ﾗﾝﾄﾞﾛｰﾊﾞｰﾃﾞｨｽｶﾊﾞﾘｰ</t>
    <phoneticPr fontId="13"/>
  </si>
  <si>
    <t>山梨 300 て 2844</t>
    <rPh sb="0" eb="2">
      <t>ヤマナシ</t>
    </rPh>
    <phoneticPr fontId="13"/>
  </si>
  <si>
    <t>SALLTAMP34A842663</t>
    <phoneticPr fontId="13"/>
  </si>
  <si>
    <t>望月 一人</t>
    <rPh sb="0" eb="2">
      <t>モチヅキ</t>
    </rPh>
    <rPh sb="3" eb="5">
      <t>ヒトリ</t>
    </rPh>
    <phoneticPr fontId="13"/>
  </si>
  <si>
    <t>10/18</t>
    <phoneticPr fontId="13"/>
  </si>
  <si>
    <t>保証書 取説 ｽﾍﾟｱｷｰ（ﾎﾞﾀﾝ壊れてる） ﾜﾝｵｰﾅｰ</t>
    <rPh sb="0" eb="3">
      <t>ホショウショ</t>
    </rPh>
    <rPh sb="4" eb="6">
      <t>トリセツ</t>
    </rPh>
    <rPh sb="18" eb="19">
      <t>コワ</t>
    </rPh>
    <phoneticPr fontId="13"/>
  </si>
  <si>
    <t>10月抹消済</t>
  </si>
  <si>
    <t>27-270</t>
  </si>
  <si>
    <t>BMWﾐﾆｸｰﾊﾟｰSD ｸﾛｽｵｰﾊﾞｰｵｰﾙ4</t>
    <phoneticPr fontId="13"/>
  </si>
  <si>
    <t>なにわ 326 め 9781</t>
    <phoneticPr fontId="13"/>
  </si>
  <si>
    <t>保証書 整備手帳 取説 ｽﾍﾟｱｷｰ ﾜﾝｵｰﾅｰ</t>
  </si>
  <si>
    <t>WMWYU520703D54985</t>
    <phoneticPr fontId="13"/>
  </si>
  <si>
    <t>ﾄﾖﾀｶﾛｰﾗ新大阪株式会社</t>
    <rPh sb="7" eb="14">
      <t>シンオオサカカブシキガイシャ</t>
    </rPh>
    <phoneticPr fontId="13"/>
  </si>
  <si>
    <t>27-271</t>
  </si>
  <si>
    <t>28/3</t>
    <phoneticPr fontId="13"/>
  </si>
  <si>
    <t>ｱｳﾃﾞｨRS6ｱﾊﾞﾝﾄ</t>
    <phoneticPr fontId="13"/>
  </si>
  <si>
    <t>宇都宮 335 ふ 555</t>
    <rPh sb="0" eb="3">
      <t>ウツノミヤ</t>
    </rPh>
    <phoneticPr fontId="13"/>
  </si>
  <si>
    <t>A152371</t>
    <phoneticPr fontId="13"/>
  </si>
  <si>
    <t>ﾌﾞﾗｯｸ</t>
    <phoneticPr fontId="13"/>
  </si>
  <si>
    <t>WUAZZZ4G0GN903516</t>
    <phoneticPr fontId="13"/>
  </si>
  <si>
    <t>大塚 裕紀</t>
    <rPh sb="0" eb="2">
      <t>オオツカ</t>
    </rPh>
    <rPh sb="3" eb="4">
      <t>ヒロ</t>
    </rPh>
    <rPh sb="4" eb="5">
      <t>キ</t>
    </rPh>
    <phoneticPr fontId="13"/>
  </si>
  <si>
    <t>11/12</t>
    <phoneticPr fontId="13"/>
  </si>
  <si>
    <t>27-272</t>
  </si>
  <si>
    <t>2/10</t>
    <phoneticPr fontId="13"/>
  </si>
  <si>
    <t>ﾌﾟｼﾞｮｰ208 GTﾗｲﾝ</t>
    <phoneticPr fontId="13"/>
  </si>
  <si>
    <t>宮崎 330 り 3751</t>
    <rPh sb="0" eb="2">
      <t>ミヤザキ</t>
    </rPh>
    <phoneticPr fontId="13"/>
  </si>
  <si>
    <t>301 と 422</t>
    <phoneticPr fontId="13"/>
  </si>
  <si>
    <t>JU福岡(まとめ)</t>
    <rPh sb="2" eb="4">
      <t>フクオカ</t>
    </rPh>
    <phoneticPr fontId="13"/>
  </si>
  <si>
    <t>VR3UPHNKSLT078789</t>
    <phoneticPr fontId="13"/>
  </si>
  <si>
    <t>株式会社ﾌｧｰﾚﾝ九州</t>
    <rPh sb="0" eb="4">
      <t>カブシキガイシャ</t>
    </rPh>
    <rPh sb="9" eb="11">
      <t>キュウシュウ</t>
    </rPh>
    <phoneticPr fontId="13"/>
  </si>
  <si>
    <t>11/10</t>
    <phoneticPr fontId="13"/>
  </si>
  <si>
    <t>保証書 取説 ｷｰﾚｽ(車内)</t>
    <rPh sb="0" eb="3">
      <t>ホショウショ</t>
    </rPh>
    <rPh sb="4" eb="6">
      <t>トリセツ</t>
    </rPh>
    <phoneticPr fontId="13"/>
  </si>
  <si>
    <t>27-273</t>
  </si>
  <si>
    <t>30/8</t>
    <phoneticPr fontId="13"/>
  </si>
  <si>
    <t>大阪 303 ほ 4690</t>
    <rPh sb="0" eb="2">
      <t>オオサカ</t>
    </rPh>
    <phoneticPr fontId="13"/>
  </si>
  <si>
    <t>保証書 取説 ｽﾏｰﾄｷｰ ﾜﾝｵｰﾅｰ</t>
  </si>
  <si>
    <t>301 て 9803</t>
    <phoneticPr fontId="13"/>
  </si>
  <si>
    <t>ﾐﾗｲﾌﾞ大阪(ｱｲｵｰｸ)</t>
    <rPh sb="5" eb="7">
      <t>オオサカ</t>
    </rPh>
    <phoneticPr fontId="13"/>
  </si>
  <si>
    <t>WMWXN920902H65388</t>
    <phoneticPr fontId="13"/>
  </si>
  <si>
    <t>大阪ﾏﾂﾀﾞ販売株式会社</t>
    <rPh sb="0" eb="2">
      <t>オオサカ</t>
    </rPh>
    <rPh sb="6" eb="8">
      <t>ハンバイ</t>
    </rPh>
    <rPh sb="8" eb="12">
      <t>カブシキガイシャ</t>
    </rPh>
    <phoneticPr fontId="13"/>
  </si>
  <si>
    <t>11/24</t>
    <phoneticPr fontId="13"/>
  </si>
  <si>
    <t>27-274</t>
  </si>
  <si>
    <t>ﾗﾝﾄﾞﾛｰﾊﾞｰﾃﾞｨｽｶﾊﾞﾘｰ4WD</t>
    <phoneticPr fontId="13"/>
  </si>
  <si>
    <t>なにわ 326 も 5158</t>
    <phoneticPr fontId="13"/>
  </si>
  <si>
    <t>緑</t>
    <rPh sb="0" eb="1">
      <t>ミドリ</t>
    </rPh>
    <phoneticPr fontId="13"/>
  </si>
  <si>
    <t>SALLT-AMP34A829923</t>
    <phoneticPr fontId="13"/>
  </si>
  <si>
    <t>株式会社ﾗｸﾞｻﾞｽ･ｸﾘｴｲﾄ</t>
    <rPh sb="0" eb="4">
      <t>カブシキガイシャ</t>
    </rPh>
    <phoneticPr fontId="13"/>
  </si>
  <si>
    <t>11/17</t>
    <phoneticPr fontId="13"/>
  </si>
  <si>
    <t>27-275</t>
  </si>
  <si>
    <t>BMW X5ｘﾄﾞﾗｲﾌﾞ35ｄ Mｽﾎﾟｰﾂ</t>
    <phoneticPr fontId="13"/>
  </si>
  <si>
    <t>6/7</t>
    <phoneticPr fontId="13"/>
  </si>
  <si>
    <t>神戸 304 と 741</t>
    <rPh sb="0" eb="2">
      <t>コウベ</t>
    </rPh>
    <phoneticPr fontId="13"/>
  </si>
  <si>
    <t>301 と 418</t>
    <phoneticPr fontId="13"/>
  </si>
  <si>
    <t>ﾐﾈﾗﾙﾎﾜｲﾄ</t>
    <phoneticPr fontId="13"/>
  </si>
  <si>
    <t>WBAKS420900J70300</t>
    <phoneticPr fontId="13"/>
  </si>
  <si>
    <t>株式会社ﾔﾅｾ</t>
    <phoneticPr fontId="13"/>
  </si>
  <si>
    <t>11/22</t>
    <phoneticPr fontId="13"/>
  </si>
  <si>
    <t>27-276</t>
  </si>
  <si>
    <t>ﾗﾝﾄﾞﾛｰﾊﾞｰ ﾃﾞｨｽｶﾊﾞﾘｰ4 SE</t>
    <phoneticPr fontId="13"/>
  </si>
  <si>
    <t>熊本 399 そ 5336</t>
    <rPh sb="0" eb="2">
      <t>クマモト</t>
    </rPh>
    <phoneticPr fontId="13"/>
  </si>
  <si>
    <t>取説 ｽﾍﾟｱｷｰ 記録簿</t>
  </si>
  <si>
    <t>SALLAJAD3A654588</t>
    <phoneticPr fontId="13"/>
  </si>
  <si>
    <t>株式会社 IDOM</t>
    <rPh sb="0" eb="4">
      <t>カブシキカイシャ</t>
    </rPh>
    <phoneticPr fontId="13"/>
  </si>
  <si>
    <t>11/25</t>
    <phoneticPr fontId="13"/>
  </si>
  <si>
    <t>27-277</t>
  </si>
  <si>
    <t>BMW M3 ｾﾀﾞﾝ ｺﾝﾍﾟﾃｨｼｮﾝ</t>
    <phoneticPr fontId="13"/>
  </si>
  <si>
    <t>6/10</t>
    <phoneticPr fontId="13"/>
  </si>
  <si>
    <t>品川 32C な    3</t>
    <rPh sb="0" eb="2">
      <t>シナガワ</t>
    </rPh>
    <phoneticPr fontId="13"/>
  </si>
  <si>
    <t>301 と 1347</t>
    <phoneticPr fontId="13"/>
  </si>
  <si>
    <t>A155476</t>
    <phoneticPr fontId="13"/>
  </si>
  <si>
    <t>WBS32AY0X0FL29375</t>
    <phoneticPr fontId="13"/>
  </si>
  <si>
    <t>株式会社 ｵﾘｴﾝﾄｺｰﾎﾟﾚｰｼｮﾝ</t>
    <rPh sb="0" eb="4">
      <t>カブシキカイシャ</t>
    </rPh>
    <phoneticPr fontId="13"/>
  </si>
  <si>
    <t>ｷｰﾚｽ ｶｰﾄﾞｷｰ(車内)  保証書 取説 ﾜﾝｵｰﾅｰ</t>
    <rPh sb="17" eb="20">
      <t>ホショウショ</t>
    </rPh>
    <rPh sb="21" eb="23">
      <t>トリセツ</t>
    </rPh>
    <phoneticPr fontId="13"/>
  </si>
  <si>
    <t>10月抹消済</t>
    <rPh sb="2" eb="3">
      <t>ガツ</t>
    </rPh>
    <rPh sb="3" eb="5">
      <t>マッショウ</t>
    </rPh>
    <rPh sb="5" eb="6">
      <t>ズ</t>
    </rPh>
    <phoneticPr fontId="13"/>
  </si>
  <si>
    <t>27-278</t>
  </si>
  <si>
    <t>30/2</t>
    <phoneticPr fontId="13"/>
  </si>
  <si>
    <t>BMWﾐﾆｸｰﾊﾟｰSD ｸﾛｽｵｰﾊﾞｰ ｵｰﾙ4</t>
    <phoneticPr fontId="13"/>
  </si>
  <si>
    <t>宇都宮 301 み 5034</t>
    <rPh sb="0" eb="3">
      <t>ウツノミヤ</t>
    </rPh>
    <phoneticPr fontId="13"/>
  </si>
  <si>
    <t>WMWYU520403D55348</t>
    <phoneticPr fontId="13"/>
  </si>
  <si>
    <t>株式会社｣ﾃｨｰｴﾑｼｰ</t>
    <rPh sb="0" eb="4">
      <t>カブシキガイシャ</t>
    </rPh>
    <phoneticPr fontId="13"/>
  </si>
  <si>
    <t>12/1</t>
    <phoneticPr fontId="13"/>
  </si>
  <si>
    <t>保証書 手帳 取説 ｷｰﾚｽ ﾜﾝｵｰﾅｰ</t>
    <rPh sb="0" eb="3">
      <t>ホショウショ</t>
    </rPh>
    <rPh sb="4" eb="6">
      <t>テチョウ</t>
    </rPh>
    <rPh sb="7" eb="9">
      <t>トリセツ</t>
    </rPh>
    <phoneticPr fontId="13"/>
  </si>
  <si>
    <t>12月抹消済</t>
    <rPh sb="2" eb="3">
      <t>ガツ</t>
    </rPh>
    <rPh sb="3" eb="6">
      <t>マッショウズ</t>
    </rPh>
    <phoneticPr fontId="13"/>
  </si>
  <si>
    <t>27-279</t>
  </si>
  <si>
    <t>ﾗﾝﾄﾞﾛｰﾊﾞｰ ｲｳﾞｫｰｸﾞ HSE ﾀﾞｲﾅﾐｯｸ</t>
    <phoneticPr fontId="13"/>
  </si>
  <si>
    <t>5/10/5</t>
    <phoneticPr fontId="13"/>
  </si>
  <si>
    <t>横浜 343 ほ 924</t>
    <rPh sb="0" eb="2">
      <t>ヨコハマ</t>
    </rPh>
    <phoneticPr fontId="13"/>
  </si>
  <si>
    <t>301 と 1341</t>
    <phoneticPr fontId="13"/>
  </si>
  <si>
    <t>SALVA2AG2GH144499</t>
    <phoneticPr fontId="13"/>
  </si>
  <si>
    <t>12/4</t>
    <phoneticPr fontId="13"/>
  </si>
  <si>
    <t>6月抹消済</t>
    <rPh sb="1" eb="2">
      <t>ガツ</t>
    </rPh>
    <rPh sb="2" eb="4">
      <t>マッショウ</t>
    </rPh>
    <rPh sb="4" eb="5">
      <t>ズ</t>
    </rPh>
    <phoneticPr fontId="13"/>
  </si>
  <si>
    <t>27-280</t>
  </si>
  <si>
    <t>BMW X6 XDrive 35d Mｽﾎﾟｰﾂ</t>
    <phoneticPr fontId="13"/>
  </si>
  <si>
    <t>名古屋 307 ち 6067</t>
    <rPh sb="0" eb="3">
      <t>ナゴヤ</t>
    </rPh>
    <phoneticPr fontId="13"/>
  </si>
  <si>
    <t>375 す 6</t>
    <phoneticPr fontId="13"/>
  </si>
  <si>
    <t>WBAGT220309D78923</t>
    <phoneticPr fontId="13"/>
  </si>
  <si>
    <t>ﾖｼﾀﾞ自動車株式会社</t>
    <rPh sb="4" eb="7">
      <t>ジドウシャ</t>
    </rPh>
    <rPh sb="7" eb="11">
      <t>カブシキガイシャ</t>
    </rPh>
    <phoneticPr fontId="13"/>
  </si>
  <si>
    <t>12/8</t>
    <phoneticPr fontId="13"/>
  </si>
  <si>
    <t>ｷｰﾚｽ (車内）  保証書 取説 ｶｰﾄﾞ型ｷｰ ﾜﾝｵｰﾅｰ</t>
    <rPh sb="6" eb="8">
      <t>シャナイ</t>
    </rPh>
    <rPh sb="11" eb="14">
      <t>ホショウショ</t>
    </rPh>
    <rPh sb="15" eb="17">
      <t>トリセツ</t>
    </rPh>
    <rPh sb="22" eb="23">
      <t>ガタ</t>
    </rPh>
    <phoneticPr fontId="13"/>
  </si>
  <si>
    <t>(株)SWITCH</t>
    <rPh sb="0" eb="3">
      <t>カブシキガイシャ</t>
    </rPh>
    <phoneticPr fontId="13"/>
  </si>
  <si>
    <t>27-281</t>
  </si>
  <si>
    <t>VW ｺﾞﾙﾌｳﾞｧﾘｱﾝﾄ TSI Rﾗｲﾝ</t>
    <phoneticPr fontId="13"/>
  </si>
  <si>
    <t>一宮 300 わ 2202</t>
    <rPh sb="0" eb="2">
      <t>イチノミヤ</t>
    </rPh>
    <phoneticPr fontId="13"/>
  </si>
  <si>
    <t>保証書 ｽﾍﾟｱｷｰ ﾚﾝﾀｶｰ</t>
  </si>
  <si>
    <t>WVWZZZAUZHP515812</t>
    <phoneticPr fontId="13"/>
  </si>
  <si>
    <t>株式会社Rev</t>
    <rPh sb="0" eb="4">
      <t>カブシキガイシャ</t>
    </rPh>
    <phoneticPr fontId="13"/>
  </si>
  <si>
    <t>保証書 ﾅﾋﾞ取 ｷｰﾚｽ その他部品 ﾚﾝﾀｶｰ</t>
    <rPh sb="0" eb="3">
      <t>ホショウショ</t>
    </rPh>
    <rPh sb="7" eb="8">
      <t>トリ</t>
    </rPh>
    <rPh sb="16" eb="19">
      <t>タブヒン</t>
    </rPh>
    <phoneticPr fontId="13"/>
  </si>
  <si>
    <t>27-282</t>
  </si>
  <si>
    <t>BMW M2 ﾍﾞｰｽｸﾞﾚｰﾄﾞ</t>
    <phoneticPr fontId="13"/>
  </si>
  <si>
    <t>鳥取 347 ち 358</t>
    <rPh sb="0" eb="2">
      <t>トットリ</t>
    </rPh>
    <phoneticPr fontId="13"/>
  </si>
  <si>
    <t>301 と 1344</t>
    <phoneticPr fontId="13"/>
  </si>
  <si>
    <t>WBS1H92030V818137</t>
    <phoneticPr fontId="13"/>
  </si>
  <si>
    <t>鳥取ﾄﾖﾀ自動車株式会社</t>
    <rPh sb="0" eb="2">
      <t>トットリ</t>
    </rPh>
    <rPh sb="5" eb="8">
      <t>ジドウシャ</t>
    </rPh>
    <rPh sb="8" eb="12">
      <t>カブシキガイシャ</t>
    </rPh>
    <phoneticPr fontId="13"/>
  </si>
  <si>
    <t>12/13</t>
    <phoneticPr fontId="13"/>
  </si>
  <si>
    <t>保証書 取説(車内)</t>
    <rPh sb="0" eb="3">
      <t>ホショウショ</t>
    </rPh>
    <rPh sb="4" eb="6">
      <t>トリセツ</t>
    </rPh>
    <rPh sb="7" eb="9">
      <t>シャナイ</t>
    </rPh>
    <phoneticPr fontId="13"/>
  </si>
  <si>
    <t>6月抹消済</t>
    <rPh sb="1" eb="2">
      <t>ガツ</t>
    </rPh>
    <rPh sb="2" eb="5">
      <t>マッショウズ</t>
    </rPh>
    <phoneticPr fontId="13"/>
  </si>
  <si>
    <t>27-283</t>
  </si>
  <si>
    <t>BMW M4ｸｰﾍﾟｺﾝﾍﾟﾃｨｼｮﾝ</t>
    <phoneticPr fontId="13"/>
  </si>
  <si>
    <t>6/5</t>
    <phoneticPr fontId="13"/>
  </si>
  <si>
    <t>京都 323 ほ 358</t>
    <rPh sb="0" eb="2">
      <t>キョウト</t>
    </rPh>
    <phoneticPr fontId="13"/>
  </si>
  <si>
    <t>保証書 取説 ﾃﾞｨｽﾌﾟﾚｲｷｰ 4/5記録簿</t>
  </si>
  <si>
    <t>32X ね 5</t>
    <phoneticPr fontId="13"/>
  </si>
  <si>
    <t>WBS32AZ070CG71255</t>
    <phoneticPr fontId="13"/>
  </si>
  <si>
    <t>株式会社 ｵｰﾄｾﾞｽﾄ</t>
    <rPh sb="0" eb="4">
      <t>カブシキガイシャ</t>
    </rPh>
    <phoneticPr fontId="13"/>
  </si>
  <si>
    <t>保証書 取説 ﾃﾞｨｽﾌﾟﾚｲｷｰ 記録OK</t>
    <rPh sb="0" eb="3">
      <t>ホショウショ</t>
    </rPh>
    <rPh sb="4" eb="6">
      <t>トリセツ</t>
    </rPh>
    <rPh sb="18" eb="20">
      <t>キロク</t>
    </rPh>
    <phoneticPr fontId="13"/>
  </si>
  <si>
    <t>27-284</t>
  </si>
  <si>
    <t>ﾌﾟｼﾞｮｰ208 GT 5HB</t>
    <phoneticPr fontId="13"/>
  </si>
  <si>
    <t>三重 331 ち 2026</t>
    <rPh sb="0" eb="2">
      <t>ミエ</t>
    </rPh>
    <phoneticPr fontId="13"/>
  </si>
  <si>
    <t>301 と 872</t>
    <phoneticPr fontId="13"/>
  </si>
  <si>
    <t>ｲｴﾛｰⅡ</t>
    <phoneticPr fontId="13"/>
  </si>
  <si>
    <t>VR3UPHNKSMT032107</t>
    <phoneticPr fontId="13"/>
  </si>
  <si>
    <t>12/29</t>
    <phoneticPr fontId="13"/>
  </si>
  <si>
    <t xml:space="preserve"> 抹消済</t>
    <rPh sb="1" eb="3">
      <t>マッショウ</t>
    </rPh>
    <rPh sb="3" eb="4">
      <t>ズ</t>
    </rPh>
    <phoneticPr fontId="13"/>
  </si>
  <si>
    <t>27-285</t>
  </si>
  <si>
    <t>ｼﾞｬｶﾞｰXF ﾌﾟﾚｽﾃｰｼﾞ25T</t>
    <phoneticPr fontId="13"/>
  </si>
  <si>
    <t>奈良 368 み 9</t>
    <rPh sb="0" eb="2">
      <t>ナラ</t>
    </rPh>
    <phoneticPr fontId="13"/>
  </si>
  <si>
    <t>JU奈良(まとめ)</t>
    <rPh sb="2" eb="4">
      <t>ナラ</t>
    </rPh>
    <phoneticPr fontId="13"/>
  </si>
  <si>
    <t>ｱﾙﾃｨﾒｯﾄﾌﾞﾗｯｸ</t>
    <phoneticPr fontId="13"/>
  </si>
  <si>
    <t>SAJBB4AG1GCY14982</t>
    <phoneticPr fontId="13"/>
  </si>
  <si>
    <t>米田 勝</t>
    <rPh sb="0" eb="2">
      <t>ヨネダ</t>
    </rPh>
    <rPh sb="3" eb="4">
      <t>マサル</t>
    </rPh>
    <phoneticPr fontId="13"/>
  </si>
  <si>
    <t>27-286</t>
  </si>
  <si>
    <t>H1/4</t>
    <phoneticPr fontId="13"/>
  </si>
  <si>
    <t>MﾍﾞﾝﾂSL 300SL</t>
    <phoneticPr fontId="13"/>
  </si>
  <si>
    <t>品川 301 ね 5896</t>
    <rPh sb="0" eb="2">
      <t>シナガワ</t>
    </rPh>
    <phoneticPr fontId="13"/>
  </si>
  <si>
    <t>A162647</t>
    <phoneticPr fontId="13"/>
  </si>
  <si>
    <t>WDB1070411A098680</t>
    <phoneticPr fontId="13"/>
  </si>
  <si>
    <t>山崎 冨美子</t>
    <rPh sb="0" eb="2">
      <t>ヤマザキ</t>
    </rPh>
    <rPh sb="3" eb="6">
      <t>トミコ</t>
    </rPh>
    <phoneticPr fontId="13"/>
  </si>
  <si>
    <t>2/12</t>
    <phoneticPr fontId="13"/>
  </si>
  <si>
    <t>取説 記録15枚 ｽﾍﾟｱｷｰX2</t>
    <rPh sb="0" eb="2">
      <t>トリセツ</t>
    </rPh>
    <rPh sb="3" eb="5">
      <t>キロク</t>
    </rPh>
    <rPh sb="7" eb="8">
      <t>マイ</t>
    </rPh>
    <phoneticPr fontId="13"/>
  </si>
  <si>
    <t>2月抹消済</t>
    <rPh sb="1" eb="5">
      <t>ガツマッショウズミ</t>
    </rPh>
    <phoneticPr fontId="13"/>
  </si>
  <si>
    <t>27-287</t>
  </si>
  <si>
    <t>30/7</t>
    <phoneticPr fontId="13"/>
  </si>
  <si>
    <t>BMW320dﾂｰﾘﾝｸﾞ MｽﾎﾟｰﾂEDｼｬﾄﾞｳ</t>
    <phoneticPr fontId="13"/>
  </si>
  <si>
    <t>横浜 305 ふ 6492</t>
    <rPh sb="0" eb="2">
      <t>ヨコハマ</t>
    </rPh>
    <phoneticPr fontId="13"/>
  </si>
  <si>
    <t>WBA8H920X0A263780</t>
    <phoneticPr fontId="13"/>
  </si>
  <si>
    <t>株式会社 ﾃﾞｽﾃｨｰﾉ</t>
    <rPh sb="0" eb="4">
      <t>カブシキガイシャ</t>
    </rPh>
    <phoneticPr fontId="13"/>
  </si>
  <si>
    <t>ｷｰﾚｽ(車内)  保証書 取説</t>
    <rPh sb="10" eb="13">
      <t>ホショウショ</t>
    </rPh>
    <rPh sb="14" eb="16">
      <t>トリセツ</t>
    </rPh>
    <phoneticPr fontId="13"/>
  </si>
  <si>
    <t>27-288</t>
  </si>
  <si>
    <t>名古屋 336 そ 3100</t>
    <rPh sb="0" eb="3">
      <t>ナゴヤ</t>
    </rPh>
    <phoneticPr fontId="13"/>
  </si>
  <si>
    <t>SAJBB4AG3GCY14594</t>
    <phoneticPr fontId="13"/>
  </si>
  <si>
    <t>株式会社ﾎﾜｲﾄﾊｳｽ</t>
    <rPh sb="0" eb="4">
      <t>カブシキガイシャ</t>
    </rPh>
    <phoneticPr fontId="13"/>
  </si>
  <si>
    <t>1/19</t>
    <phoneticPr fontId="13"/>
  </si>
  <si>
    <t>ｷｰﾚｽ(車内) 保証書 取説</t>
    <rPh sb="9" eb="12">
      <t>ホショウショ</t>
    </rPh>
    <rPh sb="13" eb="15">
      <t>トリセツ</t>
    </rPh>
    <phoneticPr fontId="13"/>
  </si>
  <si>
    <t>27-289</t>
  </si>
  <si>
    <t>BMWﾐﾆ ｼﾞｮﾝｸｰﾊﾟｰﾜｰｸｽ</t>
    <phoneticPr fontId="13"/>
  </si>
  <si>
    <t>なにわ 330 た 2995</t>
    <phoneticPr fontId="13"/>
  </si>
  <si>
    <t>301 と 1933</t>
    <phoneticPr fontId="13"/>
  </si>
  <si>
    <t>WMWXM920X02F19078</t>
    <phoneticPr fontId="13"/>
  </si>
  <si>
    <t>1/31</t>
    <phoneticPr fontId="13"/>
  </si>
  <si>
    <t>27-290</t>
  </si>
  <si>
    <t>ｼﾞｬｶﾞｰXF 25Tﾌﾟﾚｽﾃｰｼﾞ</t>
    <phoneticPr fontId="13"/>
  </si>
  <si>
    <t>岐阜 333 ち 863</t>
    <rPh sb="0" eb="2">
      <t>ギフ</t>
    </rPh>
    <phoneticPr fontId="13"/>
  </si>
  <si>
    <t>301 と 2648</t>
    <phoneticPr fontId="13"/>
  </si>
  <si>
    <t>SAJBB4AG3GCY18743</t>
    <phoneticPr fontId="13"/>
  </si>
  <si>
    <t>株式会社ｼﾞｬｯｸｽ</t>
    <rPh sb="0" eb="4">
      <t>カブシキガイシャ</t>
    </rPh>
    <phoneticPr fontId="13"/>
  </si>
  <si>
    <t>27-291</t>
  </si>
  <si>
    <t>29/11</t>
    <phoneticPr fontId="13"/>
  </si>
  <si>
    <t>ﾎﾟﾙｼｪﾏｶﾝS</t>
    <phoneticPr fontId="13"/>
  </si>
  <si>
    <t>福岡 331 ろ 1305</t>
    <rPh sb="0" eb="2">
      <t>フクオカ</t>
    </rPh>
    <phoneticPr fontId="13"/>
  </si>
  <si>
    <t>ﾌﾞﾗｳﾝ</t>
    <phoneticPr fontId="13"/>
  </si>
  <si>
    <t>WP1ZZZ95ZJLB31201</t>
    <phoneticPr fontId="13"/>
  </si>
  <si>
    <t>原田 明治</t>
    <rPh sb="0" eb="2">
      <t>ハラダ</t>
    </rPh>
    <rPh sb="3" eb="5">
      <t>メイジ</t>
    </rPh>
    <phoneticPr fontId="13"/>
  </si>
  <si>
    <t xml:space="preserve">保証書 取説 ｷｰﾚｽ ﾘﾓｺﾝ（ｺﾑﾃｯｸ） </t>
    <rPh sb="0" eb="3">
      <t>ホショウショ</t>
    </rPh>
    <rPh sb="4" eb="6">
      <t>トリセツ</t>
    </rPh>
    <phoneticPr fontId="13"/>
  </si>
  <si>
    <t>27-292</t>
  </si>
  <si>
    <t>2/3</t>
    <phoneticPr fontId="13"/>
  </si>
  <si>
    <t>BMWﾐﾆｸｰﾊﾟｰS ﾍﾞｰｽｸﾞﾚｰﾄﾞ</t>
    <phoneticPr fontId="13"/>
  </si>
  <si>
    <t>名古屋 355 る 718</t>
    <rPh sb="0" eb="3">
      <t>ナゴヤ</t>
    </rPh>
    <phoneticPr fontId="13"/>
  </si>
  <si>
    <t>WMWXU920X02M46324</t>
    <phoneticPr fontId="13"/>
  </si>
  <si>
    <t>2月抹消済</t>
    <rPh sb="1" eb="4">
      <t>ガツマッショウ</t>
    </rPh>
    <rPh sb="4" eb="5">
      <t>ズ</t>
    </rPh>
    <phoneticPr fontId="13"/>
  </si>
  <si>
    <t>27-293</t>
  </si>
  <si>
    <t>ｼﾄﾛｴﾝC4 ｸﾞﾗﾝﾄﾞﾋﾟｶｿ</t>
    <phoneticPr fontId="13"/>
  </si>
  <si>
    <t>滋賀 301 に 179</t>
    <rPh sb="0" eb="2">
      <t>シガ</t>
    </rPh>
    <phoneticPr fontId="13"/>
  </si>
  <si>
    <t>ｻｰﾌﾞﾙ</t>
    <phoneticPr fontId="13"/>
  </si>
  <si>
    <t>VF73AAHXTGJ834933</t>
    <phoneticPr fontId="13"/>
  </si>
  <si>
    <t>株式会社京磁ﾏﾂﾀﾞ</t>
    <rPh sb="0" eb="4">
      <t>カブシキガイシャ</t>
    </rPh>
    <rPh sb="4" eb="5">
      <t>キョウ</t>
    </rPh>
    <rPh sb="5" eb="6">
      <t>ジ</t>
    </rPh>
    <phoneticPr fontId="13"/>
  </si>
  <si>
    <t>2/16</t>
    <phoneticPr fontId="13"/>
  </si>
  <si>
    <t>27-294</t>
  </si>
  <si>
    <t>24/1</t>
    <phoneticPr fontId="13"/>
  </si>
  <si>
    <t>ﾗﾝﾄﾞﾛｰﾊﾞｰ ﾚﾝｼﾞﾛｰﾊﾞｰｽﾎﾟｰﾂ ｵｰﾄﾊﾞｲｵｸﾞﾗ</t>
    <phoneticPr fontId="13"/>
  </si>
  <si>
    <t>板橋 300 さ 8092</t>
    <rPh sb="0" eb="2">
      <t>イタバシ</t>
    </rPh>
    <phoneticPr fontId="13"/>
  </si>
  <si>
    <t>保証書 取説 ﾜﾝｵｰﾅｰ 記録（25/4、26/3、27/1、28/1、29/1、30/2、31/2、R2/7、R3/1、4/3）</t>
  </si>
  <si>
    <t>SALLSJAE3CA726498</t>
    <phoneticPr fontId="13"/>
  </si>
  <si>
    <t>株式会社ﾄﾗｯﾄﾞｲﾝﾀｰﾅｼｮﾅﾙ</t>
    <rPh sb="0" eb="4">
      <t>カブシキカイシャ</t>
    </rPh>
    <phoneticPr fontId="13"/>
  </si>
  <si>
    <t>2/23</t>
    <phoneticPr fontId="13"/>
  </si>
  <si>
    <t>保証書 取説 ﾅﾋﾞ取 ｷｰﾚｽ ﾜﾝｵｰﾅｰ</t>
    <rPh sb="0" eb="3">
      <t>ホショウショ</t>
    </rPh>
    <rPh sb="4" eb="6">
      <t>トリセツ</t>
    </rPh>
    <rPh sb="10" eb="11">
      <t>トリ</t>
    </rPh>
    <phoneticPr fontId="13"/>
  </si>
  <si>
    <t>松本 祥忍(株)松本</t>
    <rPh sb="0" eb="2">
      <t>マツモト</t>
    </rPh>
    <rPh sb="3" eb="4">
      <t>ショウ</t>
    </rPh>
    <rPh sb="4" eb="5">
      <t>シノブ</t>
    </rPh>
    <rPh sb="5" eb="8">
      <t>カブシキガイシャ</t>
    </rPh>
    <rPh sb="8" eb="10">
      <t>マツモト</t>
    </rPh>
    <phoneticPr fontId="13"/>
  </si>
  <si>
    <t>27-295</t>
  </si>
  <si>
    <t>30/6</t>
    <phoneticPr fontId="13"/>
  </si>
  <si>
    <t>ｼﾞｬｶﾞｰ Fﾍﾟｲｽ S</t>
    <phoneticPr fontId="13"/>
  </si>
  <si>
    <t>なにわ 326 や 7958</t>
    <phoneticPr fontId="13"/>
  </si>
  <si>
    <t>SADCA2AV3JA278942</t>
    <phoneticPr fontId="13"/>
  </si>
  <si>
    <t>双日ｵｰﾄｸﾞﾙｰﾌﾟ大阪株式会社</t>
    <rPh sb="0" eb="1">
      <t>ソウ</t>
    </rPh>
    <rPh sb="1" eb="2">
      <t>ニチ</t>
    </rPh>
    <rPh sb="11" eb="13">
      <t>オオサカ</t>
    </rPh>
    <rPh sb="13" eb="17">
      <t>カブシキガイシャ</t>
    </rPh>
    <phoneticPr fontId="13"/>
  </si>
  <si>
    <t>2/28</t>
    <phoneticPr fontId="13"/>
  </si>
  <si>
    <t>27-296</t>
  </si>
  <si>
    <t>ﾗﾝﾄﾞﾛｰﾊﾞｰ ﾃﾞｨｽｶﾊﾞﾘｰ HSEﾗｸﾞｼﾞｭｱﾘｰ</t>
    <phoneticPr fontId="13"/>
  </si>
  <si>
    <t>6/6</t>
    <phoneticPr fontId="13"/>
  </si>
  <si>
    <t>大阪 303 さ 9361</t>
    <rPh sb="0" eb="2">
      <t>オオサカ</t>
    </rPh>
    <phoneticPr fontId="13"/>
  </si>
  <si>
    <t>SALCA2AG3FH535053</t>
    <phoneticPr fontId="13"/>
  </si>
  <si>
    <t>株式会社IDOM</t>
    <rPh sb="0" eb="4">
      <t>カブシキカイシャ</t>
    </rPh>
    <phoneticPr fontId="13"/>
  </si>
  <si>
    <t>3/2</t>
    <phoneticPr fontId="13"/>
  </si>
  <si>
    <t xml:space="preserve">保証書 取説 ﾅﾋﾞ取 ｷｰﾚｽ </t>
    <rPh sb="0" eb="3">
      <t>ホショウショ</t>
    </rPh>
    <rPh sb="4" eb="6">
      <t>トリセツ</t>
    </rPh>
    <rPh sb="10" eb="11">
      <t>トリ</t>
    </rPh>
    <phoneticPr fontId="13"/>
  </si>
  <si>
    <t>27-297</t>
  </si>
  <si>
    <t>25/8</t>
    <phoneticPr fontId="13"/>
  </si>
  <si>
    <t>ｼﾞｰﾌﾟﾗﾝｸﾞﾗｰｱﾝﾘﾐﾃｯﾄﾞ ﾙﾋﾞｺﾝ10Th</t>
    <phoneticPr fontId="13"/>
  </si>
  <si>
    <t>7/2</t>
    <phoneticPr fontId="13"/>
  </si>
  <si>
    <t>世田谷 300そ1681</t>
    <rPh sb="0" eb="3">
      <t>セタガヤ</t>
    </rPh>
    <phoneticPr fontId="13"/>
  </si>
  <si>
    <t>sellca</t>
    <phoneticPr fontId="13"/>
  </si>
  <si>
    <t>A168307</t>
    <phoneticPr fontId="13"/>
  </si>
  <si>
    <t>1C4HJWMG9DL675988</t>
    <phoneticPr fontId="13"/>
  </si>
  <si>
    <t>宮崎 陽介</t>
    <rPh sb="0" eb="2">
      <t>ミヤザキ</t>
    </rPh>
    <rPh sb="3" eb="5">
      <t>ヨウスケ</t>
    </rPh>
    <phoneticPr fontId="13"/>
  </si>
  <si>
    <t>3/18</t>
    <phoneticPr fontId="13"/>
  </si>
  <si>
    <t>保証書 取説 ｽﾍﾟｱｷｰ 印鑑証明１通不備</t>
    <rPh sb="0" eb="3">
      <t>ホショウショ</t>
    </rPh>
    <rPh sb="4" eb="6">
      <t>トリセツ</t>
    </rPh>
    <rPh sb="14" eb="18">
      <t>インカンショウメイ</t>
    </rPh>
    <rPh sb="19" eb="20">
      <t>ツウ</t>
    </rPh>
    <rPh sb="20" eb="22">
      <t>フビ</t>
    </rPh>
    <phoneticPr fontId="13"/>
  </si>
  <si>
    <t>27-298</t>
  </si>
  <si>
    <t>23/5</t>
    <phoneticPr fontId="13"/>
  </si>
  <si>
    <t>ﾚﾝｼﾞﾛｰﾊﾞｰRSP 5.0V8</t>
    <phoneticPr fontId="13"/>
  </si>
  <si>
    <t>滋賀 301 ね 3400</t>
    <rPh sb="0" eb="2">
      <t>シガ</t>
    </rPh>
    <phoneticPr fontId="13"/>
  </si>
  <si>
    <t>SALLSJAD3BA281293</t>
    <phoneticPr fontId="13"/>
  </si>
  <si>
    <t>永田 真也</t>
    <rPh sb="0" eb="2">
      <t>ナガタ</t>
    </rPh>
    <rPh sb="3" eb="5">
      <t>シンヤ</t>
    </rPh>
    <phoneticPr fontId="13"/>
  </si>
  <si>
    <t>3/17</t>
    <phoneticPr fontId="13"/>
  </si>
  <si>
    <t>取説 ｽﾍﾟｱｷｰ</t>
    <rPh sb="0" eb="2">
      <t>トリセツ</t>
    </rPh>
    <phoneticPr fontId="13"/>
  </si>
  <si>
    <t>27-299</t>
  </si>
  <si>
    <t>BMWﾐﾆ ｸｰﾊﾟｰSｸﾛｽｵｰﾊﾞｰ</t>
    <phoneticPr fontId="13"/>
  </si>
  <si>
    <t>久留米 399ち5285</t>
    <rPh sb="0" eb="3">
      <t>クルメ</t>
    </rPh>
    <phoneticPr fontId="13"/>
  </si>
  <si>
    <t>TAA九州</t>
    <rPh sb="3" eb="5">
      <t>キュウシュウ</t>
    </rPh>
    <phoneticPr fontId="13"/>
  </si>
  <si>
    <t>WMWYS920503E58680</t>
    <phoneticPr fontId="13"/>
  </si>
  <si>
    <t>株式会社 九州ﾏﾂﾀﾞ</t>
    <rPh sb="0" eb="4">
      <t>カブシキカイシャ</t>
    </rPh>
    <rPh sb="5" eb="7">
      <t>キュウシュウ</t>
    </rPh>
    <phoneticPr fontId="13"/>
  </si>
  <si>
    <t>3/21</t>
    <phoneticPr fontId="13"/>
  </si>
  <si>
    <t>27-300</t>
  </si>
  <si>
    <t>ｼﾄﾛｴﾝC4ﾋﾟｶｿｼｬｲﾝﾌﾞﾙｰHDI</t>
    <phoneticPr fontId="13"/>
  </si>
  <si>
    <t>福島 330な5213</t>
    <rPh sb="0" eb="2">
      <t>フクシマ</t>
    </rPh>
    <phoneticPr fontId="13"/>
  </si>
  <si>
    <t>保証書 取説 ｽﾏｰﾄｷｰ</t>
  </si>
  <si>
    <t>VF73DAHXTG3910202</t>
    <phoneticPr fontId="13"/>
  </si>
  <si>
    <t>長沢 幸善</t>
    <rPh sb="0" eb="2">
      <t>ナガサワ</t>
    </rPh>
    <rPh sb="3" eb="4">
      <t>ユキ</t>
    </rPh>
    <rPh sb="4" eb="5">
      <t>ゼン</t>
    </rPh>
    <phoneticPr fontId="13"/>
  </si>
  <si>
    <t>3/26</t>
    <phoneticPr fontId="13"/>
  </si>
  <si>
    <t>ｽﾍﾟｱｷｰ抜いてます</t>
    <rPh sb="6" eb="7">
      <t>ヌ</t>
    </rPh>
    <phoneticPr fontId="13"/>
  </si>
  <si>
    <t>27-301</t>
  </si>
  <si>
    <t>25/11</t>
    <phoneticPr fontId="13"/>
  </si>
  <si>
    <t>ﾚﾝｼﾞﾛｰﾊﾞｰｽﾎﾟｰﾂSE</t>
    <phoneticPr fontId="13"/>
  </si>
  <si>
    <t>岡山381た1</t>
    <rPh sb="0" eb="2">
      <t>オカヤマ</t>
    </rPh>
    <phoneticPr fontId="13"/>
  </si>
  <si>
    <t>SALWA2VE9EA313260</t>
    <phoneticPr fontId="13"/>
  </si>
  <si>
    <t>株式会社ｺﾝﾁﾈﾝﾄ</t>
    <rPh sb="0" eb="4">
      <t>カブシキガイシャ</t>
    </rPh>
    <phoneticPr fontId="13"/>
  </si>
  <si>
    <t>保証書 取説 ﾅﾋﾞ取</t>
    <rPh sb="0" eb="3">
      <t>ホショウショ</t>
    </rPh>
    <rPh sb="4" eb="6">
      <t>トリセツ</t>
    </rPh>
    <rPh sb="10" eb="11">
      <t>トリ</t>
    </rPh>
    <phoneticPr fontId="13"/>
  </si>
  <si>
    <t>27-302</t>
  </si>
  <si>
    <t>ﾚﾝｼﾞﾛｰﾊﾞｰｽﾎﾟｰﾂ SE</t>
    <phoneticPr fontId="13"/>
  </si>
  <si>
    <t>浜松 301 や 8210</t>
    <rPh sb="0" eb="2">
      <t>ハママツ</t>
    </rPh>
    <phoneticPr fontId="13"/>
  </si>
  <si>
    <t>A174567</t>
    <phoneticPr fontId="13"/>
  </si>
  <si>
    <t>SALWA2VE7FA534115</t>
    <phoneticPr fontId="13"/>
  </si>
  <si>
    <t>4/27</t>
    <phoneticPr fontId="13"/>
  </si>
  <si>
    <t>取説 ﾅﾋﾞ取</t>
    <rPh sb="0" eb="2">
      <t>トリセツ</t>
    </rPh>
    <rPh sb="6" eb="7">
      <t>トリ</t>
    </rPh>
    <phoneticPr fontId="13"/>
  </si>
  <si>
    <t>27-303</t>
  </si>
  <si>
    <t>練馬 346 ひ 1002</t>
    <rPh sb="0" eb="2">
      <t>ネリマ</t>
    </rPh>
    <phoneticPr fontId="13"/>
  </si>
  <si>
    <t>保証書    名変期限5/23まで</t>
  </si>
  <si>
    <t>SAJBB4AG0HCY46338</t>
    <phoneticPr fontId="13"/>
  </si>
  <si>
    <t>入山 高行</t>
    <rPh sb="0" eb="2">
      <t>イリヤマ</t>
    </rPh>
    <rPh sb="3" eb="5">
      <t>タカユキ</t>
    </rPh>
    <phoneticPr fontId="13"/>
  </si>
  <si>
    <t>4/15</t>
    <phoneticPr fontId="13"/>
  </si>
  <si>
    <t>27-304</t>
  </si>
  <si>
    <t>25/3</t>
    <phoneticPr fontId="13"/>
  </si>
  <si>
    <t>ﾗﾝﾄﾞﾛｰﾊﾞｰ ﾚﾝｼﾞﾛｰﾊﾞｰｲｳﾞｫｰｸﾞ ﾋﾟｭｱ</t>
    <phoneticPr fontId="13"/>
  </si>
  <si>
    <t>湘南 370 り 77</t>
    <rPh sb="0" eb="2">
      <t>ショウナン</t>
    </rPh>
    <phoneticPr fontId="13"/>
  </si>
  <si>
    <t>A179627</t>
    <phoneticPr fontId="13"/>
  </si>
  <si>
    <t>SALVA2AGXDH718956</t>
    <phoneticPr fontId="13"/>
  </si>
  <si>
    <t>杉山 明</t>
    <rPh sb="0" eb="2">
      <t>スギヤマ</t>
    </rPh>
    <rPh sb="3" eb="4">
      <t>アキラ</t>
    </rPh>
    <phoneticPr fontId="13"/>
  </si>
  <si>
    <t>5/14</t>
    <phoneticPr fontId="13"/>
  </si>
  <si>
    <t>27-305</t>
  </si>
  <si>
    <t>ﾃﾞｲｽﾞﾙｰｸｽ ﾊｲｳｪｲｽﾀｰXGﾊﾟｯｹｰｼﾞ</t>
    <phoneticPr fontId="13"/>
  </si>
  <si>
    <t>6/12</t>
    <phoneticPr fontId="13"/>
  </si>
  <si>
    <t>川崎580ち9300</t>
    <rPh sb="0" eb="2">
      <t>カワサキ</t>
    </rPh>
    <phoneticPr fontId="13"/>
  </si>
  <si>
    <t>581 む 1451</t>
    <phoneticPr fontId="13"/>
  </si>
  <si>
    <t>ｾﾞﾛｶｰｾﾚ大阪（ｱｲ）</t>
    <rPh sb="7" eb="9">
      <t>オオサカ</t>
    </rPh>
    <phoneticPr fontId="13"/>
  </si>
  <si>
    <t>B21A-0217585</t>
    <phoneticPr fontId="13"/>
  </si>
  <si>
    <t>株式会社ｾﾞﾛ</t>
    <rPh sb="0" eb="4">
      <t>カブシキガイシャ</t>
    </rPh>
    <phoneticPr fontId="13"/>
  </si>
  <si>
    <t>5/20</t>
    <phoneticPr fontId="13"/>
  </si>
  <si>
    <t>保証書 取説 ｷｰﾚｽ(車内)</t>
    <rPh sb="0" eb="3">
      <t>ホショウショ</t>
    </rPh>
    <rPh sb="4" eb="6">
      <t>トリセツ</t>
    </rPh>
    <rPh sb="12" eb="14">
      <t>シャナイ</t>
    </rPh>
    <phoneticPr fontId="13"/>
  </si>
  <si>
    <t>27-306</t>
  </si>
  <si>
    <t>LR ﾚﾝｼﾞﾛｰﾊﾞｰｽﾎﾟｰﾂ ｵｰﾄﾊﾞｲｵｸﾞﾗﾌｨｰｽﾎﾟｰﾂ</t>
    <phoneticPr fontId="13"/>
  </si>
  <si>
    <t>6/6/16</t>
    <phoneticPr fontId="13"/>
  </si>
  <si>
    <t>新潟 301 む 9801</t>
    <rPh sb="0" eb="2">
      <t>ニイガタ</t>
    </rPh>
    <phoneticPr fontId="13"/>
  </si>
  <si>
    <t>JU新潟</t>
    <rPh sb="2" eb="4">
      <t>ニイガタ</t>
    </rPh>
    <phoneticPr fontId="13"/>
  </si>
  <si>
    <t>SALLSJAE3BA292267</t>
    <phoneticPr fontId="13"/>
  </si>
  <si>
    <t>TQMｲﾝﾀｰﾅｼｮﾅﾙ株式会社</t>
    <rPh sb="12" eb="16">
      <t>カブシキガイシャ</t>
    </rPh>
    <phoneticPr fontId="13"/>
  </si>
  <si>
    <t>6/1</t>
    <phoneticPr fontId="13"/>
  </si>
  <si>
    <t xml:space="preserve">記録5枚 取説 ｷｰﾚｽ </t>
    <rPh sb="0" eb="2">
      <t>キロク</t>
    </rPh>
    <rPh sb="3" eb="4">
      <t>マイ</t>
    </rPh>
    <rPh sb="5" eb="7">
      <t>トリセツ</t>
    </rPh>
    <phoneticPr fontId="13"/>
  </si>
  <si>
    <t>27-307</t>
  </si>
  <si>
    <t>ﾗﾝﾄﾞﾛｰﾊﾞｰ ﾚﾝｼﾞﾛｰﾊﾞｰｽﾎﾟｰﾂ 5.0 V8</t>
    <phoneticPr fontId="13"/>
  </si>
  <si>
    <t>宮崎300ゆ4261</t>
    <rPh sb="0" eb="2">
      <t>ミヤザキ</t>
    </rPh>
    <phoneticPr fontId="13"/>
  </si>
  <si>
    <t>JU福岡</t>
    <rPh sb="2" eb="4">
      <t>フクオカ</t>
    </rPh>
    <phoneticPr fontId="13"/>
  </si>
  <si>
    <t>SALLSJAD3DA797873</t>
    <phoneticPr fontId="13"/>
  </si>
  <si>
    <t>株式会社 ﾅｶﾑﾗ自動車</t>
    <rPh sb="0" eb="4">
      <t>カブシキカイシャ</t>
    </rPh>
    <rPh sb="9" eb="12">
      <t>ジドウシャ</t>
    </rPh>
    <phoneticPr fontId="13"/>
  </si>
  <si>
    <t>保証書 取説 ﾅﾋﾞ取 ｷｰﾚｽ（車内）</t>
    <rPh sb="0" eb="3">
      <t>ホショウショ</t>
    </rPh>
    <rPh sb="4" eb="6">
      <t>トリセツ</t>
    </rPh>
    <rPh sb="10" eb="11">
      <t>トリ</t>
    </rPh>
    <rPh sb="17" eb="19">
      <t>シャナイ</t>
    </rPh>
    <phoneticPr fontId="13"/>
  </si>
  <si>
    <t>27-308</t>
  </si>
  <si>
    <t>BMW</t>
    <phoneticPr fontId="13"/>
  </si>
  <si>
    <t>品川 39A て 3177</t>
    <rPh sb="0" eb="2">
      <t>シナガワ</t>
    </rPh>
    <phoneticPr fontId="13"/>
  </si>
  <si>
    <t>JU福岡（まとめ）</t>
    <rPh sb="2" eb="4">
      <t>フクオカ</t>
    </rPh>
    <phoneticPr fontId="13"/>
  </si>
  <si>
    <t>WBA6A02000DZ12993</t>
    <phoneticPr fontId="13"/>
  </si>
  <si>
    <t>株式会社JCM</t>
    <rPh sb="0" eb="4">
      <t>カブシキガイシャ</t>
    </rPh>
    <phoneticPr fontId="13"/>
  </si>
  <si>
    <t>ｷｰﾚｽ</t>
    <phoneticPr fontId="13"/>
  </si>
  <si>
    <t>27-309</t>
  </si>
  <si>
    <t>30/12</t>
    <phoneticPr fontId="13"/>
  </si>
  <si>
    <t>BMW X2 Xﾄﾞﾗｲﾌﾞ20I MｽﾎﾟｰﾂX</t>
    <phoneticPr fontId="13"/>
  </si>
  <si>
    <t>大阪363す39</t>
    <rPh sb="0" eb="2">
      <t>オオサカ</t>
    </rPh>
    <phoneticPr fontId="13"/>
  </si>
  <si>
    <t>A182977</t>
    <phoneticPr fontId="13"/>
  </si>
  <si>
    <t>WBAYH52090EK63268</t>
    <phoneticPr fontId="13"/>
  </si>
  <si>
    <t>山科 陽子</t>
    <rPh sb="0" eb="2">
      <t>ヤマシナ</t>
    </rPh>
    <rPh sb="3" eb="5">
      <t>ヨウコ</t>
    </rPh>
    <phoneticPr fontId="13"/>
  </si>
  <si>
    <t>7/16</t>
    <phoneticPr fontId="13"/>
  </si>
  <si>
    <t>保証書 取説 ﾜﾝｵｰﾅｰ ｷｰﾚｽ（車内）←ﾌﾞｯｸにいれて付属品部屋</t>
    <rPh sb="0" eb="3">
      <t>ホショウショ</t>
    </rPh>
    <rPh sb="4" eb="6">
      <t>トリセツ</t>
    </rPh>
    <rPh sb="19" eb="21">
      <t>シャナイ</t>
    </rPh>
    <rPh sb="31" eb="36">
      <t>フゾクヒンベヤ</t>
    </rPh>
    <phoneticPr fontId="13"/>
  </si>
  <si>
    <t>27-310</t>
  </si>
  <si>
    <t>21/3</t>
    <phoneticPr fontId="13"/>
  </si>
  <si>
    <t>ﾗﾝﾄﾞﾛｰﾊﾞｰﾃﾞｨｽｶﾊﾞﾘｰⅢ 4WD S</t>
    <phoneticPr fontId="13"/>
  </si>
  <si>
    <t>6/10/10</t>
    <phoneticPr fontId="13"/>
  </si>
  <si>
    <t>函館 330 ふ 918</t>
    <rPh sb="0" eb="2">
      <t>ハコダテ</t>
    </rPh>
    <phoneticPr fontId="13"/>
  </si>
  <si>
    <t>USS札幌</t>
    <rPh sb="3" eb="5">
      <t>サッポロ</t>
    </rPh>
    <phoneticPr fontId="13"/>
  </si>
  <si>
    <t>SALLAJA438A458314</t>
    <phoneticPr fontId="13"/>
  </si>
  <si>
    <t>株式会社北日本ｵｰﾄﾊﾞｯｸｽ</t>
    <rPh sb="0" eb="4">
      <t>カブシキガイシャ</t>
    </rPh>
    <rPh sb="4" eb="7">
      <t>キタニホン</t>
    </rPh>
    <phoneticPr fontId="13"/>
  </si>
  <si>
    <t>6/23</t>
    <phoneticPr fontId="13"/>
  </si>
  <si>
    <t>27-311</t>
  </si>
  <si>
    <t>29/12</t>
    <phoneticPr fontId="13"/>
  </si>
  <si>
    <t>BMW523ｄ Ｍｽﾎﾟｰﾂ</t>
    <phoneticPr fontId="13"/>
  </si>
  <si>
    <t>奈良 358 ぬ 358</t>
    <rPh sb="0" eb="2">
      <t>ナラ</t>
    </rPh>
    <phoneticPr fontId="13"/>
  </si>
  <si>
    <t>301 と 8624</t>
    <phoneticPr fontId="13"/>
  </si>
  <si>
    <t>WBAJC32050G581087</t>
    <phoneticPr fontId="13"/>
  </si>
  <si>
    <t>ﾋﾞｰｴﾑﾀﾞﾌﾞﾘｭｰｼﾞｬﾊﾟﾝﾌｧｲﾅﾝｽ株式会社</t>
    <rPh sb="24" eb="28">
      <t>カブシキカイシャ</t>
    </rPh>
    <phoneticPr fontId="13"/>
  </si>
  <si>
    <t>7/6</t>
    <phoneticPr fontId="13"/>
  </si>
  <si>
    <t>27-312</t>
  </si>
  <si>
    <t>29/5</t>
    <phoneticPr fontId="13"/>
  </si>
  <si>
    <t>ｱﾊﾞﾙﾄ124 ｽﾊﾟｲﾀﾞｰ</t>
    <phoneticPr fontId="13"/>
  </si>
  <si>
    <t>豊橋 333 そ 124</t>
    <rPh sb="0" eb="2">
      <t>トヨハシ</t>
    </rPh>
    <phoneticPr fontId="13"/>
  </si>
  <si>
    <t>301 と 8626</t>
    <phoneticPr fontId="13"/>
  </si>
  <si>
    <t>Pﾎﾜｲﾄ</t>
    <phoneticPr fontId="13"/>
  </si>
  <si>
    <t>JC8NF2EKA00127761</t>
    <phoneticPr fontId="13"/>
  </si>
  <si>
    <t>辰広商事株式会社</t>
    <rPh sb="0" eb="1">
      <t>タツ</t>
    </rPh>
    <rPh sb="1" eb="2">
      <t>ヒロ</t>
    </rPh>
    <rPh sb="2" eb="4">
      <t>ショウジ</t>
    </rPh>
    <rPh sb="4" eb="8">
      <t>カブシキガイシャ</t>
    </rPh>
    <phoneticPr fontId="13"/>
  </si>
  <si>
    <t>6/30</t>
    <phoneticPr fontId="13"/>
  </si>
  <si>
    <t>27-313</t>
  </si>
  <si>
    <t>ｱﾙﾌｧﾛﾒｵ ｼﾞｭﾘｱ ｳﾞｪﾛｰﾁｪ</t>
    <phoneticPr fontId="13"/>
  </si>
  <si>
    <t>北九州301す3171</t>
    <rPh sb="0" eb="3">
      <t>キタキュウシュウ</t>
    </rPh>
    <phoneticPr fontId="13"/>
  </si>
  <si>
    <t>ZAREAENN2J7576563</t>
    <phoneticPr fontId="13"/>
  </si>
  <si>
    <t>ﾈｯﾂﾄﾖﾀ北九州株式会社</t>
    <rPh sb="6" eb="9">
      <t>キタキュウシュウ</t>
    </rPh>
    <rPh sb="9" eb="13">
      <t>カブシキガイシャ</t>
    </rPh>
    <phoneticPr fontId="13"/>
  </si>
  <si>
    <t>7/1</t>
    <phoneticPr fontId="13"/>
  </si>
  <si>
    <t>ｷｰﾚｽ（車内） 保証書</t>
    <rPh sb="5" eb="7">
      <t>シャナイ</t>
    </rPh>
    <rPh sb="9" eb="12">
      <t>ホショウショ</t>
    </rPh>
    <phoneticPr fontId="13"/>
  </si>
  <si>
    <t>27-314</t>
  </si>
  <si>
    <t>ﾊｲｾﾞｯﾄｶｰｺﾞ ﾃﾞﾗｯｸｽ SaⅢ</t>
    <phoneticPr fontId="13"/>
  </si>
  <si>
    <t>多摩 484 ろ 571</t>
    <rPh sb="0" eb="2">
      <t>タマ</t>
    </rPh>
    <phoneticPr fontId="13"/>
  </si>
  <si>
    <t>S321V-0371749</t>
    <phoneticPr fontId="13"/>
  </si>
  <si>
    <t>ｵﾘｯｸｽ自動車株式会社</t>
    <rPh sb="5" eb="12">
      <t>ジドウシャカブシキガイシャ</t>
    </rPh>
    <phoneticPr fontId="13"/>
  </si>
  <si>
    <t>27-315</t>
  </si>
  <si>
    <t>Mﾍﾞﾝﾂ S400ｄｽﾎﾟｰﾂﾘﾐﾃｯﾄﾞ</t>
    <phoneticPr fontId="13"/>
  </si>
  <si>
    <t>なにわ332の5523</t>
    <phoneticPr fontId="13"/>
  </si>
  <si>
    <t>保証書 名変8/9まで</t>
  </si>
  <si>
    <t>33H ふ 5</t>
    <phoneticPr fontId="13"/>
  </si>
  <si>
    <t>W1K2220342A563559</t>
    <phoneticPr fontId="13"/>
  </si>
  <si>
    <t>ﾊｰﾋﾞｽﾄ有限会社</t>
    <rPh sb="6" eb="8">
      <t>ユウゲン</t>
    </rPh>
    <rPh sb="8" eb="10">
      <t>カイシャ</t>
    </rPh>
    <phoneticPr fontId="13"/>
  </si>
  <si>
    <t>7/13</t>
    <phoneticPr fontId="13"/>
  </si>
  <si>
    <t>27-316</t>
  </si>
  <si>
    <t>ｼﾞｬｶﾞｰXF ｽﾎﾟｰﾂﾌﾞﾚｲｸ ﾌﾟﾚｽﾃｰｼﾞ</t>
    <phoneticPr fontId="13"/>
  </si>
  <si>
    <t>京都352ふ2001</t>
    <rPh sb="0" eb="2">
      <t>キョウト</t>
    </rPh>
    <phoneticPr fontId="13"/>
  </si>
  <si>
    <t>ｱﾗｲﾍﾞｲ</t>
    <phoneticPr fontId="13"/>
  </si>
  <si>
    <t>SAJBB2AX0JCY68284</t>
    <phoneticPr fontId="13"/>
  </si>
  <si>
    <t>7/9</t>
    <phoneticPr fontId="13"/>
  </si>
  <si>
    <t>27-317</t>
  </si>
  <si>
    <t>ｼﾞｬｶﾞｰ Fﾍﾟｲｽ 20ｄﾌﾟﾚｽﾃｰｼﾞ</t>
    <phoneticPr fontId="13"/>
  </si>
  <si>
    <t>6/3/22</t>
    <phoneticPr fontId="13"/>
  </si>
  <si>
    <t>仙台330と1068</t>
    <rPh sb="0" eb="2">
      <t>センダイ</t>
    </rPh>
    <phoneticPr fontId="13"/>
  </si>
  <si>
    <t>SADCA2ANIHA099762</t>
    <phoneticPr fontId="13"/>
  </si>
  <si>
    <t>株式会社横浜ﾕｰﾎﾟｽ</t>
    <rPh sb="0" eb="4">
      <t>カブシキカイシャ</t>
    </rPh>
    <rPh sb="4" eb="6">
      <t>ヨコハマ</t>
    </rPh>
    <phoneticPr fontId="13"/>
  </si>
  <si>
    <t>取説</t>
    <rPh sb="0" eb="2">
      <t>トリセツ</t>
    </rPh>
    <phoneticPr fontId="13"/>
  </si>
  <si>
    <t>27-318</t>
  </si>
  <si>
    <t>26/6</t>
    <phoneticPr fontId="13"/>
  </si>
  <si>
    <t>ｱﾙﾌｧﾛﾒｵ ﾐﾄ ｺﾝﾍﾟﾃｨﾂｨｵｰﾈ</t>
    <phoneticPr fontId="13"/>
  </si>
  <si>
    <t>神戸 329 も 6792</t>
    <rPh sb="0" eb="2">
      <t>コウベ</t>
    </rPh>
    <phoneticPr fontId="13"/>
  </si>
  <si>
    <t>ﾐﾆB-CAS</t>
  </si>
  <si>
    <t>ZAR9550000X020267</t>
    <phoneticPr fontId="13"/>
  </si>
  <si>
    <t>7/20</t>
    <phoneticPr fontId="13"/>
  </si>
  <si>
    <t>取説 ｷｰﾚｽ ﾐﾆB-CAS</t>
    <rPh sb="0" eb="2">
      <t>トリセツ</t>
    </rPh>
    <phoneticPr fontId="13"/>
  </si>
  <si>
    <t>27-319</t>
  </si>
  <si>
    <t xml:space="preserve">ｱﾙﾌｧﾛﾒｵ ﾐﾄ </t>
    <phoneticPr fontId="13"/>
  </si>
  <si>
    <t>7/3</t>
    <phoneticPr fontId="13"/>
  </si>
  <si>
    <t>京都349る325</t>
    <rPh sb="0" eb="2">
      <t>キョウト</t>
    </rPh>
    <phoneticPr fontId="13"/>
  </si>
  <si>
    <t xml:space="preserve">保証書 取説 ｽﾍﾟｱｷｰ ﾜﾝｵｰﾅｰ </t>
  </si>
  <si>
    <t>ZAR9550000X066139</t>
    <phoneticPr fontId="13"/>
  </si>
  <si>
    <t>株式会社ｴﾇｽﾞ･ｶﾝﾊﾟﾆｰ</t>
    <rPh sb="0" eb="4">
      <t>カブシキガイシャ</t>
    </rPh>
    <phoneticPr fontId="13"/>
  </si>
  <si>
    <t>7/27</t>
    <phoneticPr fontId="13"/>
  </si>
  <si>
    <t>27-320</t>
  </si>
  <si>
    <t>22/2</t>
    <phoneticPr fontId="13"/>
  </si>
  <si>
    <t>ﾗﾝﾄﾞﾛｰﾊﾞｰ ﾃﾞｨｽｶﾊﾞﾘｰ4 HSE</t>
    <phoneticPr fontId="13"/>
  </si>
  <si>
    <t>川崎 330 ふ 8311</t>
    <rPh sb="0" eb="2">
      <t>カワサキ</t>
    </rPh>
    <phoneticPr fontId="13"/>
  </si>
  <si>
    <t>SALLAJAD3AA525392</t>
    <phoneticPr fontId="13"/>
  </si>
  <si>
    <t>原田 圭子</t>
    <rPh sb="0" eb="2">
      <t>ハラダ</t>
    </rPh>
    <rPh sb="3" eb="5">
      <t>ケイコ</t>
    </rPh>
    <phoneticPr fontId="13"/>
  </si>
  <si>
    <t>整備記録簿 取説 ﾅﾋﾞ取</t>
    <rPh sb="0" eb="5">
      <t>セイビキロクボ</t>
    </rPh>
    <rPh sb="6" eb="8">
      <t>トリセツ</t>
    </rPh>
    <rPh sb="12" eb="13">
      <t>トリ</t>
    </rPh>
    <phoneticPr fontId="13"/>
  </si>
  <si>
    <t>27-321</t>
  </si>
  <si>
    <t>LRﾚﾝｼﾞﾛｰﾊﾞｰ　ｵｰﾄﾊﾞｲｵｸﾞﾗﾌｨ</t>
    <phoneticPr fontId="13"/>
  </si>
  <si>
    <t>福岡 303 つ 3266</t>
    <rPh sb="0" eb="2">
      <t>フクオカ</t>
    </rPh>
    <phoneticPr fontId="13"/>
  </si>
  <si>
    <t>保証書　取説　ｽﾍﾟｱｷｰ　ﾘﾓｺﾝ</t>
  </si>
  <si>
    <t>SALGA3EF1EA185638</t>
    <phoneticPr fontId="13"/>
  </si>
  <si>
    <t>株式会社田中商店</t>
    <rPh sb="0" eb="4">
      <t>カブシキガイシャ</t>
    </rPh>
    <rPh sb="4" eb="8">
      <t>タナカショウテン</t>
    </rPh>
    <phoneticPr fontId="13"/>
  </si>
  <si>
    <t>8/3</t>
    <phoneticPr fontId="13"/>
  </si>
  <si>
    <t>保証書 取説 ﾅﾋﾞ取 ｷｰﾚｽ ﾘﾓｺﾝ ﾄﾗﾝｸ開閉ﾎﾞﾀﾝの部品X2</t>
    <rPh sb="0" eb="3">
      <t>ホショウショ</t>
    </rPh>
    <rPh sb="4" eb="6">
      <t>トリセツ</t>
    </rPh>
    <rPh sb="10" eb="11">
      <t>トリ</t>
    </rPh>
    <rPh sb="26" eb="28">
      <t>カイヘイ</t>
    </rPh>
    <rPh sb="33" eb="35">
      <t>ブヒン</t>
    </rPh>
    <phoneticPr fontId="13"/>
  </si>
  <si>
    <t>27-322</t>
  </si>
  <si>
    <t>26/8</t>
    <phoneticPr fontId="13"/>
  </si>
  <si>
    <t>LRﾚﾝｼﾞﾛｰﾊﾞｰｽﾎﾟｰﾂ　SE</t>
    <phoneticPr fontId="13"/>
  </si>
  <si>
    <t>7/5</t>
    <phoneticPr fontId="13"/>
  </si>
  <si>
    <t>大阪 371 は 315</t>
    <rPh sb="0" eb="2">
      <t>オオサカ</t>
    </rPh>
    <phoneticPr fontId="13"/>
  </si>
  <si>
    <t>SALWA2VE8EA386734</t>
    <phoneticPr fontId="13"/>
  </si>
  <si>
    <t>8/8</t>
    <phoneticPr fontId="13"/>
  </si>
  <si>
    <t>27-323</t>
  </si>
  <si>
    <t>滋賀 321 ふ 77</t>
    <rPh sb="0" eb="2">
      <t>シガ</t>
    </rPh>
    <phoneticPr fontId="13"/>
  </si>
  <si>
    <t>ﾎﾝﾀﾞ関西（まとめ）</t>
    <rPh sb="4" eb="6">
      <t>カンサイ</t>
    </rPh>
    <phoneticPr fontId="13"/>
  </si>
  <si>
    <t>ﾊﾟｰﾙﾎﾜｲﾄ</t>
    <phoneticPr fontId="13"/>
  </si>
  <si>
    <t>WMWXR92080TP20759</t>
    <phoneticPr fontId="13"/>
  </si>
  <si>
    <t>株式会社ﾎﾝﾀﾞｵｰﾄﾌｸﾅｶﾞ</t>
    <rPh sb="0" eb="4">
      <t>カブシキガイシャ</t>
    </rPh>
    <phoneticPr fontId="13"/>
  </si>
  <si>
    <t>8/22</t>
    <phoneticPr fontId="13"/>
  </si>
  <si>
    <t>整備記録 取説 ｷｰﾚｽ</t>
    <rPh sb="0" eb="2">
      <t>セイビ</t>
    </rPh>
    <rPh sb="2" eb="4">
      <t>キロク</t>
    </rPh>
    <rPh sb="5" eb="7">
      <t>トリセツ</t>
    </rPh>
    <phoneticPr fontId="13"/>
  </si>
  <si>
    <t>27-324</t>
  </si>
  <si>
    <t>19/9</t>
    <phoneticPr fontId="13"/>
  </si>
  <si>
    <t>7/1/14</t>
    <phoneticPr fontId="13"/>
  </si>
  <si>
    <t>静岡 301 ね 978</t>
    <rPh sb="0" eb="2">
      <t>シズオカ</t>
    </rPh>
    <phoneticPr fontId="13"/>
  </si>
  <si>
    <t>取説 整備手帳</t>
  </si>
  <si>
    <t>A194860</t>
    <phoneticPr fontId="13"/>
  </si>
  <si>
    <t>WBSNB92040CY10210</t>
    <phoneticPr fontId="13"/>
  </si>
  <si>
    <t>山下始</t>
    <rPh sb="0" eb="2">
      <t>ヤマシタ</t>
    </rPh>
    <rPh sb="2" eb="3">
      <t>ハジ</t>
    </rPh>
    <phoneticPr fontId="13"/>
  </si>
  <si>
    <t>8/31</t>
    <phoneticPr fontId="13"/>
  </si>
  <si>
    <t>取説 整備手帳 ｷｰﾚｽ</t>
    <rPh sb="0" eb="2">
      <t>トリセツ</t>
    </rPh>
    <rPh sb="3" eb="7">
      <t>セイビテチョウ</t>
    </rPh>
    <phoneticPr fontId="13"/>
  </si>
  <si>
    <t>不具合の為名変するかｸﾚｰﾑ中</t>
    <rPh sb="0" eb="3">
      <t>フグアイ</t>
    </rPh>
    <rPh sb="4" eb="5">
      <t>タメ</t>
    </rPh>
    <rPh sb="5" eb="7">
      <t>メイヘン</t>
    </rPh>
    <rPh sb="14" eb="15">
      <t>チュウ</t>
    </rPh>
    <phoneticPr fontId="13"/>
  </si>
  <si>
    <t>27-325</t>
  </si>
  <si>
    <t>ｼﾞﾑﾆｰ1300 ｼｴﾗｴﾙｸ</t>
    <phoneticPr fontId="13"/>
  </si>
  <si>
    <t>奈良430 さ 8969</t>
    <rPh sb="0" eb="2">
      <t>ナラ</t>
    </rPh>
    <phoneticPr fontId="13"/>
  </si>
  <si>
    <t>A195327</t>
    <phoneticPr fontId="13"/>
  </si>
  <si>
    <t>JB31W-109190</t>
    <phoneticPr fontId="13"/>
  </si>
  <si>
    <t>福田涼</t>
    <rPh sb="0" eb="2">
      <t>フクダ</t>
    </rPh>
    <rPh sb="2" eb="3">
      <t>リョウ</t>
    </rPh>
    <phoneticPr fontId="13"/>
  </si>
  <si>
    <t>8/29</t>
    <phoneticPr fontId="13"/>
  </si>
  <si>
    <t>整備手帳</t>
    <rPh sb="0" eb="4">
      <t>セイビテチョウ</t>
    </rPh>
    <phoneticPr fontId="13"/>
  </si>
  <si>
    <t>27-326</t>
  </si>
  <si>
    <t>MINI MINI ｸｰﾊﾟD</t>
    <phoneticPr fontId="13"/>
  </si>
  <si>
    <t>堺 399 の 116</t>
    <rPh sb="0" eb="1">
      <t>サカイ</t>
    </rPh>
    <phoneticPr fontId="13"/>
  </si>
  <si>
    <t>CAA中部(まとめ)</t>
    <rPh sb="3" eb="5">
      <t>チュウブ</t>
    </rPh>
    <phoneticPr fontId="13"/>
  </si>
  <si>
    <t>ｶｰｷ</t>
    <phoneticPr fontId="13"/>
  </si>
  <si>
    <t>WMWXN320502H81858</t>
    <phoneticPr fontId="13"/>
  </si>
  <si>
    <t>8/27</t>
    <phoneticPr fontId="13"/>
  </si>
  <si>
    <t>27-327</t>
  </si>
  <si>
    <t>1411回</t>
    <rPh sb="4" eb="5">
      <t>カイ</t>
    </rPh>
    <phoneticPr fontId="13"/>
  </si>
  <si>
    <t>25/6</t>
    <phoneticPr fontId="13"/>
  </si>
  <si>
    <t>BMW M6 ｸﾞﾗﾝｸｰﾍﾟ</t>
    <phoneticPr fontId="13"/>
  </si>
  <si>
    <t>7/3/18</t>
    <phoneticPr fontId="13"/>
  </si>
  <si>
    <t>福岡 340 ひ 106</t>
    <rPh sb="0" eb="2">
      <t>フクオカ</t>
    </rPh>
    <phoneticPr fontId="13"/>
  </si>
  <si>
    <t>保証書 取説 整備記録 ｽﾍﾟｱｷｰ</t>
  </si>
  <si>
    <t>WBS6C91050DV73255</t>
    <phoneticPr fontId="13"/>
  </si>
  <si>
    <t>株式会社ﾃｸﾉ・ｱｰﾄ</t>
    <rPh sb="0" eb="4">
      <t>カブシキガイシャ</t>
    </rPh>
    <phoneticPr fontId="13"/>
  </si>
  <si>
    <t>9/7</t>
    <phoneticPr fontId="13"/>
  </si>
  <si>
    <t>保証書 取説 ｷｰﾚｽ ﾅﾋﾞ取説 ﾄﾞﾗﾚｺﾏｲｸﾛSD ﾃﾚﾋﾞｷｬﾝｾﾗｰのUSB</t>
    <rPh sb="0" eb="3">
      <t>ホショウショ</t>
    </rPh>
    <rPh sb="4" eb="6">
      <t>トリセツ</t>
    </rPh>
    <rPh sb="15" eb="17">
      <t>トリセツ</t>
    </rPh>
    <phoneticPr fontId="13"/>
  </si>
  <si>
    <t>27-328</t>
  </si>
  <si>
    <t>6/12/3</t>
    <phoneticPr fontId="13"/>
  </si>
  <si>
    <t>水戸 301 ね 421</t>
    <rPh sb="0" eb="2">
      <t>ミト</t>
    </rPh>
    <phoneticPr fontId="13"/>
  </si>
  <si>
    <t>SALCA2AG5GH562160</t>
    <phoneticPr fontId="13"/>
  </si>
  <si>
    <t>ライズ 株式会社</t>
    <rPh sb="4" eb="8">
      <t>カブシキガイシャ</t>
    </rPh>
    <phoneticPr fontId="13"/>
  </si>
  <si>
    <t>9/10</t>
    <phoneticPr fontId="13"/>
  </si>
  <si>
    <t>保証書 取説 ﾅﾋﾞ取説 ｷｰﾚｽ</t>
    <rPh sb="0" eb="3">
      <t>ホショウショ</t>
    </rPh>
    <rPh sb="4" eb="6">
      <t>トリセツ</t>
    </rPh>
    <rPh sb="10" eb="12">
      <t>トリセツ</t>
    </rPh>
    <phoneticPr fontId="13"/>
  </si>
  <si>
    <t>27-329</t>
  </si>
  <si>
    <t>ﾗﾝﾄﾞﾛｰﾊﾞｰ ﾃﾞｨｽｶﾊﾞﾘｰｽﾎﾟｰﾂ HSEラグ</t>
    <phoneticPr fontId="13"/>
  </si>
  <si>
    <t>6/3/21</t>
    <phoneticPr fontId="13"/>
  </si>
  <si>
    <t>仙台 331 さ 814</t>
    <rPh sb="0" eb="2">
      <t>センダイ</t>
    </rPh>
    <phoneticPr fontId="13"/>
  </si>
  <si>
    <t>SALCA2AG8HH661766</t>
    <phoneticPr fontId="13"/>
  </si>
  <si>
    <t>ｶﾒｲｵｰﾄ株式会社</t>
    <rPh sb="6" eb="10">
      <t>カブシキガイシャ</t>
    </rPh>
    <phoneticPr fontId="13"/>
  </si>
  <si>
    <t>9/12</t>
    <phoneticPr fontId="13"/>
  </si>
  <si>
    <t>27-330</t>
  </si>
  <si>
    <t>ﾛｰﾊﾞｰﾃﾞｨｽｶﾊﾞﾘｰｽﾎﾟｰﾂ HSE</t>
    <phoneticPr fontId="13"/>
  </si>
  <si>
    <t>鹿児島 333 ね 888</t>
    <rPh sb="0" eb="3">
      <t>カゴシマ</t>
    </rPh>
    <phoneticPr fontId="13"/>
  </si>
  <si>
    <t>保証書 取説 整備手帳</t>
  </si>
  <si>
    <t>SALCA2AX2JH776482</t>
    <phoneticPr fontId="13"/>
  </si>
  <si>
    <t>27-331</t>
  </si>
  <si>
    <t>BMWﾐﾆ ｸｰﾊﾟｰSD ｵｰﾙ4ｸﾛｽｵｰﾊﾞｰ</t>
    <phoneticPr fontId="13"/>
  </si>
  <si>
    <t>6/3/24</t>
    <phoneticPr fontId="13"/>
  </si>
  <si>
    <t>奈良 331 は 8723</t>
    <rPh sb="0" eb="2">
      <t>ナラ</t>
    </rPh>
    <phoneticPr fontId="13"/>
  </si>
  <si>
    <t>377 る 6</t>
    <phoneticPr fontId="13"/>
  </si>
  <si>
    <t>WMW22BU0403N09061</t>
    <phoneticPr fontId="13"/>
  </si>
  <si>
    <t>27-332</t>
  </si>
  <si>
    <t>大阪 303 む 5727</t>
    <rPh sb="0" eb="2">
      <t>オオサカ</t>
    </rPh>
    <phoneticPr fontId="13"/>
  </si>
  <si>
    <t>WMW22BU0703M38678</t>
    <phoneticPr fontId="13"/>
  </si>
  <si>
    <t>橋本 大輔</t>
    <rPh sb="0" eb="2">
      <t>ハシモト</t>
    </rPh>
    <rPh sb="3" eb="5">
      <t>ダイスケ</t>
    </rPh>
    <phoneticPr fontId="13"/>
  </si>
  <si>
    <t>9/24</t>
    <phoneticPr fontId="13"/>
  </si>
  <si>
    <t>27-333</t>
  </si>
  <si>
    <t>ｴﾌﾞﾘｲﾜｺﾞﾝ PZﾀｰﾎﾞ</t>
    <phoneticPr fontId="13"/>
  </si>
  <si>
    <t>神戸 583 ね 3987</t>
    <rPh sb="0" eb="2">
      <t>コウベ</t>
    </rPh>
    <phoneticPr fontId="13"/>
  </si>
  <si>
    <t>ｸﾚｰﾑ済み</t>
    <rPh sb="4" eb="5">
      <t>ズ</t>
    </rPh>
    <phoneticPr fontId="13"/>
  </si>
  <si>
    <t>DA17W-105404</t>
    <phoneticPr fontId="13"/>
  </si>
  <si>
    <t>花井 仁志</t>
    <rPh sb="0" eb="2">
      <t>ハナイ</t>
    </rPh>
    <rPh sb="3" eb="4">
      <t>ヒトシ</t>
    </rPh>
    <rPh sb="4" eb="5">
      <t>ココロザシ</t>
    </rPh>
    <phoneticPr fontId="13"/>
  </si>
  <si>
    <t>10/10</t>
    <phoneticPr fontId="13"/>
  </si>
  <si>
    <t>取説 保証書（車内）</t>
    <rPh sb="0" eb="2">
      <t>トリセツ</t>
    </rPh>
    <rPh sb="3" eb="6">
      <t>ホショウショ</t>
    </rPh>
    <rPh sb="7" eb="9">
      <t>シャナイ</t>
    </rPh>
    <phoneticPr fontId="13"/>
  </si>
  <si>
    <t>27-334</t>
  </si>
  <si>
    <t>1/12</t>
    <phoneticPr fontId="13"/>
  </si>
  <si>
    <t>ｼﾞｬｶﾞｰ XF ﾌﾟﾚｽﾃｰｼﾞ</t>
    <phoneticPr fontId="13"/>
  </si>
  <si>
    <t>広島 301 ゆ 4169</t>
    <rPh sb="0" eb="2">
      <t>ヒロシマ</t>
    </rPh>
    <phoneticPr fontId="13"/>
  </si>
  <si>
    <t>保証書 取説 ﾒﾝﾃﾅｽﾉｰﾄ ｽﾍﾟｱｷｰ</t>
  </si>
  <si>
    <t>SAJBB4AX2KCY82006</t>
    <phoneticPr fontId="13"/>
  </si>
  <si>
    <t>株式会社ｺﾝｸｴｽﾄ</t>
    <rPh sb="0" eb="4">
      <t>カブシキガイシャ</t>
    </rPh>
    <phoneticPr fontId="13"/>
  </si>
  <si>
    <t>27-335</t>
  </si>
  <si>
    <t>相模 399 ほ 2910</t>
    <rPh sb="0" eb="2">
      <t>サガミ</t>
    </rPh>
    <phoneticPr fontId="13"/>
  </si>
  <si>
    <t>SALWA2VEXGA647574</t>
    <phoneticPr fontId="13"/>
  </si>
  <si>
    <t>ｳｲﾙﾌﾟﾗｽｴﾝﾊﾝｽ株式会社</t>
    <rPh sb="12" eb="16">
      <t>カブシキガイシャ</t>
    </rPh>
    <phoneticPr fontId="13"/>
  </si>
  <si>
    <t>保証書 ﾅﾋﾞ取 ｷｰﾚｽ</t>
    <rPh sb="0" eb="3">
      <t>ホショウショ</t>
    </rPh>
    <rPh sb="7" eb="8">
      <t>トリ</t>
    </rPh>
    <phoneticPr fontId="13"/>
  </si>
  <si>
    <t>27-336</t>
  </si>
  <si>
    <t>1/11</t>
    <phoneticPr fontId="13"/>
  </si>
  <si>
    <t>BMWﾐﾆ ｸｰﾊﾟｰ60ｲﾔｰｽﾞｴﾃﾞｨｼｮﾝ</t>
    <phoneticPr fontId="13"/>
  </si>
  <si>
    <t>7/10/23</t>
    <phoneticPr fontId="13"/>
  </si>
  <si>
    <t>所沢 302 す 1822</t>
    <rPh sb="0" eb="2">
      <t>トコロザワ</t>
    </rPh>
    <phoneticPr fontId="13"/>
  </si>
  <si>
    <t xml:space="preserve"> 301 な 3358</t>
    <phoneticPr fontId="13"/>
  </si>
  <si>
    <t>WMWXR32070TS34909</t>
    <phoneticPr fontId="13"/>
  </si>
  <si>
    <t>有限会社ﾏﾙﾐｽﾞｵｰﾄ</t>
    <rPh sb="0" eb="4">
      <t>ユウゲンガイシャ</t>
    </rPh>
    <phoneticPr fontId="13"/>
  </si>
  <si>
    <t>11/5</t>
    <phoneticPr fontId="13"/>
  </si>
  <si>
    <t>27-337</t>
  </si>
  <si>
    <t>6/12/19</t>
    <phoneticPr fontId="13"/>
  </si>
  <si>
    <t>神戸 304 ぬ 7637</t>
    <rPh sb="0" eb="2">
      <t>コウベ</t>
    </rPh>
    <phoneticPr fontId="13"/>
  </si>
  <si>
    <t>保証書 取説 ﾘﾓｺﾝ ｽﾍﾟｱｷｰ</t>
  </si>
  <si>
    <t>354 ろ 32</t>
    <phoneticPr fontId="13"/>
  </si>
  <si>
    <t>WMWXR920602L54578</t>
    <phoneticPr fontId="13"/>
  </si>
  <si>
    <t>有限会社吉田自動車</t>
    <rPh sb="0" eb="4">
      <t>ユウゲンガイシャ</t>
    </rPh>
    <rPh sb="4" eb="6">
      <t>ヨシダ</t>
    </rPh>
    <rPh sb="6" eb="9">
      <t>ジドウシャ</t>
    </rPh>
    <phoneticPr fontId="13"/>
  </si>
  <si>
    <t>11/21</t>
    <phoneticPr fontId="13"/>
  </si>
  <si>
    <t>保証書 取説 ｷｰﾚｽ ﾘﾓｺﾝ×3</t>
    <rPh sb="0" eb="3">
      <t>ホショウショ</t>
    </rPh>
    <rPh sb="4" eb="6">
      <t>トリセツ</t>
    </rPh>
    <phoneticPr fontId="13"/>
  </si>
  <si>
    <t>27-338</t>
  </si>
  <si>
    <t>28</t>
    <phoneticPr fontId="13"/>
  </si>
  <si>
    <t>BMW M2</t>
    <phoneticPr fontId="13"/>
  </si>
  <si>
    <t>姫路 301 て 432</t>
    <rPh sb="0" eb="2">
      <t>ヒメジ</t>
    </rPh>
    <phoneticPr fontId="13"/>
  </si>
  <si>
    <t>佐伯</t>
    <rPh sb="0" eb="2">
      <t>サエキ</t>
    </rPh>
    <phoneticPr fontId="13"/>
  </si>
  <si>
    <t>WBA1H92000V817902</t>
    <phoneticPr fontId="13"/>
  </si>
  <si>
    <t>佐伯 薫</t>
    <rPh sb="3" eb="4">
      <t>カオル</t>
    </rPh>
    <phoneticPr fontId="13"/>
  </si>
  <si>
    <t>27-339</t>
  </si>
  <si>
    <t>B</t>
    <phoneticPr fontId="13"/>
  </si>
  <si>
    <t>ﾜｺﾞﾝR FZ</t>
    <phoneticPr fontId="13"/>
  </si>
  <si>
    <t>倉敷 581 ろ 2310</t>
    <rPh sb="0" eb="2">
      <t>クラシキ</t>
    </rPh>
    <phoneticPr fontId="13"/>
  </si>
  <si>
    <t>LAA岡山</t>
    <rPh sb="3" eb="5">
      <t>オカヤマ</t>
    </rPh>
    <phoneticPr fontId="13"/>
  </si>
  <si>
    <t>MH44S-171915</t>
    <phoneticPr fontId="13"/>
  </si>
  <si>
    <t>株式会社ｽｽﾞｷ自販関西倉敷営業所</t>
    <rPh sb="0" eb="4">
      <t>カブシキガイシャ</t>
    </rPh>
    <rPh sb="8" eb="10">
      <t>ジハン</t>
    </rPh>
    <rPh sb="10" eb="12">
      <t>カンサイ</t>
    </rPh>
    <rPh sb="12" eb="14">
      <t>クラシキ</t>
    </rPh>
    <rPh sb="14" eb="17">
      <t>エイギョウショ</t>
    </rPh>
    <phoneticPr fontId="13"/>
  </si>
  <si>
    <t>1/25</t>
    <phoneticPr fontId="13"/>
  </si>
  <si>
    <t>27-340</t>
  </si>
  <si>
    <t>19/5</t>
    <phoneticPr fontId="13"/>
  </si>
  <si>
    <t>ｱｳﾃﾞｨA4 DTMﾘﾐﾃｯﾄﾞ</t>
    <phoneticPr fontId="13"/>
  </si>
  <si>
    <t>滋賀 330 ろ 1918</t>
    <rPh sb="0" eb="2">
      <t>シガ</t>
    </rPh>
    <phoneticPr fontId="13"/>
  </si>
  <si>
    <t>WUAZZZ8E57A802147</t>
    <phoneticPr fontId="13"/>
  </si>
  <si>
    <t>ﾄﾞｽｻﾝﾄｽ ｱｶﾞﾒﾉ</t>
    <phoneticPr fontId="13"/>
  </si>
  <si>
    <t>27-341</t>
  </si>
  <si>
    <t>ﾗﾝﾄﾞﾛｰﾊﾞｰ ﾃﾞｨｽｶﾊﾞﾘｰ4SE</t>
    <phoneticPr fontId="13"/>
  </si>
  <si>
    <t>6/6/13</t>
    <phoneticPr fontId="13"/>
  </si>
  <si>
    <t>名古屋 305 む 5500</t>
    <rPh sb="0" eb="3">
      <t>ナゴヤ</t>
    </rPh>
    <phoneticPr fontId="13"/>
  </si>
  <si>
    <t>SALLAJAD3BA572705</t>
    <phoneticPr fontId="13"/>
  </si>
  <si>
    <t>2/1</t>
    <phoneticPr fontId="13"/>
  </si>
  <si>
    <t>保証書 取説 ﾅﾋﾞ取説</t>
    <rPh sb="0" eb="3">
      <t>ホショウショ</t>
    </rPh>
    <rPh sb="4" eb="6">
      <t>トリセツ</t>
    </rPh>
    <rPh sb="10" eb="12">
      <t>トリセツ</t>
    </rPh>
    <phoneticPr fontId="13"/>
  </si>
  <si>
    <t>生田 英司</t>
    <rPh sb="0" eb="2">
      <t>イクタ</t>
    </rPh>
    <rPh sb="3" eb="4">
      <t>ヒデ</t>
    </rPh>
    <phoneticPr fontId="13"/>
  </si>
  <si>
    <t>27-342</t>
  </si>
  <si>
    <t>BMWﾐﾆ ｸｰﾊﾟｰS</t>
    <phoneticPr fontId="13"/>
  </si>
  <si>
    <t>なにわ 39A せ 5011</t>
    <phoneticPr fontId="13"/>
  </si>
  <si>
    <t>WMWXU920X02N68147</t>
    <phoneticPr fontId="13"/>
  </si>
  <si>
    <t>株式会社はなまる</t>
    <rPh sb="0" eb="4">
      <t>カブシキガイシャ</t>
    </rPh>
    <phoneticPr fontId="13"/>
  </si>
  <si>
    <t>書類発送時確認(はなまる)</t>
    <rPh sb="0" eb="2">
      <t>ショルイ</t>
    </rPh>
    <rPh sb="2" eb="4">
      <t>ハッソウ</t>
    </rPh>
    <rPh sb="4" eb="5">
      <t>ジ</t>
    </rPh>
    <rPh sb="5" eb="7">
      <t>カクニン</t>
    </rPh>
    <phoneticPr fontId="13"/>
  </si>
  <si>
    <t>27-343</t>
  </si>
  <si>
    <t>22/8</t>
    <phoneticPr fontId="13"/>
  </si>
  <si>
    <t>ﾚﾝｼﾞﾛｰﾊﾞｰｽﾎﾟｰﾂ 5.0 V8ｽｰﾊﾟｰﾁｬｰｼﾞﾄﾞ</t>
    <phoneticPr fontId="13"/>
  </si>
  <si>
    <t>7/8/27</t>
    <phoneticPr fontId="13"/>
  </si>
  <si>
    <t>名古屋 331 ね 1615</t>
    <rPh sb="0" eb="3">
      <t>ナゴヤ</t>
    </rPh>
    <phoneticPr fontId="13"/>
  </si>
  <si>
    <t>SALLSJAE3AA256402</t>
    <phoneticPr fontId="13"/>
  </si>
  <si>
    <t>ﾔﾅｾｵｰﾄﾓｰﾃｨﾌﾞ株式会社</t>
    <rPh sb="12" eb="14">
      <t>カブシキ</t>
    </rPh>
    <rPh sb="14" eb="16">
      <t>カイシャ</t>
    </rPh>
    <phoneticPr fontId="13"/>
  </si>
  <si>
    <t>保証書 取説 ｷｰﾚｽ（車内）</t>
    <rPh sb="0" eb="3">
      <t>ホショウショ</t>
    </rPh>
    <rPh sb="4" eb="6">
      <t>トリセツ</t>
    </rPh>
    <rPh sb="12" eb="14">
      <t>シャナイ</t>
    </rPh>
    <phoneticPr fontId="13"/>
  </si>
  <si>
    <t>27-344</t>
  </si>
  <si>
    <t>ｱｳﾃﾞｨA6ｱﾊﾞﾝﾄ 45TFSIｸﾜﾄﾛｽﾎﾟｰﾂSﾗｲﾝ</t>
    <phoneticPr fontId="13"/>
  </si>
  <si>
    <t>札幌 330 む 6648</t>
    <rPh sb="0" eb="2">
      <t>サッポロ</t>
    </rPh>
    <phoneticPr fontId="13"/>
  </si>
  <si>
    <t>34A ね 5</t>
    <phoneticPr fontId="13"/>
  </si>
  <si>
    <t>WAUZZZF20LN034289</t>
    <phoneticPr fontId="13"/>
  </si>
  <si>
    <t>有限会社ｱﾈｻﾞｷｶﾝﾊﾟﾆｰ</t>
    <rPh sb="0" eb="4">
      <t>ユウゲンカイシャ</t>
    </rPh>
    <phoneticPr fontId="13"/>
  </si>
  <si>
    <t>保証書 取説 車検ｽﾃｯｶｰ</t>
    <rPh sb="0" eb="3">
      <t>ホショウショ</t>
    </rPh>
    <rPh sb="4" eb="6">
      <t>トリセツ</t>
    </rPh>
    <rPh sb="7" eb="9">
      <t>シャケン</t>
    </rPh>
    <phoneticPr fontId="13"/>
  </si>
  <si>
    <t>27-345</t>
  </si>
  <si>
    <t>7/12/23</t>
    <phoneticPr fontId="13"/>
  </si>
  <si>
    <t>福岡 358 ゆ 320</t>
    <rPh sb="0" eb="2">
      <t>フクオカ</t>
    </rPh>
    <phoneticPr fontId="13"/>
  </si>
  <si>
    <t>保証書 取説 ﾄﾞﾗﾚｺSD</t>
  </si>
  <si>
    <t>ｸｲｯｸ売れｷｬﾝｾﾙ</t>
    <rPh sb="4" eb="5">
      <t>ウ</t>
    </rPh>
    <phoneticPr fontId="13"/>
  </si>
  <si>
    <t>301 な 9051</t>
    <phoneticPr fontId="13"/>
  </si>
  <si>
    <t>WMWXM520103A53348</t>
    <phoneticPr fontId="13"/>
  </si>
  <si>
    <t>福家 真美</t>
    <rPh sb="0" eb="2">
      <t>フクイエ</t>
    </rPh>
    <rPh sb="3" eb="5">
      <t>マミ</t>
    </rPh>
    <phoneticPr fontId="13"/>
  </si>
  <si>
    <t>3/7</t>
    <phoneticPr fontId="13"/>
  </si>
  <si>
    <t>保証書 取説 ﾄﾞﾗﾚｺSD</t>
    <rPh sb="0" eb="3">
      <t>ホショウショ</t>
    </rPh>
    <rPh sb="4" eb="6">
      <t>トリセツ</t>
    </rPh>
    <phoneticPr fontId="13"/>
  </si>
  <si>
    <t>4/25書類付属品返却済</t>
    <rPh sb="4" eb="6">
      <t>ショルイ</t>
    </rPh>
    <rPh sb="6" eb="9">
      <t>フゾクヒン</t>
    </rPh>
    <rPh sb="9" eb="11">
      <t>ヘンキャク</t>
    </rPh>
    <rPh sb="11" eb="12">
      <t>ズ</t>
    </rPh>
    <phoneticPr fontId="13"/>
  </si>
  <si>
    <t>27-346</t>
  </si>
  <si>
    <t>BMW1ｼﾘｰｽﾞ 118IMｽﾎﾟｰﾂEDｼｬﾄﾞ</t>
    <phoneticPr fontId="13"/>
  </si>
  <si>
    <t>6/11/20</t>
    <phoneticPr fontId="13"/>
  </si>
  <si>
    <t>湘南 302 ち 7640</t>
    <rPh sb="0" eb="2">
      <t>ショウナン</t>
    </rPh>
    <phoneticPr fontId="13"/>
  </si>
  <si>
    <t>保証書 ｷｰ</t>
  </si>
  <si>
    <t>WBA1R520005C76105</t>
    <phoneticPr fontId="13"/>
  </si>
  <si>
    <t>株式会社ｴｺﾉﾐｰ湘南</t>
    <rPh sb="0" eb="4">
      <t>カブシキガイシャ</t>
    </rPh>
    <rPh sb="9" eb="11">
      <t>ショウナン</t>
    </rPh>
    <phoneticPr fontId="13"/>
  </si>
  <si>
    <t>3/8</t>
    <phoneticPr fontId="13"/>
  </si>
  <si>
    <t>27-347</t>
  </si>
  <si>
    <t>BMWﾐﾆ3HB ｼﾞｮﾝｸｰﾊﾟｰﾜｰｸｽ</t>
    <phoneticPr fontId="13"/>
  </si>
  <si>
    <t>なにわ 39A ち 268</t>
    <phoneticPr fontId="13"/>
  </si>
  <si>
    <t>保証書 取説 Ｓｷｰ</t>
  </si>
  <si>
    <t>WMWXR92060TP21358</t>
    <phoneticPr fontId="13"/>
  </si>
  <si>
    <t>双日ｵｰﾄｸﾞﾙｰﾌﾟ大阪株式会社</t>
    <rPh sb="0" eb="2">
      <t>フタビ</t>
    </rPh>
    <rPh sb="11" eb="13">
      <t>オオサカ</t>
    </rPh>
    <rPh sb="13" eb="17">
      <t>カブシキガイシャ</t>
    </rPh>
    <phoneticPr fontId="13"/>
  </si>
  <si>
    <t>3/23</t>
    <phoneticPr fontId="13"/>
  </si>
  <si>
    <t>27-348</t>
  </si>
  <si>
    <t>BMW M4 ｸｰﾍﾟｺﾝﾍﾟﾃｨｼｮﾝ</t>
    <phoneticPr fontId="13"/>
  </si>
  <si>
    <t>6/11</t>
    <phoneticPr fontId="13"/>
  </si>
  <si>
    <t>山口 330 そ 3867</t>
    <rPh sb="0" eb="2">
      <t>ヤマグチ</t>
    </rPh>
    <phoneticPr fontId="13"/>
  </si>
  <si>
    <t>WBS4Y92010AC60618</t>
    <phoneticPr fontId="13"/>
  </si>
  <si>
    <t>ｸﾙｰｼﾞﾝｸﾞｵｰﾄ株式会社</t>
    <rPh sb="11" eb="15">
      <t>カブシキガイシャ</t>
    </rPh>
    <phoneticPr fontId="13"/>
  </si>
  <si>
    <t>3/16</t>
    <phoneticPr fontId="13"/>
  </si>
  <si>
    <t>27-349</t>
  </si>
  <si>
    <t>ｱﾊﾞﾙﾄ595 ｺﾝﾍﾟﾃｨﾂｨｵｰﾈ</t>
    <phoneticPr fontId="13"/>
  </si>
  <si>
    <t>7/1/30</t>
    <phoneticPr fontId="13"/>
  </si>
  <si>
    <t>広島 534 ゆ 595</t>
    <rPh sb="0" eb="2">
      <t>ヒロシマ</t>
    </rPh>
    <phoneticPr fontId="13"/>
  </si>
  <si>
    <t>ZFA3120000JD08145</t>
    <phoneticPr fontId="13"/>
  </si>
  <si>
    <t>3/29</t>
    <phoneticPr fontId="13"/>
  </si>
  <si>
    <t>27-350</t>
  </si>
  <si>
    <t>ｼﾞｬｶﾞｰ XFｽﾎﾟｰﾂﾌﾞﾚｲｸ ﾌﾟﾚｽﾃｰｼﾞ</t>
    <phoneticPr fontId="13"/>
  </si>
  <si>
    <t>広島 339 せ 308</t>
    <rPh sb="0" eb="2">
      <t>ヒロシマ</t>
    </rPh>
    <phoneticPr fontId="13"/>
  </si>
  <si>
    <t>301 な 9762</t>
    <phoneticPr fontId="13"/>
  </si>
  <si>
    <t>SAJBB2AX7KCY74097</t>
    <phoneticPr fontId="13"/>
  </si>
  <si>
    <t>27-351</t>
  </si>
  <si>
    <t>BMW M235ｉ ｸｰﾍﾟ</t>
    <phoneticPr fontId="13"/>
  </si>
  <si>
    <t>京都 399 る 3960</t>
    <rPh sb="0" eb="2">
      <t>キョウト</t>
    </rPh>
    <phoneticPr fontId="13"/>
  </si>
  <si>
    <t>保証書 取説 整備手帳 ｽﾍﾟｱｷｰ ﾜﾝｵｰﾅｰ</t>
  </si>
  <si>
    <t>WBA1J72050VX31952</t>
    <phoneticPr fontId="13"/>
  </si>
  <si>
    <t>株式会社服部ﾓｰﾀｰｽ</t>
    <rPh sb="0" eb="4">
      <t>カブシキカイシャ</t>
    </rPh>
    <rPh sb="4" eb="6">
      <t>ハットリ</t>
    </rPh>
    <phoneticPr fontId="13"/>
  </si>
  <si>
    <t>ﾅﾋﾞ取説（車内）保証書 取説 ｷｰﾚｽ ﾜﾝｵｰﾅｰ</t>
    <rPh sb="3" eb="5">
      <t>トリセツ</t>
    </rPh>
    <rPh sb="6" eb="8">
      <t>シャナイ</t>
    </rPh>
    <rPh sb="9" eb="12">
      <t>ホショウショ</t>
    </rPh>
    <rPh sb="13" eb="15">
      <t>トリセツ</t>
    </rPh>
    <phoneticPr fontId="13"/>
  </si>
  <si>
    <t>27-352</t>
  </si>
  <si>
    <t>4/</t>
    <phoneticPr fontId="13"/>
  </si>
  <si>
    <t>N-BOX</t>
    <phoneticPr fontId="13"/>
  </si>
  <si>
    <t>姫路 590 と 1105</t>
    <rPh sb="0" eb="2">
      <t>ヒメジ</t>
    </rPh>
    <phoneticPr fontId="13"/>
  </si>
  <si>
    <t>谷村様</t>
    <rPh sb="0" eb="2">
      <t>タニムラ</t>
    </rPh>
    <rPh sb="2" eb="3">
      <t>サマ</t>
    </rPh>
    <phoneticPr fontId="13"/>
  </si>
  <si>
    <t>JF3-2383933</t>
    <phoneticPr fontId="13"/>
  </si>
  <si>
    <t>谷村 隆平</t>
    <rPh sb="0" eb="2">
      <t>タニムラ</t>
    </rPh>
    <rPh sb="3" eb="5">
      <t>リュウヘイ</t>
    </rPh>
    <phoneticPr fontId="13"/>
  </si>
  <si>
    <t>27-353</t>
  </si>
  <si>
    <t>BMWﾐﾆ</t>
    <phoneticPr fontId="13"/>
  </si>
  <si>
    <t>大阪 399 も 400</t>
    <rPh sb="0" eb="2">
      <t>オオサカ</t>
    </rPh>
    <phoneticPr fontId="13"/>
  </si>
  <si>
    <t>保証書 取説 ﾘﾓｺﾝ ｽﾏｰﾄｷｰ ﾜﾝｵｰﾅｰ</t>
  </si>
  <si>
    <t>ﾐﾗｲﾌﾞ大阪（ｱｲｵｰｸ）</t>
    <rPh sb="5" eb="7">
      <t>オオサカ</t>
    </rPh>
    <phoneticPr fontId="13"/>
  </si>
  <si>
    <t>WMWXN920X02M18083</t>
    <phoneticPr fontId="13"/>
  </si>
  <si>
    <t>大阪ﾏﾂﾀﾞ販売株式会社</t>
    <rPh sb="0" eb="2">
      <t>オオサカ</t>
    </rPh>
    <rPh sb="6" eb="12">
      <t>ハンバイカブシキガイシャ</t>
    </rPh>
    <phoneticPr fontId="13"/>
  </si>
  <si>
    <t>5/16</t>
    <phoneticPr fontId="13"/>
  </si>
  <si>
    <t>保証書 取説 ﾘﾓｺﾝ ｷｰﾚｽ ﾜﾝｵｰﾅｰ</t>
    <rPh sb="0" eb="3">
      <t>ホショウショ</t>
    </rPh>
    <rPh sb="4" eb="6">
      <t>トリセツ</t>
    </rPh>
    <phoneticPr fontId="13"/>
  </si>
  <si>
    <t>27-354</t>
  </si>
  <si>
    <t>BMWﾐﾆｸｰﾊﾟｰD ｸﾛｽｵｰﾊﾞｰ</t>
    <phoneticPr fontId="13"/>
  </si>
  <si>
    <t>6/8/24</t>
    <phoneticPr fontId="13"/>
  </si>
  <si>
    <t>堺 330 な 7255</t>
    <rPh sb="0" eb="1">
      <t>サカイ</t>
    </rPh>
    <phoneticPr fontId="13"/>
  </si>
  <si>
    <t>WMWYT920203D52376</t>
    <phoneticPr fontId="13"/>
  </si>
  <si>
    <t>ﾘﾓｺﾝ×2（車内）保証書 取説 ｷｰﾚｽ</t>
    <rPh sb="7" eb="9">
      <t>シャナイ</t>
    </rPh>
    <rPh sb="10" eb="13">
      <t>ホショウショ</t>
    </rPh>
    <rPh sb="14" eb="16">
      <t>トリセツ</t>
    </rPh>
    <phoneticPr fontId="13"/>
  </si>
  <si>
    <t>27-355</t>
  </si>
  <si>
    <t>3/11</t>
    <phoneticPr fontId="13"/>
  </si>
  <si>
    <t>広島 373 す 1212</t>
    <rPh sb="0" eb="2">
      <t>ヒロシマ</t>
    </rPh>
    <phoneticPr fontId="13"/>
  </si>
  <si>
    <t>WMW52DH0002R32468</t>
    <phoneticPr fontId="13"/>
  </si>
  <si>
    <t>広島ﾄﾖﾀ自動車株式会社</t>
    <rPh sb="0" eb="2">
      <t>ヒロシマ</t>
    </rPh>
    <rPh sb="5" eb="12">
      <t>ジドウシャカブシキカイシャ</t>
    </rPh>
    <phoneticPr fontId="13"/>
  </si>
  <si>
    <t>5/18</t>
    <phoneticPr fontId="13"/>
  </si>
  <si>
    <t>取説 ｷｰﾚｽ（車内）保証書</t>
    <rPh sb="0" eb="2">
      <t>トリセツ</t>
    </rPh>
    <rPh sb="8" eb="10">
      <t>シャナイ</t>
    </rPh>
    <rPh sb="11" eb="14">
      <t>ホショウショ</t>
    </rPh>
    <phoneticPr fontId="13"/>
  </si>
  <si>
    <t>27-356</t>
  </si>
  <si>
    <t>7/6/28</t>
    <phoneticPr fontId="13"/>
  </si>
  <si>
    <t>豊田 300 も 1028</t>
    <rPh sb="0" eb="2">
      <t>トヨタ</t>
    </rPh>
    <phoneticPr fontId="13"/>
  </si>
  <si>
    <t>ｽﾏｰﾄｷｰ</t>
  </si>
  <si>
    <t>301に 2202</t>
    <phoneticPr fontId="13"/>
  </si>
  <si>
    <t>WMWXU72030TN22691</t>
    <phoneticPr fontId="13"/>
  </si>
  <si>
    <t>株式会社ﾔﾅｷﾞｻﾜHD</t>
    <rPh sb="0" eb="4">
      <t>カブシキガイシャ</t>
    </rPh>
    <phoneticPr fontId="13"/>
  </si>
  <si>
    <t>5/21</t>
    <phoneticPr fontId="13"/>
  </si>
  <si>
    <t xml:space="preserve">保証書 取説 ｷｰﾚｽ </t>
    <rPh sb="0" eb="3">
      <t>ホショウショ</t>
    </rPh>
    <rPh sb="4" eb="6">
      <t>トリセツ</t>
    </rPh>
    <phoneticPr fontId="13"/>
  </si>
  <si>
    <t>FAX番号078-304-6644</t>
    <rPh sb="3" eb="5">
      <t>バンゴウ</t>
    </rPh>
    <phoneticPr fontId="13"/>
  </si>
  <si>
    <t>27-357</t>
  </si>
  <si>
    <t>22/</t>
    <phoneticPr fontId="13"/>
  </si>
  <si>
    <t>CR-Z</t>
    <phoneticPr fontId="13"/>
  </si>
  <si>
    <t>尾張小牧 382 ひ 8008</t>
    <rPh sb="0" eb="4">
      <t>オバリコマキ</t>
    </rPh>
    <phoneticPr fontId="13"/>
  </si>
  <si>
    <t>友松様</t>
    <rPh sb="0" eb="2">
      <t>トモマツ</t>
    </rPh>
    <rPh sb="2" eb="3">
      <t>サマ</t>
    </rPh>
    <phoneticPr fontId="13"/>
  </si>
  <si>
    <t>ZF1-1017566</t>
    <phoneticPr fontId="13"/>
  </si>
  <si>
    <t>友松 淳治</t>
    <rPh sb="0" eb="2">
      <t>トモマツ</t>
    </rPh>
    <rPh sb="3" eb="4">
      <t>ジュン</t>
    </rPh>
    <rPh sb="4" eb="5">
      <t>ジ</t>
    </rPh>
    <phoneticPr fontId="13"/>
  </si>
  <si>
    <t>保証書 取説 ｷｰﾚｽ ｽﾍﾟｱｷｰ</t>
    <rPh sb="0" eb="3">
      <t>ホショウショ</t>
    </rPh>
    <rPh sb="4" eb="6">
      <t>トリセツ</t>
    </rPh>
    <phoneticPr fontId="13"/>
  </si>
  <si>
    <t>27-358</t>
  </si>
  <si>
    <t>2/9</t>
    <phoneticPr fontId="13"/>
  </si>
  <si>
    <t>品川 39A ね 1458</t>
    <rPh sb="0" eb="2">
      <t>シナガワ</t>
    </rPh>
    <phoneticPr fontId="13"/>
  </si>
  <si>
    <t>WMWXR920902N22603</t>
    <phoneticPr fontId="13"/>
  </si>
  <si>
    <t>ﾋﾞｰ･ｴﾑﾀﾞﾌﾞﾘｭｰｼﾞｬﾊﾟﾝﾌｧｲﾅﾝｽ株式会社</t>
    <rPh sb="25" eb="29">
      <t>カブシキガイシャ</t>
    </rPh>
    <phoneticPr fontId="13"/>
  </si>
  <si>
    <t>6/13</t>
    <phoneticPr fontId="13"/>
  </si>
  <si>
    <t>27-359</t>
  </si>
  <si>
    <t>岡山 324 て 5</t>
    <rPh sb="0" eb="2">
      <t>オカヤマ</t>
    </rPh>
    <phoneticPr fontId="13"/>
  </si>
  <si>
    <t>301 に 4003</t>
    <phoneticPr fontId="13"/>
  </si>
  <si>
    <t>SAJBB4AG7GCY21595</t>
    <phoneticPr fontId="13"/>
  </si>
  <si>
    <t>小谷 祐太</t>
    <rPh sb="0" eb="2">
      <t>コタニ</t>
    </rPh>
    <rPh sb="3" eb="5">
      <t>ユウタ</t>
    </rPh>
    <phoneticPr fontId="13"/>
  </si>
  <si>
    <t>27-360</t>
  </si>
  <si>
    <t>BMWﾐﾆ ｸﾗﾌﾞﾏﾝ ｸｰﾊﾟｰSD</t>
    <phoneticPr fontId="13"/>
  </si>
  <si>
    <t>神戸 304 の 3294</t>
    <rPh sb="0" eb="2">
      <t>コウベ</t>
    </rPh>
    <phoneticPr fontId="13"/>
  </si>
  <si>
    <t>WMWLR520X02F14634</t>
    <phoneticPr fontId="13"/>
  </si>
  <si>
    <t>株式会社ｷｭﾋﾞｯｸ</t>
    <rPh sb="0" eb="4">
      <t>カブシキガイシャ</t>
    </rPh>
    <phoneticPr fontId="13"/>
  </si>
  <si>
    <t>戸城 真帆</t>
    <rPh sb="0" eb="2">
      <t>トジョウ</t>
    </rPh>
    <rPh sb="3" eb="5">
      <t>マホ</t>
    </rPh>
    <phoneticPr fontId="13"/>
  </si>
  <si>
    <t>27-361</t>
  </si>
  <si>
    <t>N-BOX Lﾀｰﾎﾞ</t>
    <phoneticPr fontId="13"/>
  </si>
  <si>
    <t>京都 583 る 3580</t>
    <rPh sb="0" eb="2">
      <t>キョウト</t>
    </rPh>
    <phoneticPr fontId="13"/>
  </si>
  <si>
    <t>ﾎﾝﾀﾞ関西</t>
    <rPh sb="4" eb="6">
      <t>カンサイ</t>
    </rPh>
    <phoneticPr fontId="13"/>
  </si>
  <si>
    <t>JF3-2323589</t>
    <phoneticPr fontId="13"/>
  </si>
  <si>
    <t>株式会社ﾎﾝﾀﾞﾓﾋﾞﾘﾃｨ近畿</t>
    <rPh sb="0" eb="4">
      <t>カブシキガイシャ</t>
    </rPh>
    <rPh sb="14" eb="16">
      <t>キンキ</t>
    </rPh>
    <phoneticPr fontId="13"/>
  </si>
  <si>
    <t>保証書 ｴﾝﾀﾒSD 通信端末</t>
    <rPh sb="0" eb="3">
      <t>ホショウショ</t>
    </rPh>
    <rPh sb="11" eb="15">
      <t>ツウシンタンマツ</t>
    </rPh>
    <phoneticPr fontId="13"/>
  </si>
  <si>
    <t>HAA神戸(ﾜﾝｸﾘ)</t>
    <rPh sb="3" eb="5">
      <t>コウベ</t>
    </rPh>
    <phoneticPr fontId="13"/>
  </si>
  <si>
    <t>27-362</t>
  </si>
  <si>
    <t>ｷｬﾘｨﾄﾗｯｸ 金太郎ﾀﾞﾝﾌﾟ</t>
    <rPh sb="9" eb="12">
      <t>キンタロウ</t>
    </rPh>
    <phoneticPr fontId="13"/>
  </si>
  <si>
    <t>7/2/19</t>
    <phoneticPr fontId="13"/>
  </si>
  <si>
    <t>練馬 480 こ 4766</t>
    <rPh sb="0" eb="2">
      <t>ネリマ</t>
    </rPh>
    <phoneticPr fontId="13"/>
  </si>
  <si>
    <t>480 ぬ 2059</t>
    <phoneticPr fontId="13"/>
  </si>
  <si>
    <t>DA16T-356548</t>
    <phoneticPr fontId="13"/>
  </si>
  <si>
    <t>加藤 昌三</t>
    <rPh sb="0" eb="2">
      <t>カトウ</t>
    </rPh>
    <rPh sb="3" eb="4">
      <t>マサ</t>
    </rPh>
    <rPh sb="4" eb="5">
      <t>サン</t>
    </rPh>
    <phoneticPr fontId="13"/>
  </si>
  <si>
    <t>ｽﾍﾟｱｷｰ</t>
    <phoneticPr fontId="13"/>
  </si>
  <si>
    <t>27-363</t>
  </si>
  <si>
    <t>千葉 329 ゆ 5734</t>
    <rPh sb="0" eb="2">
      <t>チバ</t>
    </rPh>
    <phoneticPr fontId="13"/>
  </si>
  <si>
    <t>WMWXY520902N89147</t>
    <phoneticPr fontId="13"/>
  </si>
  <si>
    <t>株式会社ﾓﾄｰﾚﾝﾚﾋﾟｵ</t>
    <rPh sb="0" eb="4">
      <t>カブシキガイシャ</t>
    </rPh>
    <phoneticPr fontId="13"/>
  </si>
  <si>
    <t>6/25</t>
    <phoneticPr fontId="13"/>
  </si>
  <si>
    <t>保証書 取説 ｷｰﾚｽ ﾏｲｸﾛSD ﾘﾓｺﾝ×2 ﾛｯｸﾅｯﾄ ﾜﾝｵｰﾅｰ</t>
    <rPh sb="0" eb="3">
      <t>ホショウショ</t>
    </rPh>
    <rPh sb="4" eb="6">
      <t>トリセツ</t>
    </rPh>
    <phoneticPr fontId="13"/>
  </si>
  <si>
    <t>27-364</t>
  </si>
  <si>
    <t>N-BOXｶｽﾀﾑ L</t>
    <phoneticPr fontId="13"/>
  </si>
  <si>
    <t>7/2/1</t>
    <phoneticPr fontId="13"/>
  </si>
  <si>
    <t>島根 585 や 6</t>
    <rPh sb="0" eb="2">
      <t>シマネ</t>
    </rPh>
    <phoneticPr fontId="13"/>
  </si>
  <si>
    <t>581 や 4191</t>
    <phoneticPr fontId="13"/>
  </si>
  <si>
    <t>JF3-5121015</t>
    <phoneticPr fontId="13"/>
  </si>
  <si>
    <t>株式会社ｾﾃﾞｨﾅｵｰﾄﾘｰｽ</t>
    <rPh sb="0" eb="4">
      <t>カブシキガイシャ</t>
    </rPh>
    <phoneticPr fontId="13"/>
  </si>
  <si>
    <t>保証書 取説 ﾅﾝﾊﾞｰ持ち出し</t>
    <rPh sb="0" eb="3">
      <t>ホショウショ</t>
    </rPh>
    <rPh sb="4" eb="6">
      <t>トリセツ</t>
    </rPh>
    <rPh sb="12" eb="13">
      <t>モ</t>
    </rPh>
    <rPh sb="14" eb="15">
      <t>ダ</t>
    </rPh>
    <phoneticPr fontId="13"/>
  </si>
  <si>
    <t>売れたら伴さん連絡する</t>
    <rPh sb="0" eb="1">
      <t>ウ</t>
    </rPh>
    <rPh sb="4" eb="5">
      <t>バン</t>
    </rPh>
    <rPh sb="7" eb="9">
      <t>レンラク</t>
    </rPh>
    <phoneticPr fontId="13"/>
  </si>
  <si>
    <t>27-365</t>
  </si>
  <si>
    <t>名古屋 326 ぬ 6083</t>
    <rPh sb="0" eb="3">
      <t>ナゴヤ</t>
    </rPh>
    <phoneticPr fontId="13"/>
  </si>
  <si>
    <t>ﾍﾞｰｼﾞｭ</t>
    <phoneticPr fontId="13"/>
  </si>
  <si>
    <t>WMWXY520902N65284</t>
    <phoneticPr fontId="13"/>
  </si>
  <si>
    <t>ﾈｯﾂﾄﾖﾀ中部株式会社</t>
    <rPh sb="6" eb="8">
      <t>チュウブ</t>
    </rPh>
    <rPh sb="8" eb="12">
      <t>カブシキガイシャ</t>
    </rPh>
    <phoneticPr fontId="13"/>
  </si>
  <si>
    <t>27-366</t>
  </si>
  <si>
    <t>BMWﾐﾆ ｸｰﾊﾟｰSDｸﾛｽｵｰﾊﾞｰ</t>
    <phoneticPr fontId="13"/>
  </si>
  <si>
    <t>世田谷 399 せ 7593</t>
    <rPh sb="0" eb="3">
      <t>セタガヤ</t>
    </rPh>
    <phoneticPr fontId="13"/>
  </si>
  <si>
    <t>WMWYU520403B71818</t>
    <phoneticPr fontId="13"/>
  </si>
  <si>
    <t>ｹｰｴﾑﾄﾚｰﾃﾞｨﾝｸﾞ株式会社</t>
    <rPh sb="13" eb="17">
      <t>カブシキガイシャ</t>
    </rPh>
    <phoneticPr fontId="13"/>
  </si>
  <si>
    <t>保証書 取説 ｷｰﾚｽ ﾛｯｸﾅｯﾄ ﾜﾝｵｰﾅｰ</t>
    <rPh sb="0" eb="3">
      <t>ホショウショ</t>
    </rPh>
    <rPh sb="4" eb="6">
      <t>トリセツ</t>
    </rPh>
    <phoneticPr fontId="13"/>
  </si>
  <si>
    <t>服部 修</t>
    <rPh sb="0" eb="2">
      <t>ハットリ</t>
    </rPh>
    <rPh sb="3" eb="4">
      <t>シュウ</t>
    </rPh>
    <phoneticPr fontId="13"/>
  </si>
  <si>
    <t>27-367</t>
  </si>
  <si>
    <t>7/5/21</t>
    <phoneticPr fontId="13"/>
  </si>
  <si>
    <t>京都 536 つ 595</t>
    <rPh sb="0" eb="2">
      <t>キョウト</t>
    </rPh>
    <phoneticPr fontId="13"/>
  </si>
  <si>
    <t>保証書 整備手帳 取説 Sｷｰ</t>
  </si>
  <si>
    <t>501 も 155</t>
    <phoneticPr fontId="13"/>
  </si>
  <si>
    <t>ZFA3120000JA26172</t>
    <phoneticPr fontId="13"/>
  </si>
  <si>
    <t>株式会社ﾊｲﾎﾟｲﾝﾄ</t>
    <rPh sb="0" eb="4">
      <t>カブシキガイシャ</t>
    </rPh>
    <phoneticPr fontId="13"/>
  </si>
  <si>
    <t>27-368</t>
  </si>
  <si>
    <t>30/4</t>
    <phoneticPr fontId="13"/>
  </si>
  <si>
    <t>ｱｳﾃﾞｨRS3 ｾﾀﾞﾝﾍﾞｰｽｸﾞﾚｰﾄﾞ</t>
    <phoneticPr fontId="13"/>
  </si>
  <si>
    <t>市川 399 さ 7295</t>
    <rPh sb="0" eb="2">
      <t>イチカワ</t>
    </rPh>
    <phoneticPr fontId="13"/>
  </si>
  <si>
    <t>WUAZZZ8V4H1900894</t>
    <phoneticPr fontId="13"/>
  </si>
  <si>
    <t>6/21</t>
    <phoneticPr fontId="13"/>
  </si>
  <si>
    <t>車内鍵1つ</t>
    <rPh sb="0" eb="2">
      <t>シャナイ</t>
    </rPh>
    <rPh sb="2" eb="3">
      <t>カギ</t>
    </rPh>
    <phoneticPr fontId="13"/>
  </si>
  <si>
    <t>27-369</t>
  </si>
  <si>
    <t>BMWﾐﾆ ｸｰﾊﾟｰSｸﾗﾌﾞﾏﾝ</t>
    <phoneticPr fontId="13"/>
  </si>
  <si>
    <t>倉敷 399 す 3651</t>
    <rPh sb="0" eb="2">
      <t>クラシキ</t>
    </rPh>
    <phoneticPr fontId="13"/>
  </si>
  <si>
    <t>WMWLU320702G08179</t>
    <phoneticPr fontId="13"/>
  </si>
  <si>
    <t>ﾌﾚｯｸｽｵｰﾄ株式会社</t>
    <rPh sb="8" eb="12">
      <t>カブシキガイシャ</t>
    </rPh>
    <phoneticPr fontId="13"/>
  </si>
  <si>
    <t>6/27</t>
    <phoneticPr fontId="13"/>
  </si>
  <si>
    <t>保証書 取説 ｷｰﾚｽ(車内)ﾜﾝｵｰﾅｰ</t>
    <rPh sb="0" eb="3">
      <t>ホショウショ</t>
    </rPh>
    <rPh sb="4" eb="6">
      <t>トリセツ</t>
    </rPh>
    <rPh sb="12" eb="14">
      <t>シャナイ</t>
    </rPh>
    <phoneticPr fontId="13"/>
  </si>
  <si>
    <t>27-370</t>
  </si>
  <si>
    <t>8/2/13</t>
    <phoneticPr fontId="13"/>
  </si>
  <si>
    <t>横浜 305 ら 8596</t>
    <rPh sb="0" eb="2">
      <t>ヨコハマ</t>
    </rPh>
    <phoneticPr fontId="13"/>
  </si>
  <si>
    <t>301 に 4005</t>
    <phoneticPr fontId="13"/>
  </si>
  <si>
    <t>WMWXU920X0TN55148</t>
    <phoneticPr fontId="13"/>
  </si>
  <si>
    <t>株式会社ﾃﾞｽﾃｨｰﾉ</t>
    <rPh sb="0" eb="4">
      <t>カブシキガイシャ</t>
    </rPh>
    <phoneticPr fontId="13"/>
  </si>
  <si>
    <t>6/28</t>
    <phoneticPr fontId="13"/>
  </si>
  <si>
    <t>取説 ｷｰﾚｽ</t>
    <rPh sb="0" eb="2">
      <t>トリセツ</t>
    </rPh>
    <phoneticPr fontId="13"/>
  </si>
  <si>
    <t>27-371</t>
  </si>
  <si>
    <t>ｱｳﾃﾞｨ S1 4WD</t>
    <phoneticPr fontId="13"/>
  </si>
  <si>
    <t>相模 399 ま 679</t>
    <rPh sb="0" eb="2">
      <t>サガミ</t>
    </rPh>
    <phoneticPr fontId="13"/>
  </si>
  <si>
    <t>ｵﾘｯｸｽ厚木(ｱｲｵｰｸ)</t>
    <rPh sb="5" eb="7">
      <t>アツギ</t>
    </rPh>
    <phoneticPr fontId="13"/>
  </si>
  <si>
    <t>黄色</t>
    <rPh sb="0" eb="2">
      <t>キイロ</t>
    </rPh>
    <phoneticPr fontId="13"/>
  </si>
  <si>
    <t>WAUZZZ8X5GB049399</t>
    <phoneticPr fontId="13"/>
  </si>
  <si>
    <t>7/4</t>
    <phoneticPr fontId="13"/>
  </si>
  <si>
    <t>27-372</t>
  </si>
  <si>
    <t>ｱｳﾃﾞｨS4ｱﾊﾞﾝﾄ ﾍﾞｰｽｸﾞﾚｰﾄﾞ</t>
    <phoneticPr fontId="13"/>
  </si>
  <si>
    <t>7/4/4</t>
    <phoneticPr fontId="13"/>
  </si>
  <si>
    <t>つくば 300 や 9901</t>
    <phoneticPr fontId="13"/>
  </si>
  <si>
    <t>301 に 4006</t>
    <phoneticPr fontId="13"/>
  </si>
  <si>
    <t>WAUZZZF41JA025414</t>
    <phoneticPr fontId="13"/>
  </si>
  <si>
    <t>高野 雄一</t>
    <rPh sb="0" eb="2">
      <t>タカノ</t>
    </rPh>
    <rPh sb="3" eb="5">
      <t>ユウイチ</t>
    </rPh>
    <phoneticPr fontId="13"/>
  </si>
  <si>
    <t>島 一達</t>
    <rPh sb="0" eb="1">
      <t>シマ</t>
    </rPh>
    <rPh sb="2" eb="3">
      <t>イチ</t>
    </rPh>
    <rPh sb="3" eb="4">
      <t>タツ</t>
    </rPh>
    <phoneticPr fontId="13"/>
  </si>
  <si>
    <t>27-373</t>
  </si>
  <si>
    <t>ｽｰﾌﾟﾗ RZ</t>
    <phoneticPr fontId="13"/>
  </si>
  <si>
    <t>神戸 32M ね 9999</t>
    <rPh sb="0" eb="2">
      <t>コウベ</t>
    </rPh>
    <phoneticPr fontId="13"/>
  </si>
  <si>
    <t>301 に 6301</t>
    <phoneticPr fontId="13"/>
  </si>
  <si>
    <t>A236884</t>
    <phoneticPr fontId="13"/>
  </si>
  <si>
    <t>その他</t>
    <rPh sb="2" eb="3">
      <t>タ</t>
    </rPh>
    <phoneticPr fontId="13"/>
  </si>
  <si>
    <t>DB42-0030705</t>
    <phoneticPr fontId="13"/>
  </si>
  <si>
    <t>8/19</t>
    <phoneticPr fontId="13"/>
  </si>
  <si>
    <t>27-374</t>
  </si>
  <si>
    <t>30/</t>
    <phoneticPr fontId="13"/>
  </si>
  <si>
    <t>ｱﾊﾞﾙﾄ595 ｺﾍﾟﾝﾃｨﾂｨｵｰﾈ</t>
    <phoneticPr fontId="13"/>
  </si>
  <si>
    <t>7/11/28</t>
    <phoneticPr fontId="13"/>
  </si>
  <si>
    <t>宮﨑 501 な 1358</t>
    <rPh sb="0" eb="2">
      <t>ミヤザキ</t>
    </rPh>
    <phoneticPr fontId="13"/>
  </si>
  <si>
    <t>501 も 852</t>
    <phoneticPr fontId="13"/>
  </si>
  <si>
    <t>ZFA3120000J932469</t>
    <phoneticPr fontId="13"/>
  </si>
  <si>
    <t>7/12</t>
    <phoneticPr fontId="13"/>
  </si>
  <si>
    <t>27-375</t>
  </si>
  <si>
    <t>31/1</t>
    <phoneticPr fontId="13"/>
  </si>
  <si>
    <t>BMWﾐﾆｸｰﾊﾟｰ ｶﾞﾝﾃﾞｨED</t>
    <phoneticPr fontId="13"/>
  </si>
  <si>
    <t>8/1</t>
    <phoneticPr fontId="13"/>
  </si>
  <si>
    <t>京都 341 と 1206</t>
    <rPh sb="0" eb="2">
      <t>キョウト</t>
    </rPh>
    <phoneticPr fontId="13"/>
  </si>
  <si>
    <t>301 に 5251</t>
    <phoneticPr fontId="13"/>
  </si>
  <si>
    <t>WMWXR32060TL82369</t>
    <phoneticPr fontId="13"/>
  </si>
  <si>
    <t>株式会社ﾌｧｰﾚﾝ古都</t>
    <rPh sb="0" eb="4">
      <t>カブシキガイシャ</t>
    </rPh>
    <rPh sb="9" eb="11">
      <t>コト</t>
    </rPh>
    <phoneticPr fontId="13"/>
  </si>
  <si>
    <t>7/18</t>
    <phoneticPr fontId="13"/>
  </si>
  <si>
    <t>27-376</t>
  </si>
  <si>
    <t>ﾎﾟﾙｼｪ ﾊﾟﾅﾒｰﾗ GTS</t>
    <phoneticPr fontId="13"/>
  </si>
  <si>
    <t>7/12/7</t>
    <phoneticPr fontId="13"/>
  </si>
  <si>
    <t>北九州 330 そ 3259</t>
    <rPh sb="0" eb="3">
      <t>キタキュウシュウ</t>
    </rPh>
    <phoneticPr fontId="13"/>
  </si>
  <si>
    <t>301 に 5248</t>
    <phoneticPr fontId="13"/>
  </si>
  <si>
    <t>WP0ZZZ97ZEL080705</t>
    <phoneticPr fontId="13"/>
  </si>
  <si>
    <t>安倍 敬治</t>
    <rPh sb="0" eb="2">
      <t>アベ</t>
    </rPh>
    <rPh sb="3" eb="5">
      <t>ケイジ</t>
    </rPh>
    <phoneticPr fontId="13"/>
  </si>
  <si>
    <t>7/19</t>
    <phoneticPr fontId="13"/>
  </si>
  <si>
    <t>地図SD（車内）保証書 ｷｰﾚｽ ﾅﾋﾞ取説</t>
    <rPh sb="0" eb="2">
      <t>チズ</t>
    </rPh>
    <rPh sb="5" eb="7">
      <t>シャナイ</t>
    </rPh>
    <rPh sb="8" eb="11">
      <t>ホショウショ</t>
    </rPh>
    <rPh sb="20" eb="22">
      <t>トリセツ</t>
    </rPh>
    <phoneticPr fontId="13"/>
  </si>
  <si>
    <t>27-377</t>
  </si>
  <si>
    <t>6/11/23</t>
    <phoneticPr fontId="13"/>
  </si>
  <si>
    <t>神戸 562 む 32</t>
    <rPh sb="0" eb="2">
      <t>コウベ</t>
    </rPh>
    <phoneticPr fontId="13"/>
  </si>
  <si>
    <t>ZFABF13H8NJF45891</t>
    <phoneticPr fontId="13"/>
  </si>
  <si>
    <t>7/21</t>
    <phoneticPr fontId="13"/>
  </si>
  <si>
    <t>27-378</t>
  </si>
  <si>
    <t>7/9/29</t>
    <phoneticPr fontId="13"/>
  </si>
  <si>
    <t>神戸 33P さ 22</t>
    <rPh sb="0" eb="2">
      <t>コウベ</t>
    </rPh>
    <phoneticPr fontId="13"/>
  </si>
  <si>
    <t>301 に 5252</t>
    <phoneticPr fontId="13"/>
  </si>
  <si>
    <t>WMW52DK0002R49859</t>
    <phoneticPr fontId="13"/>
  </si>
  <si>
    <t>株式会社ｼｭﾃﾙﾝ神戸中央</t>
    <rPh sb="0" eb="4">
      <t>カブシキガイシャ</t>
    </rPh>
    <rPh sb="9" eb="11">
      <t>コウベ</t>
    </rPh>
    <rPh sb="11" eb="13">
      <t>チュウオウ</t>
    </rPh>
    <phoneticPr fontId="13"/>
  </si>
  <si>
    <t>7/25</t>
    <phoneticPr fontId="13"/>
  </si>
  <si>
    <t>27-379</t>
  </si>
  <si>
    <t>京都 302 ち 7201</t>
    <rPh sb="0" eb="2">
      <t>キョウト</t>
    </rPh>
    <phoneticPr fontId="13"/>
  </si>
  <si>
    <t>WMWYU520303D56006</t>
    <phoneticPr fontId="13"/>
  </si>
  <si>
    <t>株式会社服部ﾓｰﾀｰ商会</t>
    <rPh sb="0" eb="4">
      <t>カブシキガイシャ</t>
    </rPh>
    <rPh sb="4" eb="6">
      <t>ハットリ</t>
    </rPh>
    <rPh sb="10" eb="12">
      <t>ショウカイ</t>
    </rPh>
    <phoneticPr fontId="13"/>
  </si>
  <si>
    <t>27-380</t>
  </si>
  <si>
    <t>ｽﾏｰﾄ ﾌｫｰﾂ‐ｴﾚｸﾄﾘｯｸD BRABUS</t>
    <phoneticPr fontId="13"/>
  </si>
  <si>
    <t>富士山 541 す 1515</t>
    <rPh sb="0" eb="3">
      <t>フジサン</t>
    </rPh>
    <phoneticPr fontId="13"/>
  </si>
  <si>
    <t>WME4513922K744044</t>
    <phoneticPr fontId="13"/>
  </si>
  <si>
    <t>株式会社ﾈｸｽﾃｰｼﾞ</t>
    <phoneticPr fontId="13"/>
  </si>
  <si>
    <t>ｷｰﾚｽ(車内)保証書 取説 ﾜﾝｵｰﾅｰ</t>
    <rPh sb="8" eb="11">
      <t>ホショウショ</t>
    </rPh>
    <rPh sb="12" eb="14">
      <t>トリセツ</t>
    </rPh>
    <phoneticPr fontId="13"/>
  </si>
  <si>
    <t>ZIP大阪(ﾜﾝﾌﾟﾗ)</t>
    <rPh sb="3" eb="5">
      <t>オオサカ</t>
    </rPh>
    <phoneticPr fontId="13"/>
  </si>
  <si>
    <t>973(346)</t>
    <phoneticPr fontId="13"/>
  </si>
  <si>
    <t>27-381</t>
  </si>
  <si>
    <t>23/</t>
    <phoneticPr fontId="13"/>
  </si>
  <si>
    <t>ｼﾞｬｶﾞｰ XK ｺﾝﾊﾞｰﾁﾌﾞﾙ</t>
    <phoneticPr fontId="13"/>
  </si>
  <si>
    <t>島根 331 そ 520</t>
    <rPh sb="0" eb="2">
      <t>シマネ</t>
    </rPh>
    <phoneticPr fontId="13"/>
  </si>
  <si>
    <t>(有)ｵｰﾄｻﾛﾝﾜｲｽﾞ</t>
    <rPh sb="1" eb="2">
      <t>タモツ</t>
    </rPh>
    <phoneticPr fontId="13"/>
  </si>
  <si>
    <t>SAJKC46P0CLB45378</t>
    <phoneticPr fontId="13"/>
  </si>
  <si>
    <t>中島 孝晃</t>
    <rPh sb="0" eb="2">
      <t>ナカシマ</t>
    </rPh>
    <rPh sb="3" eb="5">
      <t>タカアキ</t>
    </rPh>
    <phoneticPr fontId="13"/>
  </si>
  <si>
    <t xml:space="preserve">整備手帳 保証書(ﾃﾞｨｰﾗｰ印なし)取説 </t>
    <rPh sb="0" eb="4">
      <t>セイビテチョウ</t>
    </rPh>
    <rPh sb="5" eb="8">
      <t>ホショウショ</t>
    </rPh>
    <rPh sb="15" eb="16">
      <t>イン</t>
    </rPh>
    <rPh sb="19" eb="21">
      <t>トリセツ</t>
    </rPh>
    <phoneticPr fontId="13"/>
  </si>
  <si>
    <t>抹消済</t>
    <rPh sb="2" eb="3">
      <t>ズ</t>
    </rPh>
    <phoneticPr fontId="13"/>
  </si>
  <si>
    <t>27-382</t>
  </si>
  <si>
    <t>MﾍﾞﾝﾂCLA ｼｭｰB4 CLA220SB</t>
    <phoneticPr fontId="13"/>
  </si>
  <si>
    <t>6/9/28</t>
    <phoneticPr fontId="13"/>
  </si>
  <si>
    <t>横浜 305 る 6392</t>
    <rPh sb="0" eb="2">
      <t>ヨコハマ</t>
    </rPh>
    <phoneticPr fontId="13"/>
  </si>
  <si>
    <t>WDD1179472N557889</t>
    <phoneticPr fontId="13"/>
  </si>
  <si>
    <t>有限会社 ｽﾍﾟｰｽﾌｧｸﾄﾘｰ</t>
    <rPh sb="0" eb="4">
      <t>ユウゲンガイシャ</t>
    </rPh>
    <phoneticPr fontId="13"/>
  </si>
  <si>
    <t>27-383</t>
  </si>
  <si>
    <t>24/7</t>
    <phoneticPr fontId="13"/>
  </si>
  <si>
    <t>ｺﾍﾟﾝ ｱｸﾃｨﾌﾞﾄｯﾌﾟ</t>
    <phoneticPr fontId="13"/>
  </si>
  <si>
    <t>7/8/2</t>
    <phoneticPr fontId="13"/>
  </si>
  <si>
    <t>福井 590 に 117</t>
    <rPh sb="0" eb="2">
      <t>フクイ</t>
    </rPh>
    <phoneticPr fontId="13"/>
  </si>
  <si>
    <t>581 や 8747</t>
    <phoneticPr fontId="13"/>
  </si>
  <si>
    <t>L880K-0058158</t>
    <phoneticPr fontId="13"/>
  </si>
  <si>
    <t>平瀬 俊行</t>
    <rPh sb="0" eb="2">
      <t>ヒラセ</t>
    </rPh>
    <rPh sb="3" eb="4">
      <t>シュン</t>
    </rPh>
    <rPh sb="4" eb="5">
      <t>ギョウ</t>
    </rPh>
    <phoneticPr fontId="13"/>
  </si>
  <si>
    <t>地図SD（車内）保証書 取説 ｽﾍﾟｱｷｰ</t>
    <rPh sb="0" eb="2">
      <t>チズ</t>
    </rPh>
    <rPh sb="5" eb="7">
      <t>シャナイ</t>
    </rPh>
    <rPh sb="8" eb="11">
      <t>ホショウショ</t>
    </rPh>
    <rPh sb="12" eb="14">
      <t>トリセツ</t>
    </rPh>
    <phoneticPr fontId="13"/>
  </si>
  <si>
    <t>27-384</t>
  </si>
  <si>
    <t>1/7</t>
    <phoneticPr fontId="13"/>
  </si>
  <si>
    <t>ﾌﾟｼﾞｮｰ508 GTﾌﾞﾙｰHDI</t>
    <phoneticPr fontId="13"/>
  </si>
  <si>
    <t>熊本 301 ま 6425</t>
    <rPh sb="0" eb="2">
      <t>クマモト</t>
    </rPh>
    <phoneticPr fontId="13"/>
  </si>
  <si>
    <t>VR3FHEHZRKY071142</t>
    <phoneticPr fontId="13"/>
  </si>
  <si>
    <t>株式会社WECARS</t>
    <rPh sb="0" eb="4">
      <t>カブシキガイシャ</t>
    </rPh>
    <phoneticPr fontId="13"/>
  </si>
  <si>
    <t>8/10</t>
    <phoneticPr fontId="13"/>
  </si>
  <si>
    <t>整備手帳 取説 ｷｰﾚｽ</t>
    <rPh sb="0" eb="4">
      <t>セイビテチョウ</t>
    </rPh>
    <rPh sb="5" eb="7">
      <t>トリセツ</t>
    </rPh>
    <phoneticPr fontId="13"/>
  </si>
  <si>
    <t>27-385</t>
  </si>
  <si>
    <t>BMWﾐﾆ ｸｰﾊﾟｰDｸﾛｽｵｰﾊﾞｰｵｰﾙ4</t>
    <phoneticPr fontId="13"/>
  </si>
  <si>
    <t>なにわ 39A と 5763</t>
    <phoneticPr fontId="13"/>
  </si>
  <si>
    <t>WMWYU120103E06295</t>
    <phoneticPr fontId="13"/>
  </si>
  <si>
    <t>27-386</t>
  </si>
  <si>
    <t>大阪 399 も 3721</t>
    <rPh sb="0" eb="2">
      <t>オオサカ</t>
    </rPh>
    <phoneticPr fontId="13"/>
  </si>
  <si>
    <t>WMWXR520602L01999</t>
    <phoneticPr fontId="13"/>
  </si>
  <si>
    <t>8/17</t>
    <phoneticPr fontId="13"/>
  </si>
  <si>
    <t>保証書 取説 ﾄﾞﾗﾚｺ取説 ｷｰﾚｽ</t>
    <rPh sb="0" eb="3">
      <t>ホショウショ</t>
    </rPh>
    <rPh sb="4" eb="6">
      <t>トリセツ</t>
    </rPh>
    <rPh sb="12" eb="14">
      <t>トリセツ</t>
    </rPh>
    <phoneticPr fontId="13"/>
  </si>
  <si>
    <t>27-387</t>
  </si>
  <si>
    <t>7/3/4</t>
    <phoneticPr fontId="13"/>
  </si>
  <si>
    <t>宮崎 300 ら 5105</t>
    <rPh sb="0" eb="2">
      <t>ミヤザキ</t>
    </rPh>
    <phoneticPr fontId="13"/>
  </si>
  <si>
    <t>保証書 取説 予備ｷｰ</t>
  </si>
  <si>
    <t>TAA南九州</t>
    <rPh sb="3" eb="4">
      <t>ミナミ</t>
    </rPh>
    <rPh sb="4" eb="6">
      <t>キュウシュウ</t>
    </rPh>
    <phoneticPr fontId="13"/>
  </si>
  <si>
    <t>WMWLN720402D35416</t>
    <phoneticPr fontId="13"/>
  </si>
  <si>
    <t>田中 浩</t>
    <rPh sb="0" eb="2">
      <t>タナカ</t>
    </rPh>
    <rPh sb="3" eb="4">
      <t>ヒロシ</t>
    </rPh>
    <phoneticPr fontId="13"/>
  </si>
  <si>
    <t>保証書 取説 ｷｰﾚｽ ﾄﾞﾗﾚｺﾏｲｸﾛSD</t>
    <rPh sb="0" eb="3">
      <t>ホショウショ</t>
    </rPh>
    <rPh sb="4" eb="6">
      <t>トリセツ</t>
    </rPh>
    <phoneticPr fontId="13"/>
  </si>
  <si>
    <t>27-388</t>
  </si>
  <si>
    <t>BMWﾐﾆ JCW</t>
    <phoneticPr fontId="13"/>
  </si>
  <si>
    <t>6/10/31</t>
    <phoneticPr fontId="13"/>
  </si>
  <si>
    <t>山口 331 に 7218</t>
    <rPh sb="0" eb="2">
      <t>ヤマグチ</t>
    </rPh>
    <phoneticPr fontId="13"/>
  </si>
  <si>
    <t>WMW72DH0802R14910</t>
    <phoneticPr fontId="13"/>
  </si>
  <si>
    <t>SMBCﾌｧｲﾅﾝｼｬﾙｻｰﾋﾞｽ株式会社</t>
    <phoneticPr fontId="13"/>
  </si>
  <si>
    <t>8/20</t>
    <phoneticPr fontId="13"/>
  </si>
  <si>
    <t>27-389</t>
  </si>
  <si>
    <t>31/4</t>
    <phoneticPr fontId="13"/>
  </si>
  <si>
    <t>ｼﾄﾛｴﾝG C4 ﾋﾟｶｿ</t>
    <phoneticPr fontId="13"/>
  </si>
  <si>
    <t>8/4</t>
    <phoneticPr fontId="13"/>
  </si>
  <si>
    <t>熊本 370 ら 358</t>
    <rPh sb="0" eb="2">
      <t>クマモト</t>
    </rPh>
    <phoneticPr fontId="13"/>
  </si>
  <si>
    <t>301 に 5906</t>
    <phoneticPr fontId="13"/>
  </si>
  <si>
    <t>VF73AAHXTKJ567533</t>
    <phoneticPr fontId="13"/>
  </si>
  <si>
    <t>株式会社ﾎﾝﾀﾞﾓﾋﾞﾘﾃｨ九州</t>
    <rPh sb="0" eb="4">
      <t>カブシキガイシャ</t>
    </rPh>
    <rPh sb="14" eb="16">
      <t>キュウシュウ</t>
    </rPh>
    <phoneticPr fontId="13"/>
  </si>
  <si>
    <t>取説 ﾅﾋﾞ取説 ｷｰﾚｽ（車内）</t>
    <rPh sb="0" eb="2">
      <t>トリセツ</t>
    </rPh>
    <rPh sb="6" eb="8">
      <t>トリセツ</t>
    </rPh>
    <rPh sb="14" eb="16">
      <t>シャナイ</t>
    </rPh>
    <phoneticPr fontId="13"/>
  </si>
  <si>
    <t>神吉 知弘</t>
    <rPh sb="0" eb="2">
      <t>カンキ</t>
    </rPh>
    <rPh sb="3" eb="5">
      <t>チヒロ</t>
    </rPh>
    <phoneticPr fontId="13"/>
  </si>
  <si>
    <t>27-390</t>
  </si>
  <si>
    <t>1/10</t>
    <phoneticPr fontId="13"/>
  </si>
  <si>
    <t>ｱﾙﾌｧｰﾄﾞ 2.5S</t>
    <phoneticPr fontId="13"/>
  </si>
  <si>
    <t>相模 330 た 7774</t>
    <rPh sb="0" eb="1">
      <t>ソウ</t>
    </rPh>
    <phoneticPr fontId="13"/>
  </si>
  <si>
    <t>34L は 5</t>
    <phoneticPr fontId="13"/>
  </si>
  <si>
    <t>A242836</t>
    <phoneticPr fontId="13"/>
  </si>
  <si>
    <t>AGH30-0286760</t>
    <phoneticPr fontId="13"/>
  </si>
  <si>
    <t>ｲｵﾝﾌﾟﾛﾀﾞｸﾄﾌｧｲﾅﾝｽ株式会社</t>
    <rPh sb="16" eb="20">
      <t>カブシキガイシャ</t>
    </rPh>
    <phoneticPr fontId="13"/>
  </si>
  <si>
    <t>9/9</t>
    <phoneticPr fontId="13"/>
  </si>
  <si>
    <t>27-391</t>
  </si>
  <si>
    <t>BMWﾐﾆ ｼﾞｮﾝｸｰﾊﾟｰﾜｰｸｽ ｸﾗﾌﾞﾏﾝ</t>
    <phoneticPr fontId="13"/>
  </si>
  <si>
    <t>札幌 331 ね 5432</t>
    <rPh sb="0" eb="2">
      <t>サッポロ</t>
    </rPh>
    <phoneticPr fontId="13"/>
  </si>
  <si>
    <t>保証書  ｽﾏｰﾄｷｰ</t>
  </si>
  <si>
    <t>WMWLV920802H71116</t>
    <phoneticPr fontId="13"/>
  </si>
  <si>
    <t>株式会社Super Fast Action</t>
    <rPh sb="0" eb="4">
      <t>カブシキガイシャ</t>
    </rPh>
    <phoneticPr fontId="13"/>
  </si>
  <si>
    <t>8/26</t>
    <phoneticPr fontId="13"/>
  </si>
  <si>
    <t>27-392</t>
  </si>
  <si>
    <t>4/3</t>
    <phoneticPr fontId="13"/>
  </si>
  <si>
    <t>BMWﾐﾆ ｸｰﾊﾟｰDﾌﾞﾘｯｸﾚｰﾝE</t>
    <phoneticPr fontId="13"/>
  </si>
  <si>
    <t>大阪 331 め 3855</t>
    <rPh sb="0" eb="2">
      <t>オオサカ</t>
    </rPh>
    <phoneticPr fontId="13"/>
  </si>
  <si>
    <t>301 に 6709</t>
    <phoneticPr fontId="13"/>
  </si>
  <si>
    <t>WMW12DV0302S07093</t>
    <phoneticPr fontId="13"/>
  </si>
  <si>
    <t>ﾋﾞｰｴﾑﾀﾞﾌﾞﾘｭｰｼﾞｬﾊﾟﾝﾌｧｲﾅﾝｽ株式会社</t>
    <rPh sb="24" eb="26">
      <t>カブシキ</t>
    </rPh>
    <rPh sb="26" eb="28">
      <t>カイシャ</t>
    </rPh>
    <phoneticPr fontId="13"/>
  </si>
  <si>
    <t>8/30</t>
    <phoneticPr fontId="13"/>
  </si>
  <si>
    <t>27-393</t>
  </si>
  <si>
    <t>3/6</t>
    <phoneticPr fontId="13"/>
  </si>
  <si>
    <t>BMW3ｼﾘｰｽﾞ 320D XDﾂｰﾘﾝﾝｸﾞMｽﾎﾟｰﾂ</t>
    <phoneticPr fontId="13"/>
  </si>
  <si>
    <t>福井 330 す 3347</t>
    <rPh sb="0" eb="2">
      <t>フクイ</t>
    </rPh>
    <phoneticPr fontId="13"/>
  </si>
  <si>
    <t>301 に 6711</t>
    <phoneticPr fontId="13"/>
  </si>
  <si>
    <t>WBA6L72080FL32642</t>
    <phoneticPr fontId="13"/>
  </si>
  <si>
    <t>中山 正祥</t>
    <rPh sb="0" eb="2">
      <t>ナカヤマ</t>
    </rPh>
    <rPh sb="3" eb="4">
      <t>マサ</t>
    </rPh>
    <rPh sb="4" eb="5">
      <t>ショウ</t>
    </rPh>
    <phoneticPr fontId="13"/>
  </si>
  <si>
    <t>9/5</t>
    <phoneticPr fontId="13"/>
  </si>
  <si>
    <t>27-394</t>
  </si>
  <si>
    <t>6/11/26</t>
    <phoneticPr fontId="13"/>
  </si>
  <si>
    <t>豊田 333 の 78</t>
    <rPh sb="0" eb="2">
      <t>トヨタ</t>
    </rPh>
    <phoneticPr fontId="13"/>
  </si>
  <si>
    <t>WMWXN920X02H65965</t>
    <phoneticPr fontId="13"/>
  </si>
  <si>
    <t>保証書(中古車保証書)取説 ｷｰﾚｽ</t>
    <rPh sb="0" eb="3">
      <t>ホショウショ</t>
    </rPh>
    <rPh sb="4" eb="7">
      <t>チュウコシャ</t>
    </rPh>
    <rPh sb="7" eb="10">
      <t>ホショウショ</t>
    </rPh>
    <rPh sb="11" eb="13">
      <t>トリセツ</t>
    </rPh>
    <phoneticPr fontId="13"/>
  </si>
  <si>
    <t>27-395</t>
  </si>
  <si>
    <t>23/12</t>
    <phoneticPr fontId="13"/>
  </si>
  <si>
    <t>ｼﾞﾑﾆｰ ｸﾛｽｱﾄﾞﾍﾞﾝﾁｬｰXC</t>
    <phoneticPr fontId="13"/>
  </si>
  <si>
    <t>広島 580 み 4481</t>
    <rPh sb="0" eb="2">
      <t>ヒロシマ</t>
    </rPh>
    <phoneticPr fontId="13"/>
  </si>
  <si>
    <t>581 ゆ 1138</t>
    <phoneticPr fontId="13"/>
  </si>
  <si>
    <t>JB23W-668042</t>
    <phoneticPr fontId="13"/>
  </si>
  <si>
    <t>US神戸ﾜﾝｸﾘ×なら抹消</t>
    <rPh sb="2" eb="4">
      <t>コウベ</t>
    </rPh>
    <rPh sb="11" eb="13">
      <t>マッショウ</t>
    </rPh>
    <phoneticPr fontId="13"/>
  </si>
  <si>
    <t>27-396</t>
  </si>
  <si>
    <t>ﾊｲｾﾞｯﾄｶｰｺﾞ ｸﾙｰｽﾞSA3</t>
    <phoneticPr fontId="13"/>
  </si>
  <si>
    <t>7/1/25</t>
    <phoneticPr fontId="13"/>
  </si>
  <si>
    <t>三重 480 ね 6563</t>
    <rPh sb="0" eb="2">
      <t>ミエ</t>
    </rPh>
    <phoneticPr fontId="13"/>
  </si>
  <si>
    <t>保証書 取説 ﾅﾋﾞ取説</t>
  </si>
  <si>
    <t>480 ぬ 3825</t>
    <phoneticPr fontId="13"/>
  </si>
  <si>
    <t>S321V-0482335</t>
    <phoneticPr fontId="13"/>
  </si>
  <si>
    <t>株式会社ﾀﾞｲﾊﾂ三重</t>
    <rPh sb="0" eb="4">
      <t>カブシキガイシャ</t>
    </rPh>
    <rPh sb="9" eb="11">
      <t>ミエ</t>
    </rPh>
    <phoneticPr fontId="13"/>
  </si>
  <si>
    <t>27-397</t>
  </si>
  <si>
    <t>ﾊｽﾗｰ G</t>
    <phoneticPr fontId="13"/>
  </si>
  <si>
    <t>名古屋 597 ろ 9471</t>
    <rPh sb="0" eb="3">
      <t>ナゴヤ</t>
    </rPh>
    <phoneticPr fontId="13"/>
  </si>
  <si>
    <t>予定</t>
    <phoneticPr fontId="13"/>
  </si>
  <si>
    <t>MR41S-231266</t>
    <phoneticPr fontId="13"/>
  </si>
  <si>
    <t>株式会社JCM名古屋支店</t>
    <rPh sb="0" eb="4">
      <t>カブシキガイシャ</t>
    </rPh>
    <rPh sb="7" eb="12">
      <t>ナゴヤシテン</t>
    </rPh>
    <phoneticPr fontId="13"/>
  </si>
  <si>
    <t>27-398</t>
  </si>
  <si>
    <t>ｱｳﾃﾞｨA5ｽﾎﾟｰﾂﾊﾞｯｸ2.0TFSI</t>
    <phoneticPr fontId="13"/>
  </si>
  <si>
    <t>市川 399 さ 7817</t>
    <rPh sb="0" eb="2">
      <t>イチカワ</t>
    </rPh>
    <phoneticPr fontId="13"/>
  </si>
  <si>
    <t>WAUZZZF56JA022355</t>
    <phoneticPr fontId="13"/>
  </si>
  <si>
    <t>9/14</t>
    <phoneticPr fontId="13"/>
  </si>
  <si>
    <t>佐藤 健一</t>
    <rPh sb="0" eb="2">
      <t>サトウ</t>
    </rPh>
    <rPh sb="3" eb="5">
      <t>ケンイチ</t>
    </rPh>
    <phoneticPr fontId="13"/>
  </si>
  <si>
    <t>27-399</t>
  </si>
  <si>
    <t>BMWﾐﾆ ｸｰﾊﾟｰD</t>
    <phoneticPr fontId="13"/>
  </si>
  <si>
    <t>7/10</t>
    <phoneticPr fontId="13"/>
  </si>
  <si>
    <t>広島 346 は 1007</t>
    <rPh sb="0" eb="2">
      <t>ヒロシマ</t>
    </rPh>
    <phoneticPr fontId="13"/>
  </si>
  <si>
    <t>301 に 7250</t>
    <phoneticPr fontId="13"/>
  </si>
  <si>
    <t>WMWXY320602N38029</t>
    <phoneticPr fontId="13"/>
  </si>
  <si>
    <t>ﾈｯﾂﾄﾖﾀ広島株式会社</t>
    <rPh sb="6" eb="8">
      <t>ヒロシマ</t>
    </rPh>
    <rPh sb="8" eb="12">
      <t>カブシキガイシャ</t>
    </rPh>
    <phoneticPr fontId="13"/>
  </si>
  <si>
    <t>27-400</t>
  </si>
  <si>
    <t>ｴﾌﾞﾘｲ ｼﾞｮｲﾝﾀｰﾎﾞ</t>
    <phoneticPr fontId="13"/>
  </si>
  <si>
    <t>8/8/5</t>
    <phoneticPr fontId="13"/>
  </si>
  <si>
    <t>名古屋 480 め 1591</t>
    <rPh sb="0" eb="3">
      <t>ナゴヤ</t>
    </rPh>
    <phoneticPr fontId="13"/>
  </si>
  <si>
    <t>480 ぬ 3764</t>
    <phoneticPr fontId="13"/>
  </si>
  <si>
    <t>DA17V-883486</t>
    <phoneticPr fontId="13"/>
  </si>
  <si>
    <t>ﾄﾞﾝ ﾘﾔﾅｱﾗﾁ ｼﾞｬﾅｶ</t>
    <phoneticPr fontId="13"/>
  </si>
  <si>
    <t>27-401</t>
  </si>
  <si>
    <t>3/9</t>
    <phoneticPr fontId="13"/>
  </si>
  <si>
    <t>N-BOX ｶｽﾀﾑL</t>
    <phoneticPr fontId="13"/>
  </si>
  <si>
    <t>和泉 583 こ 5301</t>
    <rPh sb="0" eb="2">
      <t>イズミ</t>
    </rPh>
    <phoneticPr fontId="13"/>
  </si>
  <si>
    <t>JF3-5075672</t>
    <phoneticPr fontId="13"/>
  </si>
  <si>
    <t>株式会社ﾎﾝﾀﾞ泉州販売</t>
    <rPh sb="0" eb="4">
      <t>カブシキガイシャ</t>
    </rPh>
    <rPh sb="8" eb="12">
      <t>センシュウハンバイ</t>
    </rPh>
    <phoneticPr fontId="13"/>
  </si>
  <si>
    <t>保証書 取説 ﾅﾋﾞ取説 ｷｰﾚｽ ｴﾝﾀﾒＳＤ</t>
    <rPh sb="0" eb="3">
      <t>ホショウショ</t>
    </rPh>
    <rPh sb="4" eb="6">
      <t>トリセツ</t>
    </rPh>
    <rPh sb="10" eb="12">
      <t>トリセツ</t>
    </rPh>
    <phoneticPr fontId="13"/>
  </si>
  <si>
    <t>27-402</t>
  </si>
  <si>
    <t>ｱﾊﾞﾙﾄ500e</t>
    <phoneticPr fontId="13"/>
  </si>
  <si>
    <t>姫路 501 め 4170</t>
    <rPh sb="0" eb="2">
      <t>ヒメジ</t>
    </rPh>
    <phoneticPr fontId="13"/>
  </si>
  <si>
    <t>501 め 4170</t>
    <phoneticPr fontId="13"/>
  </si>
  <si>
    <t>新車</t>
    <rPh sb="0" eb="2">
      <t>シンシャ</t>
    </rPh>
    <phoneticPr fontId="13"/>
  </si>
  <si>
    <t>ZEAEFA265RX181491</t>
    <phoneticPr fontId="13"/>
  </si>
  <si>
    <t>有限会社ティーズクラブ</t>
    <rPh sb="0" eb="4">
      <t>ユウゲンガイシャ</t>
    </rPh>
    <phoneticPr fontId="13"/>
  </si>
  <si>
    <t>9/17</t>
    <phoneticPr fontId="13"/>
  </si>
  <si>
    <t>27-403</t>
  </si>
  <si>
    <t>7/9/18</t>
    <phoneticPr fontId="13"/>
  </si>
  <si>
    <t>神戸 376 な 320</t>
    <rPh sb="0" eb="2">
      <t>コウベ</t>
    </rPh>
    <phoneticPr fontId="13"/>
  </si>
  <si>
    <t>301 に 8034</t>
    <phoneticPr fontId="13"/>
  </si>
  <si>
    <t>WMWXR92070TP20400</t>
    <phoneticPr fontId="13"/>
  </si>
  <si>
    <t>有限会社ﾃｨｴﾑﾒﾃﾞｨｶﾙｻｰﾋﾞｽ</t>
    <rPh sb="0" eb="4">
      <t>ユウゲンガイシャ</t>
    </rPh>
    <phoneticPr fontId="13"/>
  </si>
  <si>
    <t>9/29</t>
    <phoneticPr fontId="13"/>
  </si>
  <si>
    <t>27-404</t>
  </si>
  <si>
    <t>7/2/16</t>
    <phoneticPr fontId="13"/>
  </si>
  <si>
    <t>岡山 331 た 1032</t>
    <rPh sb="0" eb="2">
      <t>オカヤマ</t>
    </rPh>
    <phoneticPr fontId="13"/>
  </si>
  <si>
    <t>WMWXR920702M32043</t>
    <phoneticPr fontId="13"/>
  </si>
  <si>
    <t>27-405</t>
  </si>
  <si>
    <t>16</t>
  </si>
  <si>
    <t>ﾃﾞｨｽｶﾊﾞﾘｰ</t>
  </si>
  <si>
    <t>姫路　335　ほ　8080</t>
  </si>
  <si>
    <t>小野</t>
  </si>
  <si>
    <t>SALLTAM34A866381</t>
  </si>
  <si>
    <t>小野　洋</t>
  </si>
  <si>
    <t>27-406</t>
  </si>
  <si>
    <t>14</t>
  </si>
  <si>
    <t>ｽﾊﾞﾙ　ｲﾝﾌﾟﾚｯｻ</t>
  </si>
  <si>
    <t>神戸　302　や　9872</t>
  </si>
  <si>
    <t>稲井</t>
  </si>
  <si>
    <t>CDB-013755</t>
  </si>
  <si>
    <t>稲井　光一</t>
  </si>
  <si>
    <t>27-407</t>
  </si>
  <si>
    <t>5</t>
  </si>
  <si>
    <t>ﾊﾟｼﾞｪﾛ</t>
  </si>
  <si>
    <t>姫路　33　て　6063</t>
  </si>
  <si>
    <t>井上</t>
  </si>
  <si>
    <t>V46-4015544</t>
  </si>
  <si>
    <t>柳瀬　良之</t>
  </si>
  <si>
    <t>27-408</t>
  </si>
  <si>
    <t>19</t>
  </si>
  <si>
    <t>ﾊﾞﾓｽ</t>
    <phoneticPr fontId="13"/>
  </si>
  <si>
    <t>静岡　580　ぬ　5270</t>
  </si>
  <si>
    <t>赤堀</t>
  </si>
  <si>
    <t>HM1-2702294</t>
  </si>
  <si>
    <t>赤堀　圭太</t>
  </si>
  <si>
    <t>27-409</t>
  </si>
  <si>
    <t>BMWﾐﾆ　ｸｰﾊﾟｰ　ｸﾛｽｵｰﾊﾞｰ</t>
  </si>
  <si>
    <t>神戸　340　す　503</t>
  </si>
  <si>
    <t>ｾﾌﾞﾝｽﾀｰ</t>
  </si>
  <si>
    <t>WMWZB32040WL91244</t>
  </si>
  <si>
    <t>小山　良太</t>
  </si>
  <si>
    <t>27-410</t>
  </si>
  <si>
    <t>27</t>
  </si>
  <si>
    <t>BMWﾐﾆ　ｸﾛｽｵｰﾊﾞｰ</t>
  </si>
  <si>
    <t>大阪　337　ろ　5858</t>
  </si>
  <si>
    <t>小矢田</t>
    <rPh sb="0" eb="2">
      <t>コヤ</t>
    </rPh>
    <rPh sb="2" eb="3">
      <t>ダ</t>
    </rPh>
    <phoneticPr fontId="13"/>
  </si>
  <si>
    <t>WMWZB72000WT67398</t>
  </si>
  <si>
    <t>小矢田　亮</t>
  </si>
  <si>
    <t>27-411</t>
  </si>
  <si>
    <t>29</t>
  </si>
  <si>
    <t>神戸　303　て　8944</t>
  </si>
  <si>
    <t>井澤</t>
    <rPh sb="0" eb="2">
      <t>イザワ</t>
    </rPh>
    <phoneticPr fontId="13"/>
  </si>
  <si>
    <t>ｾﾌﾞﾝｽﾀｰ東灘</t>
    <rPh sb="7" eb="9">
      <t>ヒガシナダ</t>
    </rPh>
    <phoneticPr fontId="13"/>
  </si>
  <si>
    <t>WMWXM520X02D00792</t>
  </si>
  <si>
    <t>株式会社　ｾﾌﾞﾝｽﾀｰ</t>
  </si>
  <si>
    <t>27-412</t>
  </si>
  <si>
    <t>20</t>
  </si>
  <si>
    <t>姫路 530 な 3746</t>
  </si>
  <si>
    <t>向井</t>
  </si>
  <si>
    <t>WMWMF32090TW20369</t>
  </si>
  <si>
    <t>向井 正行</t>
  </si>
  <si>
    <t>27-413</t>
  </si>
  <si>
    <t>31/2</t>
  </si>
  <si>
    <t>姫路 533 ね 922</t>
  </si>
  <si>
    <t>宮本</t>
  </si>
  <si>
    <t>WMWMF32070TT28848</t>
  </si>
  <si>
    <t>宮本 みどり</t>
  </si>
  <si>
    <t>27-414</t>
  </si>
  <si>
    <t>28</t>
  </si>
  <si>
    <t>ｼﾄﾛｴﾝ DS5</t>
  </si>
  <si>
    <t>神戸 331 な 3775</t>
  </si>
  <si>
    <t>生駒</t>
    <rPh sb="0" eb="1">
      <t>イ</t>
    </rPh>
    <rPh sb="1" eb="2">
      <t>コマ</t>
    </rPh>
    <phoneticPr fontId="13"/>
  </si>
  <si>
    <t>MINI宝塚</t>
  </si>
  <si>
    <t>VF7KF5GZTGS500990</t>
    <phoneticPr fontId="13"/>
  </si>
  <si>
    <t>株式会社 ｾﾌﾞﾝｽﾀｰ</t>
  </si>
  <si>
    <t>27-415</t>
  </si>
  <si>
    <t>25</t>
  </si>
  <si>
    <t>BMWﾐﾆｼﾞｮﾝｸｰﾊﾟｰﾜｰｸｽ ｸﾛｽｵｰﾊﾞｰ</t>
  </si>
  <si>
    <t>神戸 330 ほ 9608</t>
  </si>
  <si>
    <t>間人</t>
    <phoneticPr fontId="13"/>
  </si>
  <si>
    <t>ｱﾌﾞｿﾘｭｰﾄﾌﾞﾗｯｸ</t>
  </si>
  <si>
    <t>WMWXD12050WN20243</t>
  </si>
  <si>
    <t>高嶋 修 （ﾋﾞｰｴﾑﾀﾞﾌﾞﾘｭｰ）</t>
  </si>
  <si>
    <t>27-416</t>
  </si>
  <si>
    <t>BMWﾐﾆｸﾗﾌﾞﾏﾝ</t>
  </si>
  <si>
    <t>神戸 530 な 3324</t>
  </si>
  <si>
    <t>石川</t>
    <rPh sb="0" eb="2">
      <t>イシカワ</t>
    </rPh>
    <phoneticPr fontId="13"/>
  </si>
  <si>
    <t>ﾀﾞｰｸｼﾙﾊﾞｰ</t>
  </si>
  <si>
    <t>WMWMM32050TN78353</t>
  </si>
  <si>
    <t>造田 彰</t>
  </si>
  <si>
    <t>不動車</t>
    <rPh sb="0" eb="2">
      <t>フドウ</t>
    </rPh>
    <rPh sb="2" eb="3">
      <t>クルマ</t>
    </rPh>
    <phoneticPr fontId="13"/>
  </si>
  <si>
    <t>27-417</t>
  </si>
  <si>
    <t>ｱﾊﾞﾙﾄ500 ﾊｰﾏﾝ</t>
  </si>
  <si>
    <t>和泉 599 や 2209</t>
  </si>
  <si>
    <t>業販</t>
    <rPh sb="0" eb="1">
      <t>ギョウ</t>
    </rPh>
    <rPh sb="1" eb="2">
      <t>ハン</t>
    </rPh>
    <phoneticPr fontId="13"/>
  </si>
  <si>
    <t>ﾘﾘｰｽ大阪狭山店</t>
  </si>
  <si>
    <t>ZFA31200000459520</t>
  </si>
  <si>
    <t>株式会社ｴｰﾋﾞｰｼｰｺｰﾎﾟﾚｰｼｮﾝ</t>
  </si>
  <si>
    <t>27-418</t>
  </si>
  <si>
    <t>32/12</t>
  </si>
  <si>
    <t>神戸 343 と 618</t>
  </si>
  <si>
    <t>奥住</t>
    <rPh sb="0" eb="1">
      <t>オク</t>
    </rPh>
    <rPh sb="1" eb="2">
      <t>スミ</t>
    </rPh>
    <phoneticPr fontId="13"/>
  </si>
  <si>
    <t>ｻﾝﾀﾞｰｸﾞﾚｰﾒﾀ</t>
  </si>
  <si>
    <t>WMWXS720202C47832</t>
  </si>
  <si>
    <t>長濱 信和</t>
  </si>
  <si>
    <t>27-419</t>
  </si>
  <si>
    <t>神戸 331 ぬ 3298</t>
  </si>
  <si>
    <t>ﾋﾟｭｱﾊﾞｰｶﾞﾝﾃﾞｨ</t>
  </si>
  <si>
    <t>WMWLN320302B33742</t>
  </si>
  <si>
    <t>加藤 知彰</t>
  </si>
  <si>
    <t>27-420</t>
  </si>
  <si>
    <t>神戸 353 ゆ 38</t>
  </si>
  <si>
    <t>杉永</t>
    <rPh sb="0" eb="2">
      <t>スギナガ</t>
    </rPh>
    <phoneticPr fontId="13"/>
  </si>
  <si>
    <t>ﾍﾟｯﾊﾟｰﾎﾜｲﾄ</t>
  </si>
  <si>
    <t>WMWXS520702C89126</t>
  </si>
  <si>
    <t>武 韻恩</t>
  </si>
  <si>
    <t>27-421</t>
  </si>
  <si>
    <t>BMWﾐﾆｸｰﾊﾟｰ ｸﾗﾌﾞﾏﾝ</t>
  </si>
  <si>
    <t>4/2</t>
  </si>
  <si>
    <t>神戸 373 て 7878</t>
  </si>
  <si>
    <t>生駒</t>
    <rPh sb="0" eb="2">
      <t>イコマ</t>
    </rPh>
    <phoneticPr fontId="13"/>
  </si>
  <si>
    <t>301 ち 2067</t>
  </si>
  <si>
    <t>MINI宝塚</t>
    <rPh sb="4" eb="6">
      <t>タカラヅカ</t>
    </rPh>
    <phoneticPr fontId="13"/>
  </si>
  <si>
    <t>ﾌﾞﾚｲｼﾝｸﾞﾚｯﾄﾞ</t>
  </si>
  <si>
    <t>WMWLN320302F15222</t>
  </si>
  <si>
    <t>白谷 克彦</t>
  </si>
  <si>
    <t>27-422</t>
  </si>
  <si>
    <t>姫路 530 み 865</t>
  </si>
  <si>
    <t>春木</t>
  </si>
  <si>
    <t>ﾁｮｺﾚｰﾄ</t>
  </si>
  <si>
    <t>WMWML32010TM94761</t>
  </si>
  <si>
    <t>春木 健太郎</t>
  </si>
  <si>
    <t>27-423</t>
  </si>
  <si>
    <t>神戸 346 ら 710</t>
  </si>
  <si>
    <t>横山</t>
  </si>
  <si>
    <t>ﾌﾞﾚｲｼﾞﾝｸﾞﾚｯﾄﾞ</t>
  </si>
  <si>
    <t>WMWXM52050T928430</t>
  </si>
  <si>
    <t>横山 大樹</t>
  </si>
  <si>
    <t>27-424</t>
  </si>
  <si>
    <t>2</t>
  </si>
  <si>
    <t>BMW218I ｸﾞﾗﾝｸｰﾍﾟ</t>
  </si>
  <si>
    <t>神戸 31L る 22</t>
  </si>
  <si>
    <t>市田</t>
    <rPh sb="0" eb="2">
      <t>イチダ</t>
    </rPh>
    <phoneticPr fontId="13"/>
  </si>
  <si>
    <t>31P さ 5</t>
  </si>
  <si>
    <t>WBA12AK0607F66379</t>
  </si>
  <si>
    <t>乾 晶浩</t>
  </si>
  <si>
    <t>27-425</t>
  </si>
  <si>
    <t>BMWﾐﾆｸｰﾊﾟｰS ｸﾗﾌﾞﾏﾝ</t>
  </si>
  <si>
    <t>神戸 375 ぬ 118</t>
  </si>
  <si>
    <t>WMWLN720502D34064</t>
  </si>
  <si>
    <t>井上 裕喜</t>
  </si>
  <si>
    <t>27-426</t>
  </si>
  <si>
    <t>BMWﾐﾆｸｰﾊﾟｰS ｸﾗﾌﾞﾏﾝ</t>
    <phoneticPr fontId="13"/>
  </si>
  <si>
    <t>神戸 331 な 6588</t>
    <rPh sb="0" eb="2">
      <t>コウベ</t>
    </rPh>
    <phoneticPr fontId="13"/>
  </si>
  <si>
    <t>ﾋﾟｭｱﾊﾞｰｶﾞﾝﾃﾞｨ</t>
    <phoneticPr fontId="13"/>
  </si>
  <si>
    <t>WMWLN720602D96718</t>
    <phoneticPr fontId="13"/>
  </si>
  <si>
    <t>株式会社 芙蓉ﾗｲﾌｻﾎﾟｰﾄ</t>
    <rPh sb="0" eb="4">
      <t>カブシキガイシャ</t>
    </rPh>
    <rPh sb="5" eb="6">
      <t>フ</t>
    </rPh>
    <rPh sb="6" eb="7">
      <t>ヨウ</t>
    </rPh>
    <phoneticPr fontId="13"/>
  </si>
  <si>
    <t>27-427</t>
  </si>
  <si>
    <t>3</t>
    <phoneticPr fontId="13"/>
  </si>
  <si>
    <t>NEW MINIｸｰﾊﾟｰS ｺﾝﾊﾞｰﾁﾌﾞﾙ</t>
    <phoneticPr fontId="13"/>
  </si>
  <si>
    <t>姫路 350 は   32</t>
    <rPh sb="0" eb="2">
      <t>ヒメジ</t>
    </rPh>
    <phoneticPr fontId="13"/>
  </si>
  <si>
    <t>350 は 32</t>
    <phoneticPr fontId="13"/>
  </si>
  <si>
    <t>㈱ﾓﾄｰﾚﾝ神戸</t>
    <rPh sb="6" eb="8">
      <t>コウベ</t>
    </rPh>
    <phoneticPr fontId="13"/>
  </si>
  <si>
    <t>ｾﾞｽﾃｨｰｲｴﾛｰ</t>
    <phoneticPr fontId="13"/>
  </si>
  <si>
    <t>WMW42DL0203N35471</t>
    <phoneticPr fontId="13"/>
  </si>
  <si>
    <t>有限会社 ﾃｨｰｽﾞｸﾗﾌﾞ</t>
    <rPh sb="0" eb="4">
      <t>ユウゲンカイシャ</t>
    </rPh>
    <phoneticPr fontId="13"/>
  </si>
  <si>
    <t>27-428</t>
  </si>
  <si>
    <t>大阪 330 に 980</t>
    <rPh sb="0" eb="2">
      <t>オオサカ</t>
    </rPh>
    <phoneticPr fontId="13"/>
  </si>
  <si>
    <t>301 て 1655</t>
    <phoneticPr fontId="13"/>
  </si>
  <si>
    <t xml:space="preserve"> </t>
    <phoneticPr fontId="13"/>
  </si>
  <si>
    <t>MINI神戸東灘</t>
    <rPh sb="4" eb="6">
      <t>コウベ</t>
    </rPh>
    <rPh sb="6" eb="8">
      <t>ヒガシナダ</t>
    </rPh>
    <phoneticPr fontId="13"/>
  </si>
  <si>
    <t>ｽﾀｰﾗｲﾄﾌﾞﾙｰﾒﾀﾙｯｸ</t>
    <phoneticPr fontId="13"/>
  </si>
  <si>
    <t>WMWZB72070WU16354</t>
    <phoneticPr fontId="13"/>
  </si>
  <si>
    <t>赤塚 雄一</t>
    <rPh sb="0" eb="2">
      <t>アカツカ</t>
    </rPh>
    <rPh sb="3" eb="5">
      <t>ユウイチ</t>
    </rPh>
    <phoneticPr fontId="13"/>
  </si>
  <si>
    <t>27-429</t>
  </si>
  <si>
    <t>12</t>
    <phoneticPr fontId="13"/>
  </si>
  <si>
    <t>ﾛｰﾊﾞｰ ﾐﾆｸｰﾊﾟｰ</t>
    <phoneticPr fontId="13"/>
  </si>
  <si>
    <t>姫路 541 ね 3298</t>
    <rPh sb="0" eb="2">
      <t>ヒメジ</t>
    </rPh>
    <phoneticPr fontId="13"/>
  </si>
  <si>
    <t>川端</t>
    <rPh sb="0" eb="2">
      <t>カワバタ</t>
    </rPh>
    <phoneticPr fontId="13"/>
  </si>
  <si>
    <t>SAXXN-WAXKYD177695</t>
    <phoneticPr fontId="13"/>
  </si>
  <si>
    <t>川端 正子</t>
    <rPh sb="0" eb="2">
      <t>カワバタ</t>
    </rPh>
    <rPh sb="3" eb="5">
      <t>マサコ</t>
    </rPh>
    <phoneticPr fontId="13"/>
  </si>
  <si>
    <t>27-430</t>
  </si>
  <si>
    <t>31</t>
    <phoneticPr fontId="13"/>
  </si>
  <si>
    <t>神戸 303 ふ 9747</t>
    <rPh sb="0" eb="2">
      <t>コウベ</t>
    </rPh>
    <phoneticPr fontId="13"/>
  </si>
  <si>
    <t>ﾌﾞﾘﾃｨｯｼｭﾚｰｼﾝｸﾞｸﾞﾘｰﾝ</t>
    <phoneticPr fontId="13"/>
  </si>
  <si>
    <t>WMWXN320102H82618</t>
    <phoneticPr fontId="13"/>
  </si>
  <si>
    <t>高木 克彦</t>
    <rPh sb="0" eb="2">
      <t>タカギ</t>
    </rPh>
    <rPh sb="3" eb="5">
      <t>カツヒコ</t>
    </rPh>
    <phoneticPr fontId="13"/>
  </si>
  <si>
    <t>2月抹消済</t>
    <phoneticPr fontId="13"/>
  </si>
  <si>
    <t>27-431</t>
  </si>
  <si>
    <t>27</t>
    <phoneticPr fontId="13"/>
  </si>
  <si>
    <t>ｱﾙﾌｧﾛﾒｵﾐﾄ ｺﾝﾍﾟﾃｨｵｰﾈ</t>
    <phoneticPr fontId="13"/>
  </si>
  <si>
    <t>京都 302 に 7879</t>
    <rPh sb="0" eb="2">
      <t>キョウト</t>
    </rPh>
    <phoneticPr fontId="13"/>
  </si>
  <si>
    <t>藤野さん事故の為下取りで引取</t>
    <rPh sb="0" eb="2">
      <t>フジノ</t>
    </rPh>
    <rPh sb="4" eb="6">
      <t>ジコ</t>
    </rPh>
    <rPh sb="7" eb="8">
      <t>タメ</t>
    </rPh>
    <rPh sb="8" eb="10">
      <t>シタド</t>
    </rPh>
    <rPh sb="12" eb="14">
      <t>ヒキトリ</t>
    </rPh>
    <phoneticPr fontId="13"/>
  </si>
  <si>
    <t>藤野</t>
    <rPh sb="0" eb="2">
      <t>フジノ</t>
    </rPh>
    <phoneticPr fontId="13"/>
  </si>
  <si>
    <t>ﾋﾞｱﾝｺﾞ</t>
    <phoneticPr fontId="13"/>
  </si>
  <si>
    <t>ZAR9550000X041358</t>
    <phoneticPr fontId="13"/>
  </si>
  <si>
    <t>藤野 麻琴</t>
    <rPh sb="0" eb="2">
      <t>フジノ</t>
    </rPh>
    <rPh sb="3" eb="5">
      <t>マコト</t>
    </rPh>
    <phoneticPr fontId="13"/>
  </si>
  <si>
    <t>27-432</t>
  </si>
  <si>
    <t>30</t>
    <phoneticPr fontId="13"/>
  </si>
  <si>
    <t>神戸 331 そ 1426</t>
    <rPh sb="0" eb="2">
      <t>コウベ</t>
    </rPh>
    <phoneticPr fontId="13"/>
  </si>
  <si>
    <t>301 て 3140</t>
    <phoneticPr fontId="13"/>
  </si>
  <si>
    <t>ｱｲﾗﾝﾄﾞﾌﾞﾙｰ</t>
    <phoneticPr fontId="13"/>
  </si>
  <si>
    <t>WMWYT920303E82022</t>
    <phoneticPr fontId="13"/>
  </si>
  <si>
    <t>桒山 陽一郎（ﾋﾞｰｴﾑﾀﾞﾌﾞﾘｭｰ)</t>
    <rPh sb="0" eb="1">
      <t>クワ</t>
    </rPh>
    <rPh sb="1" eb="2">
      <t>ヤマ</t>
    </rPh>
    <rPh sb="3" eb="6">
      <t>ヨウイチロウ</t>
    </rPh>
    <phoneticPr fontId="13"/>
  </si>
  <si>
    <t>27-433</t>
  </si>
  <si>
    <t>1</t>
    <phoneticPr fontId="13"/>
  </si>
  <si>
    <t>ｼﾄﾛｴﾝC3</t>
    <phoneticPr fontId="13"/>
  </si>
  <si>
    <t>神戸 389 さ 115</t>
    <rPh sb="0" eb="2">
      <t>コウベ</t>
    </rPh>
    <phoneticPr fontId="13"/>
  </si>
  <si>
    <t>VF7SXHNZTKT571763</t>
    <phoneticPr fontId="13"/>
  </si>
  <si>
    <t>畒 裕美子</t>
    <rPh sb="0" eb="1">
      <t>ホ</t>
    </rPh>
    <rPh sb="2" eb="5">
      <t>ユミコ</t>
    </rPh>
    <phoneticPr fontId="13"/>
  </si>
  <si>
    <t>7月抹消済</t>
    <rPh sb="1" eb="5">
      <t>ガツマッショウズ</t>
    </rPh>
    <phoneticPr fontId="13"/>
  </si>
  <si>
    <t>27-434</t>
  </si>
  <si>
    <t>神戸 350 る 213</t>
    <rPh sb="0" eb="2">
      <t>コウベ</t>
    </rPh>
    <phoneticPr fontId="13"/>
  </si>
  <si>
    <t>山下</t>
    <rPh sb="0" eb="2">
      <t>ヤマシタ</t>
    </rPh>
    <phoneticPr fontId="13"/>
  </si>
  <si>
    <t xml:space="preserve">MINI宝塚 </t>
    <rPh sb="4" eb="6">
      <t>タカラヅカ</t>
    </rPh>
    <phoneticPr fontId="13"/>
  </si>
  <si>
    <t>ﾗｲﾄﾎﾜｲﾄ</t>
    <phoneticPr fontId="13"/>
  </si>
  <si>
    <t>WMWYT920703D53510</t>
    <phoneticPr fontId="13"/>
  </si>
  <si>
    <t>奥山 仁人（ﾋﾞｰｴﾑﾀﾞﾌﾞﾘｭ）</t>
    <rPh sb="0" eb="2">
      <t>オクヤマ</t>
    </rPh>
    <rPh sb="3" eb="4">
      <t>ジン</t>
    </rPh>
    <rPh sb="4" eb="5">
      <t>ヒト</t>
    </rPh>
    <phoneticPr fontId="13"/>
  </si>
  <si>
    <t>27-435</t>
  </si>
  <si>
    <t>BMWﾐﾆｸｰﾊﾟｰSD ｸﾛｽｵｰﾊﾞｰ</t>
    <phoneticPr fontId="13"/>
  </si>
  <si>
    <t>神戸 336 の 3298</t>
    <rPh sb="0" eb="2">
      <t>コウベ</t>
    </rPh>
    <phoneticPr fontId="13"/>
  </si>
  <si>
    <t>MINI神戸東灘</t>
    <rPh sb="4" eb="8">
      <t>コウベヒガシナダ</t>
    </rPh>
    <phoneticPr fontId="13"/>
  </si>
  <si>
    <t>ｱﾌﾞｿﾙﾄﾌﾞﾗｯｸ</t>
    <phoneticPr fontId="13"/>
  </si>
  <si>
    <t>WMWZB72020WU16455</t>
    <phoneticPr fontId="13"/>
  </si>
  <si>
    <t>眞鍋 敏行</t>
    <rPh sb="0" eb="2">
      <t>マナベ</t>
    </rPh>
    <rPh sb="3" eb="5">
      <t>トシユキ</t>
    </rPh>
    <phoneticPr fontId="13"/>
  </si>
  <si>
    <t>27-436</t>
  </si>
  <si>
    <t>29</t>
    <phoneticPr fontId="13"/>
  </si>
  <si>
    <t>神戸 359 つ 511</t>
    <rPh sb="0" eb="2">
      <t>コウベ</t>
    </rPh>
    <phoneticPr fontId="13"/>
  </si>
  <si>
    <t>WBS1J52050VD24118</t>
    <phoneticPr fontId="13"/>
  </si>
  <si>
    <t>北 裕介(ﾋﾞｰ･ｴﾑ･ﾀﾞﾌﾞﾘｭｰ)</t>
    <rPh sb="0" eb="1">
      <t>キタ</t>
    </rPh>
    <rPh sb="2" eb="4">
      <t>ユウスケ</t>
    </rPh>
    <phoneticPr fontId="13"/>
  </si>
  <si>
    <t>27-437</t>
  </si>
  <si>
    <t>2</t>
    <phoneticPr fontId="13"/>
  </si>
  <si>
    <t>神戸 303 や 4348</t>
    <rPh sb="0" eb="2">
      <t>コウベ</t>
    </rPh>
    <phoneticPr fontId="13"/>
  </si>
  <si>
    <t>301 て 9279</t>
    <phoneticPr fontId="13"/>
  </si>
  <si>
    <t>ｱｲﾗﾝﾄﾞﾌﾞﾙｰﾒﾀﾘｯｸ</t>
    <phoneticPr fontId="13"/>
  </si>
  <si>
    <t>WMWYT920503L43071</t>
    <phoneticPr fontId="13"/>
  </si>
  <si>
    <t>豊和 （株）  (ﾋﾞｰ･ｴﾑ･ﾀﾞﾌﾞﾘｭｰ)</t>
    <rPh sb="0" eb="1">
      <t>トヨ</t>
    </rPh>
    <rPh sb="1" eb="2">
      <t>ワ</t>
    </rPh>
    <rPh sb="3" eb="6">
      <t>カブ</t>
    </rPh>
    <phoneticPr fontId="13"/>
  </si>
  <si>
    <t>27-438</t>
  </si>
  <si>
    <t>神戸 360 も 1124</t>
    <rPh sb="0" eb="2">
      <t>コウベ</t>
    </rPh>
    <phoneticPr fontId="13"/>
  </si>
  <si>
    <t>鵜瀬</t>
    <rPh sb="0" eb="2">
      <t>ウセ</t>
    </rPh>
    <phoneticPr fontId="13"/>
  </si>
  <si>
    <t>WMWXR920002L25996</t>
    <phoneticPr fontId="13"/>
  </si>
  <si>
    <t>鵜瀬 祐之</t>
    <rPh sb="0" eb="2">
      <t>ウセ</t>
    </rPh>
    <rPh sb="3" eb="5">
      <t>ユウスケ</t>
    </rPh>
    <phoneticPr fontId="13"/>
  </si>
  <si>
    <t>27-439</t>
  </si>
  <si>
    <t>21</t>
    <phoneticPr fontId="13"/>
  </si>
  <si>
    <t>ﾚﾝｼﾞﾛｰﾊﾞｰ</t>
    <phoneticPr fontId="13"/>
  </si>
  <si>
    <t>神戸 345 に 335</t>
    <rPh sb="0" eb="2">
      <t>コウベ</t>
    </rPh>
    <phoneticPr fontId="13"/>
  </si>
  <si>
    <t>元村</t>
    <rPh sb="0" eb="2">
      <t>モトムラ</t>
    </rPh>
    <phoneticPr fontId="13"/>
  </si>
  <si>
    <t>SALLSJAE3AA219740</t>
    <phoneticPr fontId="13"/>
  </si>
  <si>
    <t>（株）ｵﾘｴﾝﾄｺｰﾎﾟﾚｰｼｮﾝ</t>
    <rPh sb="0" eb="3">
      <t>カブ</t>
    </rPh>
    <phoneticPr fontId="13"/>
  </si>
  <si>
    <t>27-440</t>
  </si>
  <si>
    <t>4</t>
    <phoneticPr fontId="13"/>
  </si>
  <si>
    <t>EKﾜｺﾞﾝ</t>
    <phoneticPr fontId="13"/>
  </si>
  <si>
    <t>姫路 583 ら 2300</t>
    <rPh sb="0" eb="2">
      <t>ヒメジ</t>
    </rPh>
    <phoneticPr fontId="13"/>
  </si>
  <si>
    <t>三菱自動車(新車)</t>
    <rPh sb="0" eb="5">
      <t>ミツビシジドウシャ</t>
    </rPh>
    <rPh sb="6" eb="8">
      <t>シンシャ</t>
    </rPh>
    <phoneticPr fontId="13"/>
  </si>
  <si>
    <t>B34A-0400704</t>
    <phoneticPr fontId="13"/>
  </si>
  <si>
    <t>兵庫三菱自動車販売㈱</t>
    <rPh sb="0" eb="2">
      <t>ヒョウゴ</t>
    </rPh>
    <rPh sb="2" eb="7">
      <t>ミツビシジドウシャ</t>
    </rPh>
    <rPh sb="7" eb="9">
      <t>ハンバイ</t>
    </rPh>
    <phoneticPr fontId="13"/>
  </si>
  <si>
    <t>27-441</t>
  </si>
  <si>
    <t>BMW530I Mｽﾎﾟｰﾂ</t>
    <phoneticPr fontId="13"/>
  </si>
  <si>
    <t>なにわ 340 ち 919</t>
    <phoneticPr fontId="13"/>
  </si>
  <si>
    <t>鈴木</t>
    <rPh sb="0" eb="2">
      <t>スズキ</t>
    </rPh>
    <phoneticPr fontId="13"/>
  </si>
  <si>
    <t>WBAJA51020G876991</t>
    <phoneticPr fontId="13"/>
  </si>
  <si>
    <t>鈴木 圭一</t>
    <rPh sb="0" eb="2">
      <t>スズキ</t>
    </rPh>
    <rPh sb="3" eb="5">
      <t>ケイイチ</t>
    </rPh>
    <phoneticPr fontId="13"/>
  </si>
  <si>
    <t>27-442</t>
  </si>
  <si>
    <t>ﾗﾝﾄﾞﾛｰﾊﾞｰﾃﾞｨｽｶﾊﾞﾘｰｽﾎﾟｰﾂ</t>
    <phoneticPr fontId="13"/>
  </si>
  <si>
    <t>神戸337は8358</t>
    <rPh sb="0" eb="2">
      <t>コウベ</t>
    </rPh>
    <phoneticPr fontId="13"/>
  </si>
  <si>
    <t>細見</t>
    <rPh sb="0" eb="2">
      <t>ホソミ</t>
    </rPh>
    <phoneticPr fontId="13"/>
  </si>
  <si>
    <t>SALCA2AG5HH672708</t>
    <phoneticPr fontId="13"/>
  </si>
  <si>
    <t>細見 龍太郎</t>
    <rPh sb="0" eb="2">
      <t>ホソミ</t>
    </rPh>
    <rPh sb="3" eb="6">
      <t>リュウタロウ</t>
    </rPh>
    <phoneticPr fontId="13"/>
  </si>
  <si>
    <t>27-443</t>
  </si>
  <si>
    <t>25</t>
    <phoneticPr fontId="13"/>
  </si>
  <si>
    <t>ﾚﾝｼﾞﾛｰﾊﾞｰｽﾎﾟｰﾂ</t>
    <phoneticPr fontId="13"/>
  </si>
  <si>
    <t>品川330ね2071</t>
    <rPh sb="0" eb="2">
      <t>シナガワ</t>
    </rPh>
    <phoneticPr fontId="13"/>
  </si>
  <si>
    <t>（株）trema</t>
    <phoneticPr fontId="13"/>
  </si>
  <si>
    <t>SALLSJAD3DA792511</t>
    <phoneticPr fontId="13"/>
  </si>
  <si>
    <t>株式会社trema</t>
    <rPh sb="0" eb="4">
      <t>カブシキガイシャ</t>
    </rPh>
    <phoneticPr fontId="13"/>
  </si>
  <si>
    <t>8月抹消済</t>
    <rPh sb="1" eb="2">
      <t>ガツ</t>
    </rPh>
    <rPh sb="2" eb="4">
      <t>マッショウ</t>
    </rPh>
    <rPh sb="4" eb="5">
      <t>ズ</t>
    </rPh>
    <phoneticPr fontId="13"/>
  </si>
  <si>
    <t>27-444</t>
  </si>
  <si>
    <t>BMWﾐﾆｸｰﾊﾟｰBAYSWATER</t>
  </si>
  <si>
    <t>大阪　531　み　2332</t>
  </si>
  <si>
    <r>
      <rPr>
        <sz val="11"/>
        <color rgb="FFFF0000"/>
        <rFont val="游ゴシック"/>
        <family val="3"/>
        <charset val="128"/>
        <scheme val="minor"/>
      </rPr>
      <t>整備中</t>
    </r>
    <r>
      <rPr>
        <sz val="11"/>
        <color theme="1"/>
        <rFont val="游ゴシック"/>
        <family val="3"/>
        <charset val="128"/>
        <scheme val="minor"/>
      </rPr>
      <t>2024//ﾚﾝﾀｶｰに移行</t>
    </r>
    <rPh sb="0" eb="3">
      <t>セイビチュウ</t>
    </rPh>
    <rPh sb="15" eb="17">
      <t>イコウ</t>
    </rPh>
    <phoneticPr fontId="13"/>
  </si>
  <si>
    <t>ｾﾌﾞﾝｽﾀｰ　</t>
    <phoneticPr fontId="13"/>
  </si>
  <si>
    <t>黒</t>
    <phoneticPr fontId="13"/>
  </si>
  <si>
    <t>WMWSU32010T629659</t>
    <phoneticPr fontId="13"/>
  </si>
  <si>
    <t>藤本　誠史</t>
  </si>
  <si>
    <t>保証書 取説 ｷｰﾚｽ</t>
    <phoneticPr fontId="13"/>
  </si>
  <si>
    <t>R25-010から26-903へ変更</t>
    <rPh sb="16" eb="18">
      <t>ヘンコウ</t>
    </rPh>
    <phoneticPr fontId="13"/>
  </si>
  <si>
    <t>27-445</t>
  </si>
  <si>
    <t>N-WGNｶｽﾀﾑ ﾀｰﾎﾞSS ｽﾀｲﾙﾊﾟｯｹｰｼﾞ</t>
    <phoneticPr fontId="13"/>
  </si>
  <si>
    <t>名古屋 58A に 7409</t>
    <rPh sb="0" eb="3">
      <t>ナゴヤ</t>
    </rPh>
    <phoneticPr fontId="13"/>
  </si>
  <si>
    <t>JU愛知(まとめ)</t>
    <rPh sb="2" eb="4">
      <t>アイチ</t>
    </rPh>
    <phoneticPr fontId="13"/>
  </si>
  <si>
    <t>JH1-2215407</t>
    <phoneticPr fontId="13"/>
  </si>
  <si>
    <t>有限会社 坂元商会</t>
    <rPh sb="0" eb="4">
      <t>ユウゲンカイシャ</t>
    </rPh>
    <rPh sb="5" eb="7">
      <t>サカモト</t>
    </rPh>
    <rPh sb="7" eb="9">
      <t>ショウカイ</t>
    </rPh>
    <phoneticPr fontId="13"/>
  </si>
  <si>
    <t>地図SD(車内)ｷｰﾚｽ</t>
    <phoneticPr fontId="13"/>
  </si>
  <si>
    <t>27-446</t>
  </si>
  <si>
    <t>MﾍﾞﾝﾂAMG Eｸﾗｽ E43</t>
    <phoneticPr fontId="13"/>
  </si>
  <si>
    <t>大阪 378 ゆ 1225</t>
    <rPh sb="0" eb="2">
      <t>オオサカ</t>
    </rPh>
    <phoneticPr fontId="13"/>
  </si>
  <si>
    <t>34P の 5</t>
    <phoneticPr fontId="13"/>
  </si>
  <si>
    <t>WDD2130642A461799</t>
    <phoneticPr fontId="13"/>
  </si>
  <si>
    <t>10/11</t>
    <phoneticPr fontId="13"/>
  </si>
  <si>
    <t>HAA神戸</t>
    <phoneticPr fontId="13"/>
  </si>
  <si>
    <t>27-447</t>
  </si>
  <si>
    <t>BMWﾐﾆ WG JCWｸﾗﾌﾞﾏﾝ</t>
    <phoneticPr fontId="13"/>
  </si>
  <si>
    <t>7/3/24</t>
    <phoneticPr fontId="13"/>
  </si>
  <si>
    <t>倉敷 500 つ 4952</t>
    <rPh sb="0" eb="2">
      <t>クラシキ</t>
    </rPh>
    <phoneticPr fontId="13"/>
  </si>
  <si>
    <t>WMWZG92050TZ88814</t>
    <phoneticPr fontId="13"/>
  </si>
  <si>
    <t>依田 修一</t>
    <rPh sb="0" eb="1">
      <t>イ</t>
    </rPh>
    <rPh sb="1" eb="2">
      <t>タ</t>
    </rPh>
    <rPh sb="3" eb="5">
      <t>シュウイチ</t>
    </rPh>
    <phoneticPr fontId="13"/>
  </si>
  <si>
    <t>10/8</t>
    <phoneticPr fontId="13"/>
  </si>
  <si>
    <t>27-448</t>
  </si>
  <si>
    <t>28/5</t>
    <phoneticPr fontId="13"/>
  </si>
  <si>
    <t>VWｺﾞﾙﾌ ﾄｩｰﾗﾝ</t>
    <phoneticPr fontId="13"/>
  </si>
  <si>
    <t>愛媛 300 め 7466</t>
    <rPh sb="0" eb="2">
      <t>エヒメ</t>
    </rPh>
    <phoneticPr fontId="13"/>
  </si>
  <si>
    <t>WVGZZZ1TZGW561750</t>
    <phoneticPr fontId="13"/>
  </si>
  <si>
    <t>株式会社ﾎﾝﾀﾞﾓﾋﾞﾘﾃｨ中四国</t>
    <rPh sb="0" eb="4">
      <t>カブシキガイシャ</t>
    </rPh>
    <rPh sb="14" eb="15">
      <t>ナカ</t>
    </rPh>
    <rPh sb="15" eb="17">
      <t>シコク</t>
    </rPh>
    <phoneticPr fontId="13"/>
  </si>
  <si>
    <t>取説(車内)ｷｰﾚｽ</t>
    <rPh sb="0" eb="2">
      <t>トリセツ</t>
    </rPh>
    <rPh sb="3" eb="5">
      <t>シャナイ</t>
    </rPh>
    <phoneticPr fontId="13"/>
  </si>
  <si>
    <t>ZiP大阪</t>
    <rPh sb="3" eb="5">
      <t>オオサカ</t>
    </rPh>
    <phoneticPr fontId="13"/>
  </si>
  <si>
    <t>27-449</t>
  </si>
  <si>
    <t>BMWﾐﾆ 5D</t>
    <phoneticPr fontId="13"/>
  </si>
  <si>
    <t>7/9/24</t>
    <phoneticPr fontId="13"/>
  </si>
  <si>
    <t>福岡 334 ぬ 3298</t>
    <rPh sb="0" eb="2">
      <t>フクオカ</t>
    </rPh>
    <phoneticPr fontId="13"/>
  </si>
  <si>
    <t>301 に 9292</t>
    <phoneticPr fontId="13"/>
  </si>
  <si>
    <t>ﾎﾝﾀﾞ九州（まとめ）</t>
    <rPh sb="4" eb="6">
      <t>キュウシュウ</t>
    </rPh>
    <phoneticPr fontId="13"/>
  </si>
  <si>
    <t>WMWXU72040TN31044</t>
    <phoneticPr fontId="13"/>
  </si>
  <si>
    <t>10/15</t>
    <phoneticPr fontId="13"/>
  </si>
  <si>
    <t>取説 ｷｰﾚｽ（車内）</t>
    <rPh sb="0" eb="2">
      <t>トリセツ</t>
    </rPh>
    <rPh sb="8" eb="10">
      <t>シャナイ</t>
    </rPh>
    <phoneticPr fontId="13"/>
  </si>
  <si>
    <t>27-450</t>
  </si>
  <si>
    <t>28/</t>
    <phoneticPr fontId="13"/>
  </si>
  <si>
    <t>ﾎﾟﾙｼｪｹｲﾏﾝ GT4</t>
    <phoneticPr fontId="13"/>
  </si>
  <si>
    <t>姫路 330 の 969</t>
    <rPh sb="0" eb="2">
      <t>ヒメジ</t>
    </rPh>
    <phoneticPr fontId="13"/>
  </si>
  <si>
    <t>330 の 969</t>
    <phoneticPr fontId="13"/>
  </si>
  <si>
    <t>関口様</t>
    <rPh sb="0" eb="2">
      <t>セキグチ</t>
    </rPh>
    <rPh sb="2" eb="3">
      <t>サマ</t>
    </rPh>
    <phoneticPr fontId="13"/>
  </si>
  <si>
    <t>WP0ZZZ98ZGK189667</t>
    <phoneticPr fontId="13"/>
  </si>
  <si>
    <t>関口 圭一郎</t>
    <rPh sb="0" eb="2">
      <t>セキグチ</t>
    </rPh>
    <rPh sb="3" eb="6">
      <t>ケイイチロウ</t>
    </rPh>
    <phoneticPr fontId="13"/>
  </si>
  <si>
    <t>10/7</t>
    <phoneticPr fontId="13"/>
  </si>
  <si>
    <t>(有)TELLUS INTERNATIONAL</t>
    <rPh sb="1" eb="2">
      <t>ユウ</t>
    </rPh>
    <phoneticPr fontId="13"/>
  </si>
  <si>
    <t>27-451</t>
  </si>
  <si>
    <t>7/6/29</t>
    <phoneticPr fontId="13"/>
  </si>
  <si>
    <t>前橋 300 て 9018</t>
    <rPh sb="0" eb="2">
      <t>マエバシ</t>
    </rPh>
    <phoneticPr fontId="13"/>
  </si>
  <si>
    <t>301 に 9293</t>
    <phoneticPr fontId="13"/>
  </si>
  <si>
    <t>WMWXU92040TE41732</t>
    <phoneticPr fontId="13"/>
  </si>
  <si>
    <t>27-452</t>
  </si>
  <si>
    <t>2/7</t>
    <phoneticPr fontId="13"/>
  </si>
  <si>
    <t>N-BOXｶｽﾀﾑ GLﾎﾝﾀﾞｾﾝｼﾝｸﾞ</t>
    <phoneticPr fontId="13"/>
  </si>
  <si>
    <t>7/7</t>
    <phoneticPr fontId="13"/>
  </si>
  <si>
    <t>奈良 583 す 1613</t>
    <rPh sb="0" eb="2">
      <t>ナラ</t>
    </rPh>
    <phoneticPr fontId="13"/>
  </si>
  <si>
    <t>581 ゆ 4656</t>
    <phoneticPr fontId="13"/>
  </si>
  <si>
    <t>茶色</t>
    <rPh sb="0" eb="2">
      <t>チャイロ</t>
    </rPh>
    <phoneticPr fontId="13"/>
  </si>
  <si>
    <t>JF3-1505879</t>
    <phoneticPr fontId="13"/>
  </si>
  <si>
    <t>ﾎﾝﾀﾞ奈良自販株式会社</t>
    <rPh sb="4" eb="6">
      <t>ナラ</t>
    </rPh>
    <rPh sb="6" eb="12">
      <t>ジハンカブシキガイシャ</t>
    </rPh>
    <phoneticPr fontId="13"/>
  </si>
  <si>
    <t>ﾅﾝﾊﾞｰ伴さん持ち出し中</t>
    <phoneticPr fontId="13"/>
  </si>
  <si>
    <t>27-453</t>
  </si>
  <si>
    <t>ﾏﾂﾀﾞ2 15S ﾌﾟﾛｱｸﾃｨﾌﾞ</t>
    <phoneticPr fontId="13"/>
  </si>
  <si>
    <t>岡山 599 に 1070</t>
    <rPh sb="0" eb="2">
      <t>オカヤマ</t>
    </rPh>
    <phoneticPr fontId="13"/>
  </si>
  <si>
    <t>DJLFS-704905</t>
    <phoneticPr fontId="13"/>
  </si>
  <si>
    <t>株式会社ｼﾃｨﾗｲﾄ</t>
    <rPh sb="0" eb="4">
      <t>カブシキガイシャ</t>
    </rPh>
    <phoneticPr fontId="13"/>
  </si>
  <si>
    <t>10/31</t>
    <phoneticPr fontId="13"/>
  </si>
  <si>
    <t>27-454</t>
  </si>
  <si>
    <t>ｼﾞｬｶﾞｰXE XEﾌﾟﾚｽﾃｰｼﾞ</t>
    <phoneticPr fontId="13"/>
  </si>
  <si>
    <t>7/3/31</t>
    <phoneticPr fontId="13"/>
  </si>
  <si>
    <t>倉敷 300 ち 8373</t>
    <rPh sb="0" eb="2">
      <t>クラシキ</t>
    </rPh>
    <phoneticPr fontId="13"/>
  </si>
  <si>
    <t>SAJAB4AGXGA930690</t>
    <phoneticPr fontId="13"/>
  </si>
  <si>
    <t>映ｸﾗ株式会社</t>
    <rPh sb="0" eb="1">
      <t>エイ</t>
    </rPh>
    <rPh sb="3" eb="5">
      <t>カブシキ</t>
    </rPh>
    <rPh sb="5" eb="7">
      <t>カイシャ</t>
    </rPh>
    <phoneticPr fontId="13"/>
  </si>
  <si>
    <t>10/26</t>
    <phoneticPr fontId="13"/>
  </si>
  <si>
    <t>保証書 取説 ﾅﾋﾞ取説 ｷｰﾚｽ ﾜﾝｵｰﾅｰ</t>
    <rPh sb="0" eb="3">
      <t>ホショウショ</t>
    </rPh>
    <rPh sb="4" eb="6">
      <t>トリセツ</t>
    </rPh>
    <rPh sb="10" eb="12">
      <t>トリセツ</t>
    </rPh>
    <phoneticPr fontId="13"/>
  </si>
  <si>
    <t>27-455</t>
  </si>
  <si>
    <t>1/</t>
    <phoneticPr fontId="13"/>
  </si>
  <si>
    <t>BMWﾐﾆ ｸｰﾊﾟｰJCW</t>
    <phoneticPr fontId="13"/>
  </si>
  <si>
    <t>姫路 331 ゆ 2127</t>
    <rPh sb="0" eb="2">
      <t>ヒメジ</t>
    </rPh>
    <phoneticPr fontId="13"/>
  </si>
  <si>
    <t>浜野様</t>
    <rPh sb="0" eb="2">
      <t>ハマノ</t>
    </rPh>
    <rPh sb="2" eb="3">
      <t>サマ</t>
    </rPh>
    <phoneticPr fontId="13"/>
  </si>
  <si>
    <t>WMWJZ920702L43465</t>
    <phoneticPr fontId="13"/>
  </si>
  <si>
    <t>10/20</t>
    <phoneticPr fontId="13"/>
  </si>
  <si>
    <t>27-456</t>
  </si>
  <si>
    <t>ﾊｲｴｰｽﾊﾞﾝ ｽｰﾊﾟｰGL ﾌﾟﾗｲﾑｾﾚｸｼｮﾝ</t>
    <phoneticPr fontId="13"/>
  </si>
  <si>
    <t>7/1/23</t>
    <phoneticPr fontId="13"/>
  </si>
  <si>
    <t>名古屋 430 ま 314</t>
    <rPh sb="0" eb="3">
      <t>ナゴヤ</t>
    </rPh>
    <phoneticPr fontId="13"/>
  </si>
  <si>
    <t>405 す 5</t>
    <phoneticPr fontId="13"/>
  </si>
  <si>
    <t>TRH200-0192039</t>
    <phoneticPr fontId="13"/>
  </si>
  <si>
    <t>有限会社加藤建材</t>
    <rPh sb="0" eb="4">
      <t>ユウゲンガイシャ</t>
    </rPh>
    <rPh sb="4" eb="6">
      <t>カトウ</t>
    </rPh>
    <rPh sb="6" eb="8">
      <t>ケンザイ</t>
    </rPh>
    <phoneticPr fontId="13"/>
  </si>
  <si>
    <t>保証書 取説 ﾅﾋﾞ取説 名変期限11/28まで</t>
    <rPh sb="0" eb="3">
      <t>ホショウショ</t>
    </rPh>
    <rPh sb="4" eb="6">
      <t>トリセツ</t>
    </rPh>
    <rPh sb="10" eb="12">
      <t>トリセツ</t>
    </rPh>
    <rPh sb="13" eb="17">
      <t>メイヘンキゲン</t>
    </rPh>
    <phoneticPr fontId="13"/>
  </si>
  <si>
    <t>27-457</t>
  </si>
  <si>
    <t>BMW 5ｼﾘｰｽﾞ 530i Mｽﾎﾟｰﾂ</t>
    <phoneticPr fontId="13"/>
  </si>
  <si>
    <t>京都 399 る 9889</t>
    <rPh sb="0" eb="2">
      <t>キョウト</t>
    </rPh>
    <phoneticPr fontId="13"/>
  </si>
  <si>
    <t>WBAJL32040G635365</t>
    <phoneticPr fontId="13"/>
  </si>
  <si>
    <t>10/29</t>
    <phoneticPr fontId="13"/>
  </si>
  <si>
    <t>27-458</t>
  </si>
  <si>
    <t>BMWﾐﾆ ｸｰﾊﾟｰD ｸﾛｽｵｰﾊﾞｰ</t>
    <phoneticPr fontId="13"/>
  </si>
  <si>
    <t>大阪 360 ふ 1112</t>
    <rPh sb="0" eb="2">
      <t>オオサカ</t>
    </rPh>
    <phoneticPr fontId="13"/>
  </si>
  <si>
    <t>WMWYT920503F82347</t>
    <phoneticPr fontId="13"/>
  </si>
  <si>
    <t>大阪ﾄﾖﾍﾟｯﾄ株式会社</t>
    <rPh sb="0" eb="2">
      <t>オオサカ</t>
    </rPh>
    <rPh sb="8" eb="12">
      <t>カブシキカイシャ</t>
    </rPh>
    <phoneticPr fontId="13"/>
  </si>
  <si>
    <t>保証書 取説 ｷｰﾚｽ(車内)ﾜﾝｵｰﾅｰ</t>
    <rPh sb="0" eb="3">
      <t>ホショウショ</t>
    </rPh>
    <rPh sb="4" eb="6">
      <t>トリセツ</t>
    </rPh>
    <phoneticPr fontId="13"/>
  </si>
  <si>
    <t>27-459</t>
  </si>
  <si>
    <t>ｱｳﾃﾞｨS1 ﾍﾞｰｽｸﾞﾚｰﾄﾞ</t>
    <phoneticPr fontId="13"/>
  </si>
  <si>
    <t>香川 330 ゆ 155</t>
    <rPh sb="0" eb="2">
      <t>カガワ</t>
    </rPh>
    <phoneticPr fontId="13"/>
  </si>
  <si>
    <t>TAA四国</t>
    <rPh sb="3" eb="5">
      <t>シコク</t>
    </rPh>
    <phoneticPr fontId="13"/>
  </si>
  <si>
    <t>WAUZZZ8XXHB094050</t>
    <phoneticPr fontId="13"/>
  </si>
  <si>
    <t>香川ﾄﾖﾀ自動車株式会社</t>
    <rPh sb="0" eb="2">
      <t>カガワ</t>
    </rPh>
    <rPh sb="5" eb="12">
      <t>ジドウシャカブシキガイシャ</t>
    </rPh>
    <phoneticPr fontId="13"/>
  </si>
  <si>
    <t>帯津 親覇</t>
    <rPh sb="0" eb="1">
      <t>オビ</t>
    </rPh>
    <rPh sb="1" eb="2">
      <t>ツ</t>
    </rPh>
    <rPh sb="3" eb="4">
      <t>オヤ</t>
    </rPh>
    <rPh sb="4" eb="5">
      <t>ハ</t>
    </rPh>
    <phoneticPr fontId="13"/>
  </si>
  <si>
    <t>27-460</t>
  </si>
  <si>
    <t>福井 333 に 129</t>
    <rPh sb="0" eb="2">
      <t>フクイ</t>
    </rPh>
    <phoneticPr fontId="13"/>
  </si>
  <si>
    <t>取説 ｽﾏｰﾄｷｰ</t>
  </si>
  <si>
    <t>301 に 8692</t>
    <phoneticPr fontId="13"/>
  </si>
  <si>
    <t>WMWXU92080TE42110</t>
    <phoneticPr fontId="13"/>
  </si>
  <si>
    <t>株式会社北陸ﾏﾂﾀﾞ</t>
    <rPh sb="0" eb="4">
      <t>カブシキガイシャ</t>
    </rPh>
    <rPh sb="4" eb="6">
      <t>ホクリク</t>
    </rPh>
    <phoneticPr fontId="13"/>
  </si>
  <si>
    <t>27-461</t>
  </si>
  <si>
    <t>7/3/28</t>
    <phoneticPr fontId="13"/>
  </si>
  <si>
    <t>和歌山 300 む 122</t>
    <rPh sb="0" eb="3">
      <t>ワカヤマ</t>
    </rPh>
    <phoneticPr fontId="13"/>
  </si>
  <si>
    <t>WMWXT720302G65958</t>
    <phoneticPr fontId="13"/>
  </si>
  <si>
    <t>酒井 貴司</t>
    <rPh sb="0" eb="2">
      <t>サカイ</t>
    </rPh>
    <rPh sb="3" eb="4">
      <t>タカシ</t>
    </rPh>
    <rPh sb="4" eb="5">
      <t>シ</t>
    </rPh>
    <phoneticPr fontId="13"/>
  </si>
  <si>
    <t>11/8</t>
    <phoneticPr fontId="13"/>
  </si>
  <si>
    <t>ﾘﾓｺﾝ（車内）保証書 取説 ｷｰﾚｽ</t>
    <rPh sb="5" eb="7">
      <t>シャナイ</t>
    </rPh>
    <rPh sb="8" eb="11">
      <t>ホショウショ</t>
    </rPh>
    <rPh sb="12" eb="14">
      <t>トリセツ</t>
    </rPh>
    <phoneticPr fontId="13"/>
  </si>
  <si>
    <t>山下 康一</t>
    <rPh sb="0" eb="2">
      <t>ヤマシタ</t>
    </rPh>
    <rPh sb="3" eb="5">
      <t>コウイチ</t>
    </rPh>
    <phoneticPr fontId="13"/>
  </si>
  <si>
    <t>27-462</t>
  </si>
  <si>
    <t>29/1</t>
    <phoneticPr fontId="13"/>
  </si>
  <si>
    <t>BMWﾐﾆ ｸｰﾊﾟｰSD ｸﾗﾌﾞﾏﾝ</t>
    <phoneticPr fontId="13"/>
  </si>
  <si>
    <t>北九州 360 や 123</t>
    <rPh sb="0" eb="3">
      <t>キタキュウシュウ</t>
    </rPh>
    <phoneticPr fontId="13"/>
  </si>
  <si>
    <t>WMWLR520802F14311</t>
    <phoneticPr fontId="13"/>
  </si>
  <si>
    <t>ﾘﾓｺﾝ(車内)</t>
    <phoneticPr fontId="13"/>
  </si>
  <si>
    <t>27-463</t>
  </si>
  <si>
    <t>3/12</t>
    <phoneticPr fontId="13"/>
  </si>
  <si>
    <t>ﾌﾟｼﾞｮｰﾘﾌﾀｰ</t>
    <phoneticPr fontId="13"/>
  </si>
  <si>
    <t>なにわ 39A に 6037</t>
    <phoneticPr fontId="13"/>
  </si>
  <si>
    <t>VR3ECYHZRMJ801736</t>
    <phoneticPr fontId="13"/>
  </si>
  <si>
    <t>大阪ｽﾊﾞﾙ株式会社</t>
    <rPh sb="0" eb="2">
      <t>オオサカ</t>
    </rPh>
    <rPh sb="6" eb="10">
      <t>カブシキガイシャ</t>
    </rPh>
    <phoneticPr fontId="13"/>
  </si>
  <si>
    <t>11/3</t>
    <phoneticPr fontId="13"/>
  </si>
  <si>
    <t xml:space="preserve">ｷｰﾚｽ(車内)保証書 取説 ﾅﾋﾞ取 </t>
    <rPh sb="8" eb="11">
      <t>ホショウショ</t>
    </rPh>
    <rPh sb="12" eb="14">
      <t>トリセツ</t>
    </rPh>
    <rPh sb="18" eb="19">
      <t>トリ</t>
    </rPh>
    <phoneticPr fontId="13"/>
  </si>
  <si>
    <t>27-464</t>
  </si>
  <si>
    <t>ｼﾞｬｶﾞｰ XFﾌﾟﾚｽﾃｰｼﾞ</t>
    <phoneticPr fontId="13"/>
  </si>
  <si>
    <t>名古屋 353 み 3103</t>
    <rPh sb="0" eb="3">
      <t>ナゴヤ</t>
    </rPh>
    <phoneticPr fontId="13"/>
  </si>
  <si>
    <t>SAJBB4AG5GCY23409</t>
    <phoneticPr fontId="13"/>
  </si>
  <si>
    <t>11/7</t>
    <phoneticPr fontId="13"/>
  </si>
  <si>
    <t>27-465</t>
  </si>
  <si>
    <t>ｱｳﾃﾞｨ S1 2.0TFSI ｸﾜﾄﾛ</t>
    <phoneticPr fontId="13"/>
  </si>
  <si>
    <t>8/2</t>
    <phoneticPr fontId="13"/>
  </si>
  <si>
    <t>三重 301 む 2628</t>
    <rPh sb="0" eb="2">
      <t>ミエ</t>
    </rPh>
    <phoneticPr fontId="13"/>
  </si>
  <si>
    <t>保証書 取説 ﾅﾋﾞ取 ｽﾍﾟｱｷｰ ﾜﾝｵｰﾅｰ 名変期限12/12</t>
  </si>
  <si>
    <t>301 に 9290</t>
    <phoneticPr fontId="13"/>
  </si>
  <si>
    <t>WAUZZZ8X8HB031867</t>
    <phoneticPr fontId="13"/>
  </si>
  <si>
    <t>株式会社ｾﾃﾞｨﾅ</t>
    <rPh sb="0" eb="4">
      <t>カブシキガイシャ</t>
    </rPh>
    <phoneticPr fontId="13"/>
  </si>
  <si>
    <t>保証書 取説 ﾅﾋﾞ取 ｷｰﾚｽ ﾜﾝｵｰﾅｰ 12/12まで</t>
    <rPh sb="0" eb="3">
      <t>ホショウショ</t>
    </rPh>
    <rPh sb="4" eb="6">
      <t>トリセツ</t>
    </rPh>
    <rPh sb="10" eb="11">
      <t>トリ</t>
    </rPh>
    <phoneticPr fontId="13"/>
  </si>
  <si>
    <t>27-466</t>
  </si>
  <si>
    <t>ｱｳﾃﾞｨ S1 2.0</t>
    <phoneticPr fontId="13"/>
  </si>
  <si>
    <t>石川 300 や 7374</t>
    <rPh sb="0" eb="2">
      <t>イシカワ</t>
    </rPh>
    <phoneticPr fontId="13"/>
  </si>
  <si>
    <t>301 ぬ 648</t>
    <phoneticPr fontId="13"/>
  </si>
  <si>
    <t>WAUZZZ8X9FB002746</t>
    <phoneticPr fontId="13"/>
  </si>
  <si>
    <t>株式会社IDOM</t>
    <rPh sb="0" eb="4">
      <t>カブシキガイシャ</t>
    </rPh>
    <phoneticPr fontId="13"/>
  </si>
  <si>
    <t>27-467</t>
  </si>
  <si>
    <t>大阪 31F ほ 8000</t>
    <rPh sb="0" eb="2">
      <t>オオサカ</t>
    </rPh>
    <phoneticPr fontId="13"/>
  </si>
  <si>
    <t>301 ぬ 551</t>
    <phoneticPr fontId="13"/>
  </si>
  <si>
    <t>WMWXT720602H92185</t>
    <phoneticPr fontId="13"/>
  </si>
  <si>
    <t>取説(車内)保証書 ｷｰﾚｽ ﾜﾝｵｰﾅｰ</t>
    <rPh sb="0" eb="2">
      <t>トリセツ</t>
    </rPh>
    <rPh sb="3" eb="5">
      <t>シャナイ</t>
    </rPh>
    <rPh sb="6" eb="9">
      <t>ホショウショ</t>
    </rPh>
    <phoneticPr fontId="13"/>
  </si>
  <si>
    <t>27-468</t>
  </si>
  <si>
    <t>ｼﾞｬｶﾞｰ XF S</t>
    <phoneticPr fontId="13"/>
  </si>
  <si>
    <t>長崎 331 ち 3311</t>
    <rPh sb="0" eb="2">
      <t>ナガサキ</t>
    </rPh>
    <phoneticPr fontId="13"/>
  </si>
  <si>
    <t>SAJBB4AV3HCY38359</t>
    <phoneticPr fontId="13"/>
  </si>
  <si>
    <t>有限会社ﾌﾘｰｳｪｲ</t>
    <rPh sb="0" eb="4">
      <t>ユウゲンカイシャ</t>
    </rPh>
    <phoneticPr fontId="13"/>
  </si>
  <si>
    <t>27-469</t>
  </si>
  <si>
    <t>7/5/19</t>
    <phoneticPr fontId="13"/>
  </si>
  <si>
    <t>なにわ 302 さ 1288</t>
    <phoneticPr fontId="13"/>
  </si>
  <si>
    <t>ﾍﾞｲｵｰｸ</t>
    <phoneticPr fontId="13"/>
  </si>
  <si>
    <t>WMWXM720603B16679</t>
    <phoneticPr fontId="13"/>
  </si>
  <si>
    <t>玉川 民平</t>
    <rPh sb="0" eb="2">
      <t>タマカワ</t>
    </rPh>
    <rPh sb="3" eb="4">
      <t>ミン</t>
    </rPh>
    <rPh sb="4" eb="5">
      <t>ヘイ</t>
    </rPh>
    <phoneticPr fontId="13"/>
  </si>
  <si>
    <t>12/01</t>
    <phoneticPr fontId="13"/>
  </si>
  <si>
    <t>中村 可菜央</t>
    <rPh sb="0" eb="2">
      <t>ナカムラ</t>
    </rPh>
    <rPh sb="3" eb="4">
      <t>カ</t>
    </rPh>
    <rPh sb="4" eb="5">
      <t>ナ</t>
    </rPh>
    <rPh sb="5" eb="6">
      <t>オウ</t>
    </rPh>
    <phoneticPr fontId="13"/>
  </si>
  <si>
    <t>27-470</t>
  </si>
  <si>
    <t>高知 343 ら 1</t>
    <rPh sb="0" eb="2">
      <t>コウチ</t>
    </rPh>
    <phoneticPr fontId="13"/>
  </si>
  <si>
    <t>WMWXS720602C50961</t>
    <phoneticPr fontId="13"/>
  </si>
  <si>
    <t>藤原 恭代</t>
    <rPh sb="0" eb="2">
      <t>フジワラ</t>
    </rPh>
    <rPh sb="3" eb="5">
      <t>ヤスヨ</t>
    </rPh>
    <phoneticPr fontId="13"/>
  </si>
  <si>
    <t>一宮 健剛</t>
    <rPh sb="0" eb="2">
      <t>イチノミヤ</t>
    </rPh>
    <rPh sb="3" eb="4">
      <t>タケル</t>
    </rPh>
    <rPh sb="4" eb="5">
      <t>ツヨシ</t>
    </rPh>
    <phoneticPr fontId="13"/>
  </si>
  <si>
    <t>27-471</t>
  </si>
  <si>
    <t>22/3</t>
    <phoneticPr fontId="13"/>
  </si>
  <si>
    <t>ｺﾍﾟﾝ ｱﾙﾃｨﾒｯﾄﾚｻﾞｰﾊﾟｯｹｰｼﾞ</t>
    <phoneticPr fontId="13"/>
  </si>
  <si>
    <t>奈良 580 ち 2443</t>
    <rPh sb="0" eb="2">
      <t>ナラ</t>
    </rPh>
    <phoneticPr fontId="13"/>
  </si>
  <si>
    <t>581 ゆ 6384</t>
    <phoneticPr fontId="13"/>
  </si>
  <si>
    <t>L880K-0052790</t>
    <phoneticPr fontId="13"/>
  </si>
  <si>
    <t>峯本 希容子</t>
    <rPh sb="0" eb="2">
      <t>ミネモト</t>
    </rPh>
    <rPh sb="3" eb="4">
      <t>ノゾミ</t>
    </rPh>
    <rPh sb="4" eb="6">
      <t>ヨウコ</t>
    </rPh>
    <phoneticPr fontId="13"/>
  </si>
  <si>
    <t>27-472</t>
  </si>
  <si>
    <t>BMWﾐﾆｸｰﾊﾟｰ JCW</t>
    <phoneticPr fontId="13"/>
  </si>
  <si>
    <t>岡山 333 は 3298</t>
    <rPh sb="0" eb="2">
      <t>オカヤマ</t>
    </rPh>
    <phoneticPr fontId="13"/>
  </si>
  <si>
    <t>WMWXR920302L12756</t>
    <phoneticPr fontId="13"/>
  </si>
  <si>
    <t>株式会社ｱﾙｺﾝ岡山</t>
    <rPh sb="0" eb="4">
      <t>カブシキガイシャ</t>
    </rPh>
    <rPh sb="8" eb="10">
      <t>オカヤマ</t>
    </rPh>
    <phoneticPr fontId="13"/>
  </si>
  <si>
    <t>12/6</t>
    <phoneticPr fontId="13"/>
  </si>
  <si>
    <t>27-473</t>
  </si>
  <si>
    <t>22/12</t>
    <phoneticPr fontId="13"/>
  </si>
  <si>
    <t>ｱﾙﾌｧﾛﾒｵ ﾌﾞﾚﾗ JTSQﾄﾛﾆｯｸｲﾀﾘｱﾝﾃﾞｨﾍﾟﾝﾃﾞﾝﾄ</t>
    <phoneticPr fontId="13"/>
  </si>
  <si>
    <t>福井 300 る 7429</t>
    <rPh sb="0" eb="2">
      <t>フクイ</t>
    </rPh>
    <phoneticPr fontId="13"/>
  </si>
  <si>
    <t>ﾀﾞｰｸﾁﾀﾆｳﾑ</t>
    <phoneticPr fontId="13"/>
  </si>
  <si>
    <t>ZAR93900005031399</t>
    <phoneticPr fontId="13"/>
  </si>
  <si>
    <t>12/14</t>
    <phoneticPr fontId="13"/>
  </si>
  <si>
    <t xml:space="preserve">ｷｰﾚｽ(車内)取説 </t>
    <rPh sb="5" eb="7">
      <t>シャナイ</t>
    </rPh>
    <rPh sb="8" eb="10">
      <t>トリセツ</t>
    </rPh>
    <phoneticPr fontId="13"/>
  </si>
  <si>
    <t>27-474</t>
  </si>
  <si>
    <t>ｼﾞｬｶﾞｰ XF Rｽﾎﾟｰﾂ</t>
    <phoneticPr fontId="13"/>
  </si>
  <si>
    <t>和泉 329 て 6724</t>
    <rPh sb="0" eb="2">
      <t>イズミ</t>
    </rPh>
    <phoneticPr fontId="13"/>
  </si>
  <si>
    <t>SAJBB4AVXHCY30033</t>
    <phoneticPr fontId="13"/>
  </si>
  <si>
    <t>阪谷 昌宏</t>
    <rPh sb="0" eb="2">
      <t>サカタニ</t>
    </rPh>
    <rPh sb="3" eb="5">
      <t>マサヒロ</t>
    </rPh>
    <phoneticPr fontId="13"/>
  </si>
  <si>
    <t>27-475</t>
  </si>
  <si>
    <t>8/2/1</t>
    <phoneticPr fontId="13"/>
  </si>
  <si>
    <t>一宮 331 り 56</t>
    <rPh sb="0" eb="2">
      <t>イチノミヤ</t>
    </rPh>
    <phoneticPr fontId="13"/>
  </si>
  <si>
    <t>301 ぬ 1581</t>
    <phoneticPr fontId="13"/>
  </si>
  <si>
    <t>WMWXR92060TP20825</t>
    <phoneticPr fontId="13"/>
  </si>
  <si>
    <t>愛知ﾄﾖﾀWEST株式会社</t>
    <rPh sb="0" eb="2">
      <t>アイチ</t>
    </rPh>
    <rPh sb="9" eb="13">
      <t>カブシキガイシャ</t>
    </rPh>
    <phoneticPr fontId="13"/>
  </si>
  <si>
    <t>12/15</t>
    <phoneticPr fontId="13"/>
  </si>
  <si>
    <t>27-476</t>
  </si>
  <si>
    <t>ｼﾞｬｶﾞｰXE S</t>
    <phoneticPr fontId="13"/>
  </si>
  <si>
    <t>神戸 303 は 5143</t>
    <rPh sb="0" eb="2">
      <t>コウベ</t>
    </rPh>
    <phoneticPr fontId="13"/>
  </si>
  <si>
    <t>SAJAB4AV0HA963066</t>
    <phoneticPr fontId="13"/>
  </si>
  <si>
    <t>株式会社神戸ﾏﾂﾀﾞ</t>
    <rPh sb="0" eb="4">
      <t>カブシキカイシャ</t>
    </rPh>
    <rPh sb="4" eb="6">
      <t>コウベ</t>
    </rPh>
    <phoneticPr fontId="13"/>
  </si>
  <si>
    <t>27-477</t>
  </si>
  <si>
    <t>4/12</t>
    <phoneticPr fontId="13"/>
  </si>
  <si>
    <t>ﾌﾟｼﾞｮｰ308 GTﾌﾞﾙｰHdi</t>
    <phoneticPr fontId="13"/>
  </si>
  <si>
    <t>7/12/26</t>
    <phoneticPr fontId="13"/>
  </si>
  <si>
    <t>名古屋 335 つ 2131</t>
    <rPh sb="0" eb="3">
      <t>ナゴヤ</t>
    </rPh>
    <phoneticPr fontId="13"/>
  </si>
  <si>
    <t>343 ひ 308</t>
    <phoneticPr fontId="13"/>
  </si>
  <si>
    <t>JU愛知</t>
    <rPh sb="2" eb="4">
      <t>アイチ</t>
    </rPh>
    <phoneticPr fontId="13"/>
  </si>
  <si>
    <t>VR3FBYHZTNY620272</t>
    <phoneticPr fontId="13"/>
  </si>
  <si>
    <t>株式会社ZERO</t>
    <rPh sb="0" eb="4">
      <t>カブシキガイシャ</t>
    </rPh>
    <phoneticPr fontId="13"/>
  </si>
  <si>
    <t>27-478</t>
  </si>
  <si>
    <t>21/9</t>
    <phoneticPr fontId="13"/>
  </si>
  <si>
    <t>ｱｳﾃﾞｨ RS6ｱﾊﾞﾝﾄ</t>
    <phoneticPr fontId="13"/>
  </si>
  <si>
    <t>8/10/3</t>
    <phoneticPr fontId="13"/>
  </si>
  <si>
    <t>尾張小牧 302 る 3166</t>
    <rPh sb="0" eb="4">
      <t>オワリコマキ</t>
    </rPh>
    <phoneticPr fontId="13"/>
  </si>
  <si>
    <t>保証書 取説 ｽﾍﾟｱｷｰ ﾌﾟﾗｷｰ</t>
  </si>
  <si>
    <t>WUAZZZ4F99N900530</t>
    <phoneticPr fontId="13"/>
  </si>
  <si>
    <t>森 和男</t>
    <rPh sb="0" eb="1">
      <t>モリ</t>
    </rPh>
    <rPh sb="2" eb="4">
      <t>カズオ</t>
    </rPh>
    <phoneticPr fontId="13"/>
  </si>
  <si>
    <t>12/19</t>
    <phoneticPr fontId="13"/>
  </si>
  <si>
    <t>保証書 取説 ｷｰﾚｽ ﾌﾟﾗｷ-</t>
    <rPh sb="0" eb="3">
      <t>ホショウショ</t>
    </rPh>
    <rPh sb="4" eb="6">
      <t>トリセツ</t>
    </rPh>
    <phoneticPr fontId="13"/>
  </si>
  <si>
    <t>27-479</t>
  </si>
  <si>
    <t>30/11</t>
    <phoneticPr fontId="13"/>
  </si>
  <si>
    <t>ﾎﾞﾙﾎﾞV40 T5 Rﾃﾞｻﾞｲﾝ</t>
    <phoneticPr fontId="13"/>
  </si>
  <si>
    <t>堺 374 と 77</t>
    <rPh sb="0" eb="1">
      <t>サカイ</t>
    </rPh>
    <phoneticPr fontId="13"/>
  </si>
  <si>
    <t>301 ぬ 1120</t>
    <phoneticPr fontId="13"/>
  </si>
  <si>
    <t>YV1MV402DJ2504513</t>
    <phoneticPr fontId="13"/>
  </si>
  <si>
    <t>27-480</t>
  </si>
  <si>
    <t>久留米 399 つ 3085</t>
    <rPh sb="0" eb="3">
      <t>クルメ</t>
    </rPh>
    <phoneticPr fontId="13"/>
  </si>
  <si>
    <t>WMWXR920X0TP20715</t>
    <phoneticPr fontId="13"/>
  </si>
  <si>
    <t>株式会社SIC</t>
    <rPh sb="0" eb="4">
      <t>カブシキガイシャ</t>
    </rPh>
    <phoneticPr fontId="13"/>
  </si>
  <si>
    <t>12/26</t>
    <phoneticPr fontId="13"/>
  </si>
  <si>
    <t>保証書 取説(車内)ﾚﾝﾀｶｰ</t>
    <rPh sb="0" eb="3">
      <t>ホショウショ</t>
    </rPh>
    <rPh sb="4" eb="6">
      <t>トリセツ</t>
    </rPh>
    <phoneticPr fontId="13"/>
  </si>
  <si>
    <t>27-481</t>
  </si>
  <si>
    <t>8/6/28</t>
    <phoneticPr fontId="13"/>
  </si>
  <si>
    <t>神戸 334 せ 1962</t>
    <rPh sb="0" eb="2">
      <t>コウベ</t>
    </rPh>
    <phoneticPr fontId="13"/>
  </si>
  <si>
    <t>301 ぬ 1582</t>
    <phoneticPr fontId="13"/>
  </si>
  <si>
    <t>WMWXM720002A77092</t>
    <phoneticPr fontId="13"/>
  </si>
  <si>
    <t>大西 敏也</t>
    <rPh sb="0" eb="2">
      <t>オオニシ</t>
    </rPh>
    <rPh sb="3" eb="5">
      <t>トシヤ</t>
    </rPh>
    <phoneticPr fontId="13"/>
  </si>
  <si>
    <t>藤原 敬浩</t>
    <rPh sb="0" eb="2">
      <t>フジワラ</t>
    </rPh>
    <rPh sb="3" eb="4">
      <t>ケイ</t>
    </rPh>
    <rPh sb="4" eb="5">
      <t>ヒロ</t>
    </rPh>
    <phoneticPr fontId="13"/>
  </si>
  <si>
    <t>27-482</t>
  </si>
  <si>
    <t>BMWﾐﾆ ｸﾛｽｵｰﾊﾞｰ JCWALL4</t>
    <phoneticPr fontId="13"/>
  </si>
  <si>
    <t>札幌 343 ふ 500</t>
    <rPh sb="0" eb="2">
      <t>サッポロ</t>
    </rPh>
    <phoneticPr fontId="13"/>
  </si>
  <si>
    <t>301 ぬ 1214</t>
    <phoneticPr fontId="13"/>
  </si>
  <si>
    <t>WMWYV920803E43341</t>
    <phoneticPr fontId="13"/>
  </si>
  <si>
    <t>株式会社ﾓﾄｰﾚﾝ札幌</t>
    <rPh sb="0" eb="4">
      <t>カブシキガイシャ</t>
    </rPh>
    <rPh sb="9" eb="11">
      <t>サッポロ</t>
    </rPh>
    <phoneticPr fontId="13"/>
  </si>
  <si>
    <t>保証書 取説 ｷｰﾚｽ 車庫出しOK</t>
    <rPh sb="0" eb="3">
      <t>ホショウショ</t>
    </rPh>
    <rPh sb="4" eb="6">
      <t>トリセツ</t>
    </rPh>
    <rPh sb="12" eb="15">
      <t>シャコダ</t>
    </rPh>
    <phoneticPr fontId="13"/>
  </si>
  <si>
    <t>保証書R6距離ﾃﾞｨｰﾗｰ訂正済</t>
    <rPh sb="0" eb="3">
      <t>ホショウショ</t>
    </rPh>
    <rPh sb="5" eb="7">
      <t>キョリ</t>
    </rPh>
    <rPh sb="13" eb="15">
      <t>テイセイ</t>
    </rPh>
    <rPh sb="15" eb="16">
      <t>ズ</t>
    </rPh>
    <phoneticPr fontId="13"/>
  </si>
  <si>
    <t>27-483</t>
  </si>
  <si>
    <t>8/10/29</t>
    <phoneticPr fontId="13"/>
  </si>
  <si>
    <t>大阪 342 と 329</t>
    <rPh sb="0" eb="2">
      <t>オオサカ</t>
    </rPh>
    <phoneticPr fontId="13"/>
  </si>
  <si>
    <t>301 ぬ 2278</t>
    <phoneticPr fontId="13"/>
  </si>
  <si>
    <t>WMWXT320402F06763</t>
    <phoneticPr fontId="13"/>
  </si>
  <si>
    <t>株式会社ﾎﾝﾀﾞﾓﾋﾞﾘﾃｨ近畿</t>
    <rPh sb="0" eb="4">
      <t>カブシキカイシャ</t>
    </rPh>
    <rPh sb="14" eb="16">
      <t>キンキ</t>
    </rPh>
    <phoneticPr fontId="13"/>
  </si>
  <si>
    <t>取説（車内）</t>
    <rPh sb="0" eb="2">
      <t>トリセツ</t>
    </rPh>
    <rPh sb="3" eb="5">
      <t>シャナイ</t>
    </rPh>
    <phoneticPr fontId="13"/>
  </si>
  <si>
    <t>27-484</t>
  </si>
  <si>
    <t>BMWﾐﾆ ｸｰﾊﾟｰD ｸﾗﾌﾞﾏﾝ</t>
    <phoneticPr fontId="13"/>
  </si>
  <si>
    <t>8/11</t>
    <phoneticPr fontId="13"/>
  </si>
  <si>
    <t>横浜 34F つ 11</t>
    <rPh sb="0" eb="2">
      <t>ヨコハマ</t>
    </rPh>
    <phoneticPr fontId="13"/>
  </si>
  <si>
    <t>301 ぬ 2279</t>
    <phoneticPr fontId="13"/>
  </si>
  <si>
    <t>WMW32BC0102N67057</t>
    <phoneticPr fontId="13"/>
  </si>
  <si>
    <t>株式会社ｼｭﾃﾙﾝ世田谷</t>
    <rPh sb="0" eb="4">
      <t>カブシキガイシャ</t>
    </rPh>
    <rPh sb="9" eb="12">
      <t>セタガヤ</t>
    </rPh>
    <phoneticPr fontId="13"/>
  </si>
  <si>
    <t>1/21</t>
    <phoneticPr fontId="13"/>
  </si>
  <si>
    <t>佐藤 真紀</t>
    <rPh sb="0" eb="2">
      <t>サトウ</t>
    </rPh>
    <rPh sb="3" eb="5">
      <t>マキ</t>
    </rPh>
    <phoneticPr fontId="13"/>
  </si>
  <si>
    <t>27-485</t>
  </si>
  <si>
    <t>ｱｳﾃﾞｨ  S1 ｽﾎﾟｰﾂﾊﾞｯｸ</t>
    <phoneticPr fontId="13"/>
  </si>
  <si>
    <t>横浜 306 せ 915</t>
    <rPh sb="0" eb="2">
      <t>ヨコハマ</t>
    </rPh>
    <phoneticPr fontId="13"/>
  </si>
  <si>
    <t>整備手帳 取説 ｽﾍﾟｱｷｰ</t>
  </si>
  <si>
    <t>301 ぬ 2891</t>
    <phoneticPr fontId="13"/>
  </si>
  <si>
    <t>WAUZZZ8X2FB002815</t>
    <phoneticPr fontId="13"/>
  </si>
  <si>
    <t>27-486</t>
  </si>
  <si>
    <t>7/3/9</t>
    <phoneticPr fontId="13"/>
  </si>
  <si>
    <t>堺 328 る 88</t>
    <rPh sb="0" eb="1">
      <t>サカイ</t>
    </rPh>
    <phoneticPr fontId="13"/>
  </si>
  <si>
    <t>35C り 5</t>
    <phoneticPr fontId="13"/>
  </si>
  <si>
    <t>A261322</t>
    <phoneticPr fontId="13"/>
  </si>
  <si>
    <t>AGH30-0305997</t>
    <phoneticPr fontId="13"/>
  </si>
  <si>
    <t>福田 淳</t>
    <rPh sb="0" eb="2">
      <t>フクダ</t>
    </rPh>
    <rPh sb="3" eb="4">
      <t>ジュン</t>
    </rPh>
    <phoneticPr fontId="13"/>
  </si>
  <si>
    <t xml:space="preserve"> ｷｰﾚｽ ﾘﾓｺﾝ(車内)保証書 ﾅﾋﾞ取説</t>
    <rPh sb="14" eb="17">
      <t>ホショウショ</t>
    </rPh>
    <rPh sb="21" eb="23">
      <t>トリセツ</t>
    </rPh>
    <phoneticPr fontId="13"/>
  </si>
  <si>
    <t>27-487</t>
  </si>
  <si>
    <t>ｼﾄﾛｴﾝｸﾞﾗﾝﾄﾞC4 ﾋﾟｶｿ</t>
    <phoneticPr fontId="13"/>
  </si>
  <si>
    <t>岡山 330 ま 2574</t>
    <rPh sb="0" eb="2">
      <t>オカヤマ</t>
    </rPh>
    <phoneticPr fontId="13"/>
  </si>
  <si>
    <t>VF73AAHXTHJ807009</t>
    <phoneticPr fontId="13"/>
  </si>
  <si>
    <t>山陽村上ﾓｰﾀｰ株式会社</t>
    <rPh sb="0" eb="2">
      <t>サンヨウ</t>
    </rPh>
    <rPh sb="2" eb="4">
      <t>ムラカミ</t>
    </rPh>
    <rPh sb="8" eb="12">
      <t>カブシキガイシャ</t>
    </rPh>
    <phoneticPr fontId="13"/>
  </si>
  <si>
    <t>2/4</t>
    <phoneticPr fontId="13"/>
  </si>
  <si>
    <t>ｷｰﾚｽ（車内）保証書 取説 ﾜﾝｵｰﾅｰ</t>
    <rPh sb="5" eb="7">
      <t>シャナイ</t>
    </rPh>
    <rPh sb="8" eb="11">
      <t>ホショウショ</t>
    </rPh>
    <rPh sb="12" eb="14">
      <t>トリセツ</t>
    </rPh>
    <phoneticPr fontId="13"/>
  </si>
  <si>
    <t>27-488</t>
  </si>
  <si>
    <t>ﾌﾚｱﾜｺﾞﾝｶｽﾀﾑ ｽﾀｲﾙﾊｲﾌﾞﾘｯﾄﾞXS</t>
    <phoneticPr fontId="13"/>
  </si>
  <si>
    <t>神戸 583 す 6010</t>
    <rPh sb="0" eb="2">
      <t>コウベ</t>
    </rPh>
    <phoneticPr fontId="13"/>
  </si>
  <si>
    <t>MM53S-732707</t>
    <phoneticPr fontId="13"/>
  </si>
  <si>
    <t>株式会社神戸ﾏﾂﾀﾞ</t>
    <rPh sb="0" eb="4">
      <t>カブシキガイシャ</t>
    </rPh>
    <rPh sb="4" eb="6">
      <t>コウベ</t>
    </rPh>
    <phoneticPr fontId="13"/>
  </si>
  <si>
    <t>27-489</t>
  </si>
  <si>
    <t>1/3</t>
    <phoneticPr fontId="13"/>
  </si>
  <si>
    <t>CX-5 20Sﾌﾟﾛｱｸﾃｨﾌﾞ</t>
    <phoneticPr fontId="13"/>
  </si>
  <si>
    <t>8/3/28</t>
    <phoneticPr fontId="13"/>
  </si>
  <si>
    <t>岐阜 302 ほ 9063</t>
    <rPh sb="0" eb="2">
      <t>ギフ</t>
    </rPh>
    <phoneticPr fontId="13"/>
  </si>
  <si>
    <t>301 ぬ 4332</t>
    <phoneticPr fontId="13"/>
  </si>
  <si>
    <t>A260630</t>
    <phoneticPr fontId="13"/>
  </si>
  <si>
    <t>KFEP-303140</t>
    <phoneticPr fontId="13"/>
  </si>
  <si>
    <t>起 宗将</t>
    <rPh sb="0" eb="1">
      <t>オ</t>
    </rPh>
    <rPh sb="2" eb="3">
      <t>ソウ</t>
    </rPh>
    <rPh sb="3" eb="4">
      <t>マサル</t>
    </rPh>
    <phoneticPr fontId="13"/>
  </si>
  <si>
    <t>地図SD(車内)ｷｰﾚｽ ﾜﾝｵｰﾅｰ ←付属品ｺｰﾅｰへ</t>
    <rPh sb="0" eb="2">
      <t>チズ</t>
    </rPh>
    <rPh sb="21" eb="24">
      <t>フゾクヒン</t>
    </rPh>
    <phoneticPr fontId="13"/>
  </si>
  <si>
    <t>27-490</t>
  </si>
  <si>
    <t>22/4</t>
    <phoneticPr fontId="13"/>
  </si>
  <si>
    <t>7/6/12</t>
    <phoneticPr fontId="13"/>
  </si>
  <si>
    <t>三重 586 う 1234</t>
    <rPh sb="0" eb="2">
      <t>ミエ</t>
    </rPh>
    <phoneticPr fontId="13"/>
  </si>
  <si>
    <t>581 よ 1806</t>
    <phoneticPr fontId="13"/>
  </si>
  <si>
    <t>L880K-0052883</t>
    <phoneticPr fontId="13"/>
  </si>
  <si>
    <t>谷口 肇</t>
    <rPh sb="0" eb="2">
      <t>タニグチ</t>
    </rPh>
    <rPh sb="3" eb="4">
      <t>ハジメ</t>
    </rPh>
    <phoneticPr fontId="13"/>
  </si>
  <si>
    <t>2/6</t>
    <phoneticPr fontId="13"/>
  </si>
  <si>
    <t>27-491</t>
  </si>
  <si>
    <t>BMWﾐﾆ ｸｰﾊﾟｰSDｵｰﾙ4ｸﾛｽｵｰﾊﾞｰ</t>
    <phoneticPr fontId="13"/>
  </si>
  <si>
    <t>神戸 346 に 3110</t>
    <rPh sb="0" eb="2">
      <t>コウベ</t>
    </rPh>
    <phoneticPr fontId="13"/>
  </si>
  <si>
    <t>WMWZZBU0303N98590</t>
    <phoneticPr fontId="13"/>
  </si>
  <si>
    <t>齊藤 泉</t>
    <rPh sb="0" eb="2">
      <t>サイトウ</t>
    </rPh>
    <rPh sb="3" eb="4">
      <t>イズミ</t>
    </rPh>
    <phoneticPr fontId="13"/>
  </si>
  <si>
    <t>27-492</t>
  </si>
  <si>
    <t>徳島 335 は 37</t>
    <rPh sb="0" eb="2">
      <t>トクシマ</t>
    </rPh>
    <phoneticPr fontId="13"/>
  </si>
  <si>
    <t>WMWXR920802L12350</t>
    <phoneticPr fontId="13"/>
  </si>
  <si>
    <t>徳島ﾄﾖﾀ自動車株式会社</t>
    <rPh sb="0" eb="2">
      <t>トクシマ</t>
    </rPh>
    <rPh sb="5" eb="8">
      <t>ジドウシャ</t>
    </rPh>
    <rPh sb="8" eb="12">
      <t>カブシキガイシャ</t>
    </rPh>
    <phoneticPr fontId="13"/>
  </si>
  <si>
    <t>保証書 取説(車内)ﾜﾝｵｰﾅｰ</t>
    <rPh sb="0" eb="3">
      <t>ホショウショ</t>
    </rPh>
    <rPh sb="4" eb="6">
      <t>トリセツ</t>
    </rPh>
    <phoneticPr fontId="13"/>
  </si>
  <si>
    <t>27-493</t>
  </si>
  <si>
    <t>広島 336 す 357</t>
    <rPh sb="0" eb="2">
      <t>ヒロシマ</t>
    </rPh>
    <phoneticPr fontId="13"/>
  </si>
  <si>
    <t>301 ぬ 4634</t>
    <phoneticPr fontId="13"/>
  </si>
  <si>
    <t>WMWLN720702H57325</t>
    <phoneticPr fontId="13"/>
  </si>
  <si>
    <t>ﾄﾖﾀｶﾛｰﾗ広島株式会社</t>
    <rPh sb="7" eb="9">
      <t>ヒロシマ</t>
    </rPh>
    <rPh sb="9" eb="13">
      <t>カブシキガイシャ</t>
    </rPh>
    <phoneticPr fontId="13"/>
  </si>
  <si>
    <t>川﨑 楓香</t>
    <rPh sb="0" eb="2">
      <t>カワサキ</t>
    </rPh>
    <rPh sb="3" eb="5">
      <t>フウカ</t>
    </rPh>
    <phoneticPr fontId="13"/>
  </si>
  <si>
    <t>27-494</t>
  </si>
  <si>
    <t>福岡 330 せ 5247</t>
    <rPh sb="0" eb="2">
      <t>フクオカ</t>
    </rPh>
    <phoneticPr fontId="13"/>
  </si>
  <si>
    <t>SAJAB4AV7JCP34023</t>
    <phoneticPr fontId="13"/>
  </si>
  <si>
    <t>福岡ﾄﾖﾀ自動車株式会社</t>
    <rPh sb="0" eb="2">
      <t>フクオカ</t>
    </rPh>
    <rPh sb="5" eb="8">
      <t>ジドウシャ</t>
    </rPh>
    <rPh sb="8" eb="12">
      <t>カブシキガイシャ</t>
    </rPh>
    <phoneticPr fontId="13"/>
  </si>
  <si>
    <t>大工原 忠相</t>
    <rPh sb="0" eb="3">
      <t>ダイクハラ</t>
    </rPh>
    <rPh sb="4" eb="5">
      <t>タダ</t>
    </rPh>
    <phoneticPr fontId="13"/>
  </si>
  <si>
    <t>27-495</t>
  </si>
  <si>
    <t>19/6</t>
    <phoneticPr fontId="13"/>
  </si>
  <si>
    <t>BMW M6</t>
    <phoneticPr fontId="13"/>
  </si>
  <si>
    <t>所沢 352 め 11</t>
    <rPh sb="0" eb="2">
      <t>トコロザワ</t>
    </rPh>
    <phoneticPr fontId="13"/>
  </si>
  <si>
    <t>WBSEH92000CM77096</t>
    <phoneticPr fontId="13"/>
  </si>
  <si>
    <t>中田 淳</t>
    <rPh sb="0" eb="2">
      <t>ナカタ</t>
    </rPh>
    <rPh sb="3" eb="4">
      <t>アツシ</t>
    </rPh>
    <phoneticPr fontId="13"/>
  </si>
  <si>
    <t>保証書 その他取説 ﾘﾓｺﾝ3個</t>
    <rPh sb="0" eb="3">
      <t>ホショウショ</t>
    </rPh>
    <rPh sb="6" eb="7">
      <t>タ</t>
    </rPh>
    <rPh sb="7" eb="9">
      <t>トリセツ</t>
    </rPh>
    <rPh sb="15" eb="16">
      <t>コ</t>
    </rPh>
    <phoneticPr fontId="13"/>
  </si>
  <si>
    <t>27-496</t>
  </si>
  <si>
    <t>ﾎﾞﾙﾎﾞ V40 D4</t>
    <phoneticPr fontId="13"/>
  </si>
  <si>
    <t>神戸 318 な 8080</t>
    <rPh sb="0" eb="2">
      <t>コウベ</t>
    </rPh>
    <phoneticPr fontId="13"/>
  </si>
  <si>
    <t>TAA兵庫</t>
    <rPh sb="3" eb="5">
      <t>ヒョウゴ</t>
    </rPh>
    <phoneticPr fontId="13"/>
  </si>
  <si>
    <t>YV1MVA8RDK2547513</t>
    <phoneticPr fontId="13"/>
  </si>
  <si>
    <t>兵庫ｽﾊﾞﾙ自動車株式会社</t>
    <rPh sb="0" eb="2">
      <t>ヒョウゴ</t>
    </rPh>
    <rPh sb="6" eb="13">
      <t>ジドウシャカブシキガイシャ</t>
    </rPh>
    <phoneticPr fontId="13"/>
  </si>
  <si>
    <t>ｷｰﾚｽ（車内）保証書 取説</t>
    <rPh sb="5" eb="7">
      <t>シャナイ</t>
    </rPh>
    <rPh sb="8" eb="11">
      <t>ホショウショ</t>
    </rPh>
    <rPh sb="12" eb="14">
      <t>トリセツ</t>
    </rPh>
    <phoneticPr fontId="13"/>
  </si>
  <si>
    <t>27-497</t>
  </si>
  <si>
    <t>ｱｳﾃﾞｨQ3 TFSI ｸﾜﾄﾛ</t>
    <phoneticPr fontId="13"/>
  </si>
  <si>
    <t>札幌 399 ほ 223</t>
    <rPh sb="0" eb="2">
      <t>サッポロ</t>
    </rPh>
    <phoneticPr fontId="13"/>
  </si>
  <si>
    <t xml:space="preserve"> 整備手帳 取説</t>
  </si>
  <si>
    <t>WAUZZZ8U5FR033019</t>
    <phoneticPr fontId="13"/>
  </si>
  <si>
    <t>2/15</t>
    <phoneticPr fontId="13"/>
  </si>
  <si>
    <t>27-498</t>
  </si>
  <si>
    <t>ｱﾙﾌｧﾛﾒｵ ｽﾃﾙｳﾞｨｵ2.2ﾀｰﾎﾞﾃﾞｨｰｾﾞﾙQ4</t>
    <phoneticPr fontId="13"/>
  </si>
  <si>
    <t>8/5/30</t>
    <phoneticPr fontId="13"/>
  </si>
  <si>
    <t>名古屋 398 つ 2</t>
    <rPh sb="0" eb="3">
      <t>ナゴヤ</t>
    </rPh>
    <phoneticPr fontId="13"/>
  </si>
  <si>
    <t>301 ぬ 4007</t>
    <phoneticPr fontId="13"/>
  </si>
  <si>
    <t>ZARPAHGX3K7C53684</t>
    <phoneticPr fontId="13"/>
  </si>
  <si>
    <t>保証書 取説 ﾘﾓｺﾝ ｷｰﾚｽ</t>
    <rPh sb="0" eb="3">
      <t>ホショウショ</t>
    </rPh>
    <rPh sb="4" eb="6">
      <t>トリセツ</t>
    </rPh>
    <phoneticPr fontId="13"/>
  </si>
  <si>
    <t>972(338)</t>
    <phoneticPr fontId="13"/>
  </si>
  <si>
    <t>27-499</t>
  </si>
  <si>
    <t>ｱﾙﾄﾗﾊﾟﾝ ﾓｰﾄﾞ</t>
    <phoneticPr fontId="13"/>
  </si>
  <si>
    <t>7/10/28</t>
    <phoneticPr fontId="13"/>
  </si>
  <si>
    <t>富山 581 さ 7986</t>
    <rPh sb="0" eb="2">
      <t>トヤマ</t>
    </rPh>
    <phoneticPr fontId="13"/>
  </si>
  <si>
    <t>581 よ 4002</t>
    <phoneticPr fontId="13"/>
  </si>
  <si>
    <t>HE33S-300071</t>
    <phoneticPr fontId="13"/>
  </si>
  <si>
    <t>保証書 取説 ﾅﾋﾞ取説 ﾜﾝｵｰﾅｰ ｷｰﾚｽ</t>
    <rPh sb="0" eb="3">
      <t>ホショウショ</t>
    </rPh>
    <rPh sb="4" eb="6">
      <t>トリセツ</t>
    </rPh>
    <rPh sb="10" eb="12">
      <t>トリセツ</t>
    </rPh>
    <phoneticPr fontId="13"/>
  </si>
  <si>
    <t>ﾅﾝﾊﾞｰ持ち出し中</t>
    <rPh sb="5" eb="6">
      <t>モ</t>
    </rPh>
    <rPh sb="7" eb="8">
      <t>ダ</t>
    </rPh>
    <rPh sb="9" eb="10">
      <t>チュウ</t>
    </rPh>
    <phoneticPr fontId="13"/>
  </si>
  <si>
    <t>27-500</t>
  </si>
  <si>
    <t>ﾎﾞﾙﾎﾞV40 ｸﾛｽｶﾝﾄﾘｰD4ｱｸﾃｨﾌﾞED</t>
    <phoneticPr fontId="13"/>
  </si>
  <si>
    <t>栃木 342 つ 3588</t>
    <rPh sb="0" eb="2">
      <t>トチギ</t>
    </rPh>
    <phoneticPr fontId="13"/>
  </si>
  <si>
    <t>301 ぬ 3625</t>
    <phoneticPr fontId="13"/>
  </si>
  <si>
    <t>CAA東京（まとめ）</t>
    <rPh sb="3" eb="5">
      <t>トウキョウ</t>
    </rPh>
    <phoneticPr fontId="13"/>
  </si>
  <si>
    <t>YV1MZA8RDJ2155250</t>
    <phoneticPr fontId="13"/>
  </si>
  <si>
    <t>株式会社ｱﾌﾟﾗｽ</t>
    <rPh sb="0" eb="4">
      <t>カブシキガイシャ</t>
    </rPh>
    <phoneticPr fontId="13"/>
  </si>
  <si>
    <t>2/25</t>
    <phoneticPr fontId="13"/>
  </si>
  <si>
    <t>保証書 取説 ﾘﾓｺﾝ</t>
    <rPh sb="0" eb="3">
      <t>ホショウショ</t>
    </rPh>
    <rPh sb="4" eb="6">
      <t>トリセツ</t>
    </rPh>
    <phoneticPr fontId="13"/>
  </si>
  <si>
    <t>27-501</t>
  </si>
  <si>
    <t>千葉 326 さ 6373</t>
    <rPh sb="0" eb="2">
      <t>チバ</t>
    </rPh>
    <phoneticPr fontId="13"/>
  </si>
  <si>
    <t>TAA関東</t>
    <rPh sb="3" eb="5">
      <t>カントウ</t>
    </rPh>
    <phoneticPr fontId="13"/>
  </si>
  <si>
    <t>WMWXT320402H68041</t>
    <phoneticPr fontId="13"/>
  </si>
  <si>
    <t>千葉ｽﾊﾞﾙ株式会社</t>
    <rPh sb="0" eb="2">
      <t>チバ</t>
    </rPh>
    <rPh sb="6" eb="10">
      <t>カブシキガイシャ</t>
    </rPh>
    <phoneticPr fontId="13"/>
  </si>
  <si>
    <t>ｷｰﾚｽ(車内)保証書 取説</t>
    <rPh sb="8" eb="11">
      <t>ホショウショ</t>
    </rPh>
    <rPh sb="12" eb="14">
      <t>トリセツ</t>
    </rPh>
    <phoneticPr fontId="13"/>
  </si>
  <si>
    <t>阿部 倫子</t>
    <rPh sb="0" eb="2">
      <t>アベ</t>
    </rPh>
    <rPh sb="3" eb="5">
      <t>リンコ</t>
    </rPh>
    <phoneticPr fontId="13"/>
  </si>
  <si>
    <t>27-502</t>
  </si>
  <si>
    <t>26/5</t>
    <phoneticPr fontId="13"/>
  </si>
  <si>
    <t>ﾊｽﾗｰ Xﾀｰﾎﾞ</t>
    <phoneticPr fontId="13"/>
  </si>
  <si>
    <t>名古屋 58A ね 8851</t>
    <rPh sb="0" eb="3">
      <t>ナゴヤ</t>
    </rPh>
    <phoneticPr fontId="13"/>
  </si>
  <si>
    <t>581よ 4004</t>
    <phoneticPr fontId="13"/>
  </si>
  <si>
    <t>MR31S-809824</t>
    <phoneticPr fontId="13"/>
  </si>
  <si>
    <t>有限会社坂元商会</t>
    <rPh sb="0" eb="4">
      <t>ユウゲンガイシャ</t>
    </rPh>
    <rPh sb="4" eb="6">
      <t>サカモト</t>
    </rPh>
    <rPh sb="6" eb="8">
      <t>ショウカイ</t>
    </rPh>
    <phoneticPr fontId="13"/>
  </si>
  <si>
    <t>2/27</t>
    <phoneticPr fontId="13"/>
  </si>
  <si>
    <t>27-503</t>
  </si>
  <si>
    <t>ﾐﾗｺｺｱ ﾌﾟﾗｽX</t>
    <phoneticPr fontId="13"/>
  </si>
  <si>
    <t>8/3/14</t>
    <phoneticPr fontId="13"/>
  </si>
  <si>
    <t>松本 584 せ 626</t>
    <rPh sb="0" eb="2">
      <t>マツモト</t>
    </rPh>
    <phoneticPr fontId="13"/>
  </si>
  <si>
    <t>自賠責 ﾘｻｲｸﾙ券 JU愛知返送済2/21</t>
  </si>
  <si>
    <t>581 よ 4017</t>
    <phoneticPr fontId="13"/>
  </si>
  <si>
    <t>L675S-0219609</t>
    <phoneticPr fontId="13"/>
  </si>
  <si>
    <t>伊藤 杏奈</t>
    <rPh sb="0" eb="2">
      <t>イトウ</t>
    </rPh>
    <rPh sb="3" eb="5">
      <t>アンナ</t>
    </rPh>
    <phoneticPr fontId="13"/>
  </si>
  <si>
    <t>保証書 取説(車内)</t>
    <rPh sb="0" eb="3">
      <t>ホショウショ</t>
    </rPh>
    <rPh sb="4" eb="6">
      <t>トリセツ</t>
    </rPh>
    <phoneticPr fontId="13"/>
  </si>
  <si>
    <t>27-504</t>
  </si>
  <si>
    <t>ｼﾞｬｶﾞｰXF Rｽﾎﾟｰﾂｱﾄﾞﾊﾞﾝｽﾄﾞﾊﾟｰｸｱｼｽﾄﾊﾞｯｸ</t>
    <phoneticPr fontId="13"/>
  </si>
  <si>
    <t>千葉 326 さ 8104</t>
    <rPh sb="0" eb="2">
      <t>チバ</t>
    </rPh>
    <phoneticPr fontId="13"/>
  </si>
  <si>
    <t>保証書 取説 Sｽﾏｰﾄｷｰ</t>
  </si>
  <si>
    <t>SAJBB4AV5GCY00226</t>
    <phoneticPr fontId="13"/>
  </si>
  <si>
    <t>27-505</t>
  </si>
  <si>
    <t>ｼﾞﾑﾆｰ W</t>
    <phoneticPr fontId="13"/>
  </si>
  <si>
    <t>7/7/26</t>
    <phoneticPr fontId="13"/>
  </si>
  <si>
    <t>岐阜 580 す 3714</t>
    <rPh sb="0" eb="2">
      <t>ギフ</t>
    </rPh>
    <phoneticPr fontId="13"/>
  </si>
  <si>
    <t>581 よ 8752</t>
    <phoneticPr fontId="13"/>
  </si>
  <si>
    <t>JB23W-518459</t>
    <phoneticPr fontId="13"/>
  </si>
  <si>
    <t>星川 晏秀</t>
    <rPh sb="0" eb="2">
      <t>ホシカワ</t>
    </rPh>
    <rPh sb="4" eb="5">
      <t>ヒデ</t>
    </rPh>
    <phoneticPr fontId="13"/>
  </si>
  <si>
    <t>保証書 取説 ﾅﾋﾞ取 ｽﾍﾟｱｷｰ車内写真あり</t>
    <rPh sb="0" eb="3">
      <t>ホショウショ</t>
    </rPh>
    <rPh sb="4" eb="6">
      <t>トリセツ</t>
    </rPh>
    <rPh sb="10" eb="11">
      <t>トリ</t>
    </rPh>
    <rPh sb="18" eb="20">
      <t>シャナイ</t>
    </rPh>
    <rPh sb="20" eb="22">
      <t>シャシン</t>
    </rPh>
    <phoneticPr fontId="13"/>
  </si>
  <si>
    <t>HAA神戸(ﾜﾝｸﾘ)</t>
    <phoneticPr fontId="13"/>
  </si>
  <si>
    <t>27-506</t>
  </si>
  <si>
    <t>BMWﾐﾆｸｰﾊﾟｰ ｱｲｽﾌﾞﾙｰｴﾃﾞｨｼｮﾝ</t>
    <phoneticPr fontId="13"/>
  </si>
  <si>
    <t>京都 399 ろ 8128</t>
    <rPh sb="0" eb="2">
      <t>キョウト</t>
    </rPh>
    <phoneticPr fontId="13"/>
  </si>
  <si>
    <t>保証書  取説 ｽﾍﾟｱｷｰ ﾚﾝﾀｶｰ</t>
  </si>
  <si>
    <t>WMWXR32090TL99554</t>
    <phoneticPr fontId="13"/>
  </si>
  <si>
    <t>O-RUSHｲﾝﾀｰﾅｼｮﾅﾙ株式会社</t>
    <rPh sb="15" eb="19">
      <t>カブシキガイシャ</t>
    </rPh>
    <phoneticPr fontId="13"/>
  </si>
  <si>
    <t>保証書 取説 ｷｰﾚｽ ﾚﾝﾀｶｰ</t>
    <rPh sb="0" eb="3">
      <t>ホショウショ</t>
    </rPh>
    <rPh sb="4" eb="6">
      <t>トリセツ</t>
    </rPh>
    <phoneticPr fontId="13"/>
  </si>
  <si>
    <t>小林 亜矢子</t>
    <rPh sb="0" eb="2">
      <t>コバヤシ</t>
    </rPh>
    <rPh sb="3" eb="6">
      <t>アヤコ</t>
    </rPh>
    <phoneticPr fontId="13"/>
  </si>
  <si>
    <t>27-507</t>
  </si>
  <si>
    <t>8/3/24</t>
    <phoneticPr fontId="13"/>
  </si>
  <si>
    <t>神戸 302 ゆ 4728</t>
    <rPh sb="0" eb="2">
      <t>コウベ</t>
    </rPh>
    <phoneticPr fontId="13"/>
  </si>
  <si>
    <t>301 ぬ 4635</t>
    <phoneticPr fontId="13"/>
  </si>
  <si>
    <t>WAUZZZ8X3FB008896</t>
    <phoneticPr fontId="13"/>
  </si>
  <si>
    <t>増井 一博</t>
    <rPh sb="0" eb="2">
      <t>マスイ</t>
    </rPh>
    <rPh sb="3" eb="5">
      <t>カズヒロ</t>
    </rPh>
    <phoneticPr fontId="13"/>
  </si>
  <si>
    <r>
      <t xml:space="preserve">保証書 取説 ｷｰﾚｽ ﾜﾝｵｰﾅｰ </t>
    </r>
    <r>
      <rPr>
        <sz val="10"/>
        <color theme="4" tint="-0.499984740745262"/>
        <rFont val="游ゴシック"/>
        <family val="3"/>
        <charset val="128"/>
        <scheme val="minor"/>
      </rPr>
      <t>会長連絡済</t>
    </r>
    <rPh sb="0" eb="3">
      <t>ホショウショ</t>
    </rPh>
    <rPh sb="4" eb="6">
      <t>トリセツ</t>
    </rPh>
    <rPh sb="19" eb="21">
      <t>カイチョウ</t>
    </rPh>
    <rPh sb="21" eb="23">
      <t>レンラク</t>
    </rPh>
    <rPh sb="23" eb="24">
      <t>ズ</t>
    </rPh>
    <phoneticPr fontId="13"/>
  </si>
  <si>
    <t>保証書訂正済</t>
    <rPh sb="0" eb="3">
      <t>ホショウショ</t>
    </rPh>
    <rPh sb="3" eb="5">
      <t>テイセイ</t>
    </rPh>
    <rPh sb="5" eb="6">
      <t>ズ</t>
    </rPh>
    <phoneticPr fontId="13"/>
  </si>
  <si>
    <t>27-508</t>
  </si>
  <si>
    <t>横浜 387 せ 15</t>
    <rPh sb="0" eb="2">
      <t>ヨコハマ</t>
    </rPh>
    <phoneticPr fontId="13"/>
  </si>
  <si>
    <t>取説 予備キー</t>
  </si>
  <si>
    <t>WMWXR920102M64325</t>
    <phoneticPr fontId="13"/>
  </si>
  <si>
    <t>ﾄﾖﾀｳｴｲﾝｽﾞｸﾞﾙｰﾌﾟﾃｨｰｱｯﾌﾟ株式会社</t>
    <rPh sb="22" eb="26">
      <t>カブシキガイシャ</t>
    </rPh>
    <phoneticPr fontId="13"/>
  </si>
  <si>
    <t>3/15</t>
    <phoneticPr fontId="13"/>
  </si>
  <si>
    <t>27-509</t>
  </si>
  <si>
    <t>26/</t>
    <phoneticPr fontId="13"/>
  </si>
  <si>
    <t xml:space="preserve">VW ﾊﾟｻｰﾄ ｳﾞｧﾘｱﾝﾄ </t>
    <phoneticPr fontId="13"/>
  </si>
  <si>
    <t>姫路 330 て 3650</t>
    <rPh sb="0" eb="2">
      <t>ヒメジ</t>
    </rPh>
    <phoneticPr fontId="13"/>
  </si>
  <si>
    <t>神井様</t>
    <rPh sb="0" eb="1">
      <t>カミ</t>
    </rPh>
    <rPh sb="1" eb="2">
      <t>イ</t>
    </rPh>
    <rPh sb="2" eb="3">
      <t>サマ</t>
    </rPh>
    <phoneticPr fontId="13"/>
  </si>
  <si>
    <t>WVWZZZ3CZEE165374</t>
    <phoneticPr fontId="13"/>
  </si>
  <si>
    <t>神井 隆寿</t>
    <rPh sb="0" eb="2">
      <t>カミイ</t>
    </rPh>
    <rPh sb="3" eb="4">
      <t>リュウ</t>
    </rPh>
    <rPh sb="4" eb="5">
      <t>ジュ</t>
    </rPh>
    <phoneticPr fontId="13"/>
  </si>
  <si>
    <t>地図SD（車内）保証書 取説</t>
    <rPh sb="0" eb="2">
      <t>チズ</t>
    </rPh>
    <rPh sb="5" eb="7">
      <t>シャナイ</t>
    </rPh>
    <rPh sb="8" eb="11">
      <t>ホショウショ</t>
    </rPh>
    <rPh sb="12" eb="14">
      <t>トリセツ</t>
    </rPh>
    <phoneticPr fontId="13"/>
  </si>
  <si>
    <t>27-510</t>
  </si>
  <si>
    <t>VWｺﾞﾙﾌ GTI ｸﾗﾌﾞｽﾎﾟｰﾂﾄﾗｯｸED</t>
    <phoneticPr fontId="13"/>
  </si>
  <si>
    <t>7/9/26</t>
    <phoneticPr fontId="13"/>
  </si>
  <si>
    <t>横浜 306 そ 219</t>
    <rPh sb="0" eb="2">
      <t>ヨコハマ</t>
    </rPh>
    <phoneticPr fontId="13"/>
  </si>
  <si>
    <t>WVWZZZAUZGW312069</t>
    <phoneticPr fontId="13"/>
  </si>
  <si>
    <t>株式会社ﾔﾅｾ</t>
    <rPh sb="0" eb="4">
      <t>カブシキカイシャ</t>
    </rPh>
    <phoneticPr fontId="13"/>
  </si>
  <si>
    <t>3/14</t>
    <phoneticPr fontId="13"/>
  </si>
  <si>
    <t>27-511</t>
  </si>
  <si>
    <t>ｸﾛｽﾋﾞｰ ﾊｲﾌﾞﾘｯﾄﾞMZ</t>
    <phoneticPr fontId="13"/>
  </si>
  <si>
    <t>8/10/30</t>
    <phoneticPr fontId="13"/>
  </si>
  <si>
    <t>愛媛 537 に 39</t>
    <rPh sb="0" eb="2">
      <t>エヒメ</t>
    </rPh>
    <phoneticPr fontId="13"/>
  </si>
  <si>
    <t>501 も 6485</t>
    <phoneticPr fontId="13"/>
  </si>
  <si>
    <t>MN71S-155282</t>
    <phoneticPr fontId="13"/>
  </si>
  <si>
    <t>株式会社ｽｽﾞｷ自販松山</t>
    <rPh sb="0" eb="4">
      <t>カブシキガイシャ</t>
    </rPh>
    <rPh sb="8" eb="10">
      <t>ジハン</t>
    </rPh>
    <rPh sb="10" eb="12">
      <t>マツヤマ</t>
    </rPh>
    <phoneticPr fontId="13"/>
  </si>
  <si>
    <t>27-512</t>
  </si>
  <si>
    <t>ﾚｸｻｽ RX Fｽﾎﾟｰﾂ</t>
    <phoneticPr fontId="13"/>
  </si>
  <si>
    <t>8/2/23</t>
    <phoneticPr fontId="13"/>
  </si>
  <si>
    <t>神戸 31H ひ 77</t>
    <rPh sb="0" eb="2">
      <t>コウベ</t>
    </rPh>
    <phoneticPr fontId="13"/>
  </si>
  <si>
    <t>35H に 5</t>
    <phoneticPr fontId="13"/>
  </si>
  <si>
    <t>A268967</t>
    <phoneticPr fontId="13"/>
  </si>
  <si>
    <t>GYL25-0010594</t>
    <phoneticPr fontId="13"/>
  </si>
  <si>
    <t>平原 福生</t>
    <rPh sb="0" eb="2">
      <t>ヒラハラ</t>
    </rPh>
    <rPh sb="3" eb="4">
      <t>フク</t>
    </rPh>
    <rPh sb="4" eb="5">
      <t>セイ</t>
    </rPh>
    <phoneticPr fontId="13"/>
  </si>
  <si>
    <t xml:space="preserve">保証書 取説 ﾅﾋﾞ取説 ｷｰﾚｽ ｶｰﾄﾞｷｰ </t>
    <rPh sb="0" eb="3">
      <t>ホショウショ</t>
    </rPh>
    <rPh sb="4" eb="6">
      <t>トリセツ</t>
    </rPh>
    <rPh sb="10" eb="12">
      <t>トリセツ</t>
    </rPh>
    <phoneticPr fontId="13"/>
  </si>
  <si>
    <t>27-513</t>
  </si>
  <si>
    <t>17/2</t>
    <phoneticPr fontId="13"/>
  </si>
  <si>
    <t xml:space="preserve">ﾚﾝｼﾞﾛｰﾊﾞｰ </t>
    <phoneticPr fontId="13"/>
  </si>
  <si>
    <t>神戸 334 ひ 2131</t>
    <rPh sb="0" eb="2">
      <t>コウベ</t>
    </rPh>
    <phoneticPr fontId="13"/>
  </si>
  <si>
    <t>元村様</t>
    <rPh sb="0" eb="2">
      <t>モトムラ</t>
    </rPh>
    <rPh sb="2" eb="3">
      <t>サマ</t>
    </rPh>
    <phoneticPr fontId="13"/>
  </si>
  <si>
    <t>SALLMAM35A183345</t>
    <phoneticPr fontId="13"/>
  </si>
  <si>
    <t>元村 昌平</t>
    <rPh sb="0" eb="2">
      <t>モトムラ</t>
    </rPh>
    <rPh sb="3" eb="5">
      <t>ショウヘイ</t>
    </rPh>
    <phoneticPr fontId="13"/>
  </si>
  <si>
    <t>27-514</t>
  </si>
  <si>
    <t>BMW X1 xDrive18d Xﾗｲﾝ</t>
    <phoneticPr fontId="13"/>
  </si>
  <si>
    <t>広島 347 や 72</t>
    <rPh sb="0" eb="2">
      <t>ヒロシマ</t>
    </rPh>
    <phoneticPr fontId="13"/>
  </si>
  <si>
    <t>WBA32AD0605P57721</t>
    <phoneticPr fontId="13"/>
  </si>
  <si>
    <t>株式会社ﾊﾞﾙｺﾑﾓｰﾀｰｽ</t>
    <rPh sb="0" eb="4">
      <t>カブシキカイシャ</t>
    </rPh>
    <phoneticPr fontId="13"/>
  </si>
  <si>
    <t>27-515</t>
  </si>
  <si>
    <t>ｱｳﾃﾞｨｰ S1 ｽﾎﾟｰﾂﾊﾞｯｸ</t>
    <phoneticPr fontId="13"/>
  </si>
  <si>
    <t>8/1/26</t>
    <phoneticPr fontId="13"/>
  </si>
  <si>
    <t>佐世保 331 て 105</t>
    <rPh sb="0" eb="3">
      <t>サセボ</t>
    </rPh>
    <phoneticPr fontId="13"/>
  </si>
  <si>
    <t>WAUZZZ8X4F004145</t>
    <phoneticPr fontId="13"/>
  </si>
  <si>
    <t>株式会社ｳｲﾝｸﾞｽ</t>
    <rPh sb="0" eb="4">
      <t>カブシキカイシャ</t>
    </rPh>
    <phoneticPr fontId="13"/>
  </si>
  <si>
    <t>高堂 景寿</t>
    <rPh sb="0" eb="2">
      <t>タカドウ</t>
    </rPh>
    <rPh sb="3" eb="4">
      <t>ケイ</t>
    </rPh>
    <rPh sb="4" eb="5">
      <t>コトブキ</t>
    </rPh>
    <phoneticPr fontId="13"/>
  </si>
  <si>
    <t>27-516</t>
  </si>
  <si>
    <t>24/2</t>
    <phoneticPr fontId="13"/>
  </si>
  <si>
    <t>ｼﾞｬｶﾞｰ XKR</t>
    <phoneticPr fontId="13"/>
  </si>
  <si>
    <t>堺 300 は 4138</t>
    <rPh sb="0" eb="1">
      <t>サカイ</t>
    </rPh>
    <phoneticPr fontId="13"/>
  </si>
  <si>
    <t>泉様</t>
    <rPh sb="0" eb="1">
      <t>イズミ</t>
    </rPh>
    <rPh sb="1" eb="2">
      <t>サマ</t>
    </rPh>
    <phoneticPr fontId="13"/>
  </si>
  <si>
    <t>SAJKC43R5CMB47000</t>
    <phoneticPr fontId="13"/>
  </si>
  <si>
    <t>泉 晋作</t>
    <rPh sb="0" eb="1">
      <t>イズミ</t>
    </rPh>
    <rPh sb="2" eb="4">
      <t>シンサク</t>
    </rPh>
    <phoneticPr fontId="13"/>
  </si>
  <si>
    <t>27-517</t>
  </si>
  <si>
    <t>VWｱｯﾌﾟ！ GTI</t>
    <phoneticPr fontId="13"/>
  </si>
  <si>
    <t>伊豆 535 み 358</t>
    <rPh sb="0" eb="2">
      <t>イズ</t>
    </rPh>
    <phoneticPr fontId="13"/>
  </si>
  <si>
    <t>WVWZZZAAZJD190118</t>
    <phoneticPr fontId="13"/>
  </si>
  <si>
    <t>月岡 久雄</t>
    <rPh sb="0" eb="2">
      <t>ツキオカ</t>
    </rPh>
    <rPh sb="3" eb="5">
      <t>ヒサオ</t>
    </rPh>
    <phoneticPr fontId="13"/>
  </si>
  <si>
    <t>27-518</t>
  </si>
  <si>
    <t>15/4</t>
    <phoneticPr fontId="13"/>
  </si>
  <si>
    <t>ﾚﾝｼﾞﾛｰﾊﾞｰ ﾃﾞｨｽｶﾊﾞﾘｰ HSE</t>
    <phoneticPr fontId="13"/>
  </si>
  <si>
    <t>8/4/27</t>
    <phoneticPr fontId="13"/>
  </si>
  <si>
    <t>和泉 336 つ 215</t>
    <rPh sb="0" eb="2">
      <t>イズミ</t>
    </rPh>
    <phoneticPr fontId="13"/>
  </si>
  <si>
    <t>SALLT-AMP33A807115</t>
    <phoneticPr fontId="13"/>
  </si>
  <si>
    <t>株式会社辻農機</t>
    <rPh sb="0" eb="4">
      <t>カブシキガイシャ</t>
    </rPh>
    <rPh sb="4" eb="5">
      <t>ツジ</t>
    </rPh>
    <rPh sb="5" eb="7">
      <t>ノウキ</t>
    </rPh>
    <phoneticPr fontId="13"/>
  </si>
  <si>
    <t>4/18</t>
    <phoneticPr fontId="13"/>
  </si>
  <si>
    <t>保証書 取説 ﾅﾋﾞ取説 ｷｰﾚｽ(ﾎﾞﾀﾝ部分破損）</t>
    <rPh sb="0" eb="3">
      <t>ホショウショ</t>
    </rPh>
    <rPh sb="4" eb="6">
      <t>トリセツ</t>
    </rPh>
    <rPh sb="10" eb="12">
      <t>トリセツ</t>
    </rPh>
    <rPh sb="22" eb="24">
      <t>ブブン</t>
    </rPh>
    <rPh sb="24" eb="26">
      <t>ハソン</t>
    </rPh>
    <phoneticPr fontId="13"/>
  </si>
  <si>
    <t>(有)佐藤喜久夫商店</t>
    <rPh sb="1" eb="2">
      <t>ユウ</t>
    </rPh>
    <rPh sb="3" eb="5">
      <t>サトウ</t>
    </rPh>
    <rPh sb="5" eb="8">
      <t>キクオ</t>
    </rPh>
    <rPh sb="8" eb="10">
      <t>ショウテン</t>
    </rPh>
    <phoneticPr fontId="13"/>
  </si>
  <si>
    <t>27-519</t>
  </si>
  <si>
    <t>ｱｳﾃﾞｨｰS1 2.0TFSIｸﾜﾄﾛ</t>
    <phoneticPr fontId="13"/>
  </si>
  <si>
    <t>8/6/7</t>
    <phoneticPr fontId="13"/>
  </si>
  <si>
    <t>川越 330 た 8086</t>
    <rPh sb="0" eb="2">
      <t>カワゴエ</t>
    </rPh>
    <phoneticPr fontId="13"/>
  </si>
  <si>
    <t>301 ぬ 7033</t>
    <phoneticPr fontId="13"/>
  </si>
  <si>
    <t>WAUZZZ8XXFB028479</t>
    <phoneticPr fontId="13"/>
  </si>
  <si>
    <t>加島 倫</t>
    <rPh sb="0" eb="2">
      <t>カシマ</t>
    </rPh>
    <rPh sb="3" eb="4">
      <t>リン</t>
    </rPh>
    <phoneticPr fontId="13"/>
  </si>
  <si>
    <t>4/20</t>
    <phoneticPr fontId="13"/>
  </si>
  <si>
    <t>27-520</t>
  </si>
  <si>
    <t>ﾜｺﾞﾝR ｽﾃｨﾝｸﾞﾚｰX</t>
    <phoneticPr fontId="13"/>
  </si>
  <si>
    <t>7/11/24</t>
    <phoneticPr fontId="13"/>
  </si>
  <si>
    <t>飛騨 580 か 1577</t>
    <rPh sb="0" eb="2">
      <t>ヒダ</t>
    </rPh>
    <phoneticPr fontId="13"/>
  </si>
  <si>
    <t>581 よ 9287</t>
    <phoneticPr fontId="13"/>
  </si>
  <si>
    <t>ﾎﾝﾀﾞ名古屋(まとめ)</t>
    <rPh sb="4" eb="7">
      <t>ナゴヤ</t>
    </rPh>
    <phoneticPr fontId="13"/>
  </si>
  <si>
    <t>MH44S-459117</t>
    <phoneticPr fontId="13"/>
  </si>
  <si>
    <t>株式会社ﾎﾝﾀﾞｶｰｽﾞ飛騨</t>
    <rPh sb="0" eb="4">
      <t>カブシキガイシャ</t>
    </rPh>
    <rPh sb="12" eb="14">
      <t>ヒダ</t>
    </rPh>
    <phoneticPr fontId="13"/>
  </si>
  <si>
    <t>ﾅﾝﾊﾞｰ持ち出し中</t>
    <phoneticPr fontId="13"/>
  </si>
  <si>
    <t>27-521</t>
  </si>
  <si>
    <t>ｱｳﾃﾞｨｰ S4 ｱﾊﾞﾝﾄ</t>
    <phoneticPr fontId="13"/>
  </si>
  <si>
    <t>飛鳥 399 ね 771</t>
    <rPh sb="0" eb="2">
      <t>アスカ</t>
    </rPh>
    <phoneticPr fontId="13"/>
  </si>
  <si>
    <t>WAUZZZF48JA233029</t>
    <phoneticPr fontId="13"/>
  </si>
  <si>
    <t>奈良ｽﾊﾞﾙ自動車株式会社</t>
    <rPh sb="0" eb="2">
      <t>ナラ</t>
    </rPh>
    <rPh sb="6" eb="13">
      <t>ジドウシャカブシキガイシャ</t>
    </rPh>
    <phoneticPr fontId="13"/>
  </si>
  <si>
    <t>27-522</t>
  </si>
  <si>
    <t>新車(ﾃﾞﾓｶｰ)</t>
    <rPh sb="0" eb="2">
      <t>シンシャ</t>
    </rPh>
    <phoneticPr fontId="13"/>
  </si>
  <si>
    <t>10/4</t>
    <phoneticPr fontId="13"/>
  </si>
  <si>
    <t>357 ま 32</t>
    <phoneticPr fontId="13"/>
  </si>
  <si>
    <t>ﾓﾄｰﾚﾝ神戸</t>
    <rPh sb="5" eb="7">
      <t>コウベ</t>
    </rPh>
    <phoneticPr fontId="13"/>
  </si>
  <si>
    <t>WMW32GD090W95087</t>
    <phoneticPr fontId="13"/>
  </si>
  <si>
    <t>有限会社ﾃｨｰｽﾞｸﾗﾌﾞ</t>
    <rPh sb="0" eb="4">
      <t>ユウゲンカイシャ</t>
    </rPh>
    <phoneticPr fontId="13"/>
  </si>
  <si>
    <t>27-523</t>
  </si>
  <si>
    <t>ﾎﾟﾙｼｪｹｲﾏﾝ ﾍﾞｰｽ</t>
    <phoneticPr fontId="13"/>
  </si>
  <si>
    <t>名古屋 331 て 981</t>
    <rPh sb="0" eb="3">
      <t>ナゴヤ</t>
    </rPh>
    <phoneticPr fontId="13"/>
  </si>
  <si>
    <t>保証書 取説 ﾅﾋﾞ取説 ｷｰﾚｽ ﾅﾋﾞﾛﾑ ﾘﾓｺﾝ</t>
  </si>
  <si>
    <t>WP0ZZZ98ZFK160840</t>
    <phoneticPr fontId="13"/>
  </si>
  <si>
    <t>黒長 伸一</t>
    <rPh sb="0" eb="1">
      <t>クロ</t>
    </rPh>
    <rPh sb="1" eb="2">
      <t>ナガ</t>
    </rPh>
    <rPh sb="3" eb="5">
      <t>シンイチ</t>
    </rPh>
    <phoneticPr fontId="13"/>
  </si>
  <si>
    <t>5/15</t>
    <phoneticPr fontId="13"/>
  </si>
  <si>
    <t>保証書 取説 ﾅﾋﾞ取説 ｷｰﾚｽ ﾘﾓｺﾝ 地図SD ﾜﾝｵｰﾅｰ</t>
    <rPh sb="0" eb="3">
      <t>ホショウショ</t>
    </rPh>
    <rPh sb="4" eb="6">
      <t>トリセツ</t>
    </rPh>
    <rPh sb="10" eb="12">
      <t>トリセツ</t>
    </rPh>
    <rPh sb="23" eb="25">
      <t>チズ</t>
    </rPh>
    <phoneticPr fontId="13"/>
  </si>
  <si>
    <t>開発 一郎</t>
    <rPh sb="0" eb="2">
      <t>カイハツ</t>
    </rPh>
    <rPh sb="3" eb="5">
      <t>イチロウ</t>
    </rPh>
    <phoneticPr fontId="13"/>
  </si>
  <si>
    <t>27-524</t>
  </si>
  <si>
    <t>ｱｳﾃﾞｨS6 ﾍﾞｰｽｸﾞﾚｰﾄﾞ</t>
    <phoneticPr fontId="13"/>
  </si>
  <si>
    <t>7/10/24</t>
    <phoneticPr fontId="13"/>
  </si>
  <si>
    <t>所沢 302 す 9658</t>
    <rPh sb="0" eb="2">
      <t>トコロザワ</t>
    </rPh>
    <phoneticPr fontId="13"/>
  </si>
  <si>
    <t>WAUZZZ4G0HN005395</t>
    <phoneticPr fontId="13"/>
  </si>
  <si>
    <t>保証書 取説 ｷｰﾚｽ ﾌﾟﾗｷｰ</t>
    <rPh sb="0" eb="3">
      <t>ホショウショ</t>
    </rPh>
    <rPh sb="4" eb="6">
      <t>トリセツ</t>
    </rPh>
    <phoneticPr fontId="13"/>
  </si>
  <si>
    <t>27-525</t>
  </si>
  <si>
    <t>26/10</t>
    <phoneticPr fontId="13"/>
  </si>
  <si>
    <t>BMW M4 ｸｰﾍﾟ</t>
    <phoneticPr fontId="13"/>
  </si>
  <si>
    <t>滋賀 399 た 6415</t>
    <rPh sb="0" eb="2">
      <t>シガ</t>
    </rPh>
    <phoneticPr fontId="13"/>
  </si>
  <si>
    <t>WBS3R92080K340188</t>
    <phoneticPr fontId="13"/>
  </si>
  <si>
    <t>株式会社HAZ</t>
    <rPh sb="0" eb="4">
      <t>カブシキガイシャ</t>
    </rPh>
    <phoneticPr fontId="13"/>
  </si>
  <si>
    <t>原 和希</t>
    <rPh sb="0" eb="1">
      <t>ハラ</t>
    </rPh>
    <rPh sb="2" eb="4">
      <t>カズキ</t>
    </rPh>
    <phoneticPr fontId="13"/>
  </si>
  <si>
    <t>27-526</t>
  </si>
  <si>
    <t>ｱｳﾃﾞｨ A6ｱﾊﾞﾝﾄ 2.0TFSI SﾗｲﾝP</t>
    <phoneticPr fontId="13"/>
  </si>
  <si>
    <t>佐世保 399 す 1089</t>
    <rPh sb="0" eb="3">
      <t>サセボ</t>
    </rPh>
    <phoneticPr fontId="13"/>
  </si>
  <si>
    <t>WAUZZZ4G1GN112650</t>
    <phoneticPr fontId="13"/>
  </si>
  <si>
    <t>株式会社ｻﾝﾖｰ自動車</t>
    <rPh sb="0" eb="4">
      <t>カブシキガイシャ</t>
    </rPh>
    <rPh sb="8" eb="11">
      <t>ジドウシャ</t>
    </rPh>
    <phoneticPr fontId="13"/>
  </si>
  <si>
    <t>5/27</t>
    <phoneticPr fontId="13"/>
  </si>
  <si>
    <t>27-527</t>
  </si>
  <si>
    <t>ﾚﾝｼﾞﾛｰﾊﾞｰ ｳﾞｫｰｸﾞ 3.0V6ｽｰﾊﾟｰﾁｬｰｼﾞﾄﾞ</t>
    <phoneticPr fontId="13"/>
  </si>
  <si>
    <t>7/6/20</t>
    <phoneticPr fontId="13"/>
  </si>
  <si>
    <t>横浜 39A7 み 826</t>
    <rPh sb="0" eb="2">
      <t>ヨコハマ</t>
    </rPh>
    <phoneticPr fontId="13"/>
  </si>
  <si>
    <t>SALGA2VEXEA167357</t>
    <phoneticPr fontId="13"/>
  </si>
  <si>
    <t>FRONTLINE株式会社</t>
    <rPh sb="9" eb="13">
      <t>カブシキガイシャ</t>
    </rPh>
    <phoneticPr fontId="13"/>
  </si>
  <si>
    <t>5/24</t>
    <phoneticPr fontId="13"/>
  </si>
  <si>
    <t>保証書 取説 ﾅﾋﾞ取 ｷｰﾚｽ ﾜﾝｵｰﾅｰ</t>
    <rPh sb="0" eb="3">
      <t>ホショウショ</t>
    </rPh>
    <rPh sb="4" eb="6">
      <t>トリセツ</t>
    </rPh>
    <rPh sb="10" eb="11">
      <t>　</t>
    </rPh>
    <phoneticPr fontId="13"/>
  </si>
  <si>
    <t>迎 敦</t>
    <rPh sb="0" eb="1">
      <t>ムカ</t>
    </rPh>
    <rPh sb="2" eb="3">
      <t>アツシ</t>
    </rPh>
    <phoneticPr fontId="13"/>
  </si>
  <si>
    <t>27-528</t>
  </si>
  <si>
    <t>ﾚｸｻｽ IS  IS250CﾊﾞｰｼﾞｮﾝL</t>
    <phoneticPr fontId="13"/>
  </si>
  <si>
    <t>8/10/27</t>
    <phoneticPr fontId="13"/>
  </si>
  <si>
    <t>豊橋 332 ま 250</t>
    <rPh sb="0" eb="2">
      <t>ユタカハシ</t>
    </rPh>
    <phoneticPr fontId="13"/>
  </si>
  <si>
    <t>301 ぬ 8638</t>
    <phoneticPr fontId="13"/>
  </si>
  <si>
    <t>A280657</t>
    <phoneticPr fontId="13"/>
  </si>
  <si>
    <t>GSE20-2505578</t>
    <phoneticPr fontId="13"/>
  </si>
  <si>
    <t>尾藤 亜世</t>
    <rPh sb="0" eb="2">
      <t>ビトウ</t>
    </rPh>
    <rPh sb="3" eb="4">
      <t>ア</t>
    </rPh>
    <rPh sb="4" eb="5">
      <t>ヨ</t>
    </rPh>
    <phoneticPr fontId="13"/>
  </si>
  <si>
    <t>27-529</t>
  </si>
  <si>
    <t>25/</t>
    <phoneticPr fontId="13"/>
  </si>
  <si>
    <t>ｱｳﾃﾞｨA6</t>
    <phoneticPr fontId="13"/>
  </si>
  <si>
    <t>大阪 333 は 1997</t>
    <rPh sb="0" eb="2">
      <t>オオサカ</t>
    </rPh>
    <phoneticPr fontId="13"/>
  </si>
  <si>
    <t>村井様</t>
    <rPh sb="0" eb="2">
      <t>ムライ</t>
    </rPh>
    <rPh sb="2" eb="3">
      <t>サマ</t>
    </rPh>
    <phoneticPr fontId="13"/>
  </si>
  <si>
    <t>WAUZZZ4G2DN057881</t>
    <phoneticPr fontId="13"/>
  </si>
  <si>
    <t>村井 聡</t>
    <rPh sb="0" eb="2">
      <t>ムライ</t>
    </rPh>
    <rPh sb="3" eb="4">
      <t>サトシ</t>
    </rPh>
    <phoneticPr fontId="13"/>
  </si>
  <si>
    <t>5/26</t>
    <phoneticPr fontId="13"/>
  </si>
  <si>
    <t>27-530</t>
  </si>
  <si>
    <t>ｱﾊﾞﾙﾄ 595 ｺﾝﾍﾟﾃｨﾂｨｵｰﾈ</t>
    <phoneticPr fontId="13"/>
  </si>
  <si>
    <t>8/5/15</t>
    <phoneticPr fontId="13"/>
  </si>
  <si>
    <t>湘南 503 す 165</t>
    <rPh sb="0" eb="2">
      <t>ショウナン</t>
    </rPh>
    <phoneticPr fontId="13"/>
  </si>
  <si>
    <t>501　も　8623</t>
    <phoneticPr fontId="13"/>
  </si>
  <si>
    <t>ZFA3120000JB38541</t>
    <phoneticPr fontId="13"/>
  </si>
  <si>
    <t>5/30</t>
    <phoneticPr fontId="13"/>
  </si>
  <si>
    <t>27-531</t>
  </si>
  <si>
    <t>ｼﾞｬｶﾞｰ Fぺｲｽ Rｽﾎﾟｰﾂ</t>
    <phoneticPr fontId="13"/>
  </si>
  <si>
    <t>野田 399 ま 3394</t>
    <rPh sb="0" eb="2">
      <t>ノダ</t>
    </rPh>
    <phoneticPr fontId="13"/>
  </si>
  <si>
    <t>SADCA2AV7HA071125</t>
    <phoneticPr fontId="13"/>
  </si>
  <si>
    <t>株式会社ﾄｯﾌﾟﾗﾝｸ</t>
    <rPh sb="0" eb="4">
      <t>カブシキガイシャ</t>
    </rPh>
    <phoneticPr fontId="13"/>
  </si>
  <si>
    <t>27-532</t>
  </si>
  <si>
    <t>ｽﾍﾟｰｼｱ 車椅子移動車X</t>
    <rPh sb="7" eb="10">
      <t>クルマイス</t>
    </rPh>
    <rPh sb="10" eb="13">
      <t>イドウシャ</t>
    </rPh>
    <phoneticPr fontId="13"/>
  </si>
  <si>
    <t>名古屋 582 え 228</t>
    <rPh sb="0" eb="3">
      <t>ナゴヤ</t>
    </rPh>
    <phoneticPr fontId="13"/>
  </si>
  <si>
    <t>tax言われたら伴さん連絡する</t>
    <rPh sb="3" eb="4">
      <t>イ</t>
    </rPh>
    <rPh sb="8" eb="9">
      <t>バン</t>
    </rPh>
    <rPh sb="11" eb="13">
      <t>レンラク</t>
    </rPh>
    <phoneticPr fontId="13"/>
  </si>
  <si>
    <t>TAA中部</t>
    <rPh sb="3" eb="5">
      <t>チュウブ</t>
    </rPh>
    <phoneticPr fontId="13"/>
  </si>
  <si>
    <t>水色</t>
    <rPh sb="0" eb="2">
      <t>ミズイロ</t>
    </rPh>
    <phoneticPr fontId="13"/>
  </si>
  <si>
    <t>MK42S-128395</t>
    <phoneticPr fontId="13"/>
  </si>
  <si>
    <t>株式会社ﾄﾖﾀﾚﾝﾀﾘｰｽ愛知</t>
    <rPh sb="0" eb="4">
      <t>カブシキガイシャ</t>
    </rPh>
    <rPh sb="13" eb="15">
      <t>アイチ</t>
    </rPh>
    <phoneticPr fontId="13"/>
  </si>
  <si>
    <t>保証書 取説 ｷｰﾚｽ ﾘﾓｺﾝ(車内)</t>
    <rPh sb="0" eb="3">
      <t>ホショウショ</t>
    </rPh>
    <rPh sb="4" eb="6">
      <t>トリセツ</t>
    </rPh>
    <phoneticPr fontId="13"/>
  </si>
  <si>
    <t>27-533</t>
  </si>
  <si>
    <t>岐阜 302 や 2800</t>
    <rPh sb="0" eb="2">
      <t>ギフ</t>
    </rPh>
    <phoneticPr fontId="13"/>
  </si>
  <si>
    <t>WAUZZZ8X0FB004708</t>
    <phoneticPr fontId="13"/>
  </si>
  <si>
    <t>山本 徹</t>
    <rPh sb="0" eb="2">
      <t>ヤマモト</t>
    </rPh>
    <rPh sb="3" eb="4">
      <t>トオル</t>
    </rPh>
    <phoneticPr fontId="13"/>
  </si>
  <si>
    <t>ｷｰﾚｽ×2　ﾌﾟﾗｷｰ×1（車内）保証書 取説</t>
    <rPh sb="15" eb="17">
      <t>シャナイ</t>
    </rPh>
    <rPh sb="18" eb="21">
      <t>ホショウショ</t>
    </rPh>
    <rPh sb="22" eb="24">
      <t>トリセツ</t>
    </rPh>
    <phoneticPr fontId="13"/>
  </si>
  <si>
    <t>27-534</t>
  </si>
  <si>
    <t>2/5</t>
    <phoneticPr fontId="13"/>
  </si>
  <si>
    <t>ｼﾄﾛｴﾝ ｸﾞﾗﾝﾄﾞC4ｽﾍﾟｰｽﾂｱﾗｰ</t>
    <phoneticPr fontId="13"/>
  </si>
  <si>
    <t>千葉 326 せ 2792</t>
    <rPh sb="0" eb="2">
      <t>チバ</t>
    </rPh>
    <phoneticPr fontId="13"/>
  </si>
  <si>
    <t>VF73AEHYRKJ797510</t>
    <phoneticPr fontId="13"/>
  </si>
  <si>
    <t>27-535</t>
  </si>
  <si>
    <t>ﾐﾗｺｺｱ　ｺｺｱﾌﾟﾗｽXｽﾍﾟｼｬﾙｺｰﾃﾞ</t>
    <phoneticPr fontId="13"/>
  </si>
  <si>
    <t>9/3/12</t>
    <phoneticPr fontId="13"/>
  </si>
  <si>
    <t>なにわ 583 て 81</t>
    <phoneticPr fontId="13"/>
  </si>
  <si>
    <t>保証書 取説　ﾜﾝｵｰﾅｰ</t>
  </si>
  <si>
    <t>A282373</t>
    <phoneticPr fontId="13"/>
  </si>
  <si>
    <t>ｱｲﾎﾞﾘｰ</t>
    <phoneticPr fontId="13"/>
  </si>
  <si>
    <t>L675S-0169063</t>
    <phoneticPr fontId="13"/>
  </si>
  <si>
    <t>岩田 舞</t>
    <rPh sb="0" eb="2">
      <t>イワタ</t>
    </rPh>
    <rPh sb="3" eb="4">
      <t>マイ</t>
    </rPh>
    <phoneticPr fontId="13"/>
  </si>
  <si>
    <t>27-536</t>
  </si>
  <si>
    <t>ﾚﾝｼﾞﾛｰﾊﾞｰ  ｽﾎﾟｰﾂ</t>
    <phoneticPr fontId="13"/>
  </si>
  <si>
    <t>9/3/26</t>
    <phoneticPr fontId="13"/>
  </si>
  <si>
    <t>なにわ 31K み 88</t>
    <phoneticPr fontId="13"/>
  </si>
  <si>
    <t>301 ぬ 9396</t>
    <phoneticPr fontId="13"/>
  </si>
  <si>
    <t>中西様</t>
    <rPh sb="0" eb="2">
      <t>ナカニシ</t>
    </rPh>
    <rPh sb="2" eb="3">
      <t>サマ</t>
    </rPh>
    <phoneticPr fontId="13"/>
  </si>
  <si>
    <t>SALWA2VE4GA572712</t>
    <phoneticPr fontId="13"/>
  </si>
  <si>
    <t>中西 仁</t>
    <rPh sb="0" eb="2">
      <t>ナカニシ</t>
    </rPh>
    <rPh sb="3" eb="4">
      <t>ジン</t>
    </rPh>
    <phoneticPr fontId="13"/>
  </si>
  <si>
    <t>保証書 取説</t>
    <rPh sb="4" eb="6">
      <t>トリセツ</t>
    </rPh>
    <phoneticPr fontId="13"/>
  </si>
  <si>
    <t>27-537</t>
  </si>
  <si>
    <t>BMW225　XEｱｸﾃｨﾌﾞT　Mｽﾎﾟｰﾂ</t>
    <phoneticPr fontId="13"/>
  </si>
  <si>
    <t>8/1/30</t>
    <phoneticPr fontId="13"/>
  </si>
  <si>
    <t>京都　302　む　203</t>
    <rPh sb="0" eb="2">
      <t>キョウト</t>
    </rPh>
    <phoneticPr fontId="13"/>
  </si>
  <si>
    <t>保証書　ｽﾍﾟｱｷｰ</t>
  </si>
  <si>
    <t>整備記録こちらで訂正済　ﾃﾞｨｰﾗｰ確認OK</t>
    <phoneticPr fontId="13"/>
  </si>
  <si>
    <t>WBA2C72010V365308</t>
    <phoneticPr fontId="13"/>
  </si>
  <si>
    <t>株式会社服部ﾓｰﾀｰ商会</t>
    <rPh sb="4" eb="6">
      <t>ハットリ</t>
    </rPh>
    <rPh sb="10" eb="12">
      <t>ショウカイ</t>
    </rPh>
    <phoneticPr fontId="13"/>
  </si>
  <si>
    <t xml:space="preserve">保証書　取説　ｷｰﾚｽ </t>
    <rPh sb="0" eb="3">
      <t>ホショウショ</t>
    </rPh>
    <rPh sb="4" eb="6">
      <t>トリセツ</t>
    </rPh>
    <phoneticPr fontId="13"/>
  </si>
  <si>
    <t>充電ｹｰﾌﾞﾙ言われたら伴さん連絡する</t>
    <rPh sb="0" eb="2">
      <t>ジュウデン</t>
    </rPh>
    <rPh sb="7" eb="8">
      <t>イ</t>
    </rPh>
    <rPh sb="12" eb="13">
      <t>バン</t>
    </rPh>
    <rPh sb="15" eb="17">
      <t>レンラク</t>
    </rPh>
    <phoneticPr fontId="13"/>
  </si>
  <si>
    <t>27-538</t>
  </si>
  <si>
    <t>ｱﾊﾞﾙﾄ595　ｺﾝﾍﾟﾃｨﾂｨｵｰﾈ</t>
    <phoneticPr fontId="13"/>
  </si>
  <si>
    <t>7/10/9</t>
    <phoneticPr fontId="13"/>
  </si>
  <si>
    <t>なにわ　530　は　5567</t>
    <phoneticPr fontId="13"/>
  </si>
  <si>
    <t>ZFA3120000J984188</t>
    <phoneticPr fontId="13"/>
  </si>
  <si>
    <t>ﾏﾂﾀﾞｵｰﾄﾘｰｽ株式会社</t>
    <rPh sb="10" eb="14">
      <t>カブシキカイシャ</t>
    </rPh>
    <phoneticPr fontId="13"/>
  </si>
  <si>
    <t>保証書 取説　ｷｰﾚｽ</t>
    <rPh sb="4" eb="6">
      <t>トリセツ</t>
    </rPh>
    <phoneticPr fontId="13"/>
  </si>
  <si>
    <t>山下 豊毅</t>
    <rPh sb="0" eb="2">
      <t>ヤマシタ</t>
    </rPh>
    <rPh sb="3" eb="4">
      <t>トヨ</t>
    </rPh>
    <rPh sb="4" eb="5">
      <t>ツヨシ</t>
    </rPh>
    <phoneticPr fontId="13"/>
  </si>
  <si>
    <t>27-539</t>
  </si>
  <si>
    <t>4/4</t>
    <phoneticPr fontId="13"/>
  </si>
  <si>
    <t>滋賀　599　ち　9375</t>
    <rPh sb="0" eb="2">
      <t>シガ</t>
    </rPh>
    <phoneticPr fontId="13"/>
  </si>
  <si>
    <t>ZFABF13H4NJF98152</t>
    <phoneticPr fontId="13"/>
  </si>
  <si>
    <t>株式会社ﾈｸｽﾃｰｼﾞ</t>
    <rPh sb="0" eb="4">
      <t>カブシキカイシャ</t>
    </rPh>
    <phoneticPr fontId="13"/>
  </si>
  <si>
    <t>保証書　ｽﾍﾟｱｷｰ</t>
    <rPh sb="0" eb="3">
      <t>ホショウショ</t>
    </rPh>
    <phoneticPr fontId="13"/>
  </si>
  <si>
    <t>27-540</t>
  </si>
  <si>
    <t>25/1</t>
    <phoneticPr fontId="13"/>
  </si>
  <si>
    <t>N-BOX+ｶｽﾀﾑGﾀｰﾎﾞﾊﾟｯｹｰｼﾞ</t>
    <phoneticPr fontId="13"/>
  </si>
  <si>
    <t>8/1/24</t>
    <phoneticPr fontId="13"/>
  </si>
  <si>
    <t>愛媛 586 む 7</t>
    <rPh sb="0" eb="2">
      <t>エヒメ</t>
    </rPh>
    <phoneticPr fontId="13"/>
  </si>
  <si>
    <t>ｽﾛｰﾌﾟ付きなだけ　福祉車両×確認済</t>
    <rPh sb="5" eb="6">
      <t>ツ</t>
    </rPh>
    <rPh sb="11" eb="15">
      <t>フクシシャリョウ</t>
    </rPh>
    <rPh sb="16" eb="18">
      <t>カクニン</t>
    </rPh>
    <rPh sb="18" eb="19">
      <t>スミ</t>
    </rPh>
    <phoneticPr fontId="13"/>
  </si>
  <si>
    <t>582 あ3938</t>
    <phoneticPr fontId="13"/>
  </si>
  <si>
    <t>JF1-4100019</t>
    <phoneticPr fontId="13"/>
  </si>
  <si>
    <t>淺田　俊明</t>
    <rPh sb="0" eb="2">
      <t>アサダ</t>
    </rPh>
    <rPh sb="3" eb="4">
      <t>シュン</t>
    </rPh>
    <rPh sb="4" eb="5">
      <t>アキラ</t>
    </rPh>
    <phoneticPr fontId="13"/>
  </si>
  <si>
    <t>保証書　取説　ﾅﾋﾞ取説　地図SD　B-CAS</t>
    <rPh sb="0" eb="3">
      <t>ホショウショ</t>
    </rPh>
    <rPh sb="4" eb="6">
      <t>トリセツ</t>
    </rPh>
    <rPh sb="10" eb="12">
      <t>トリセツ</t>
    </rPh>
    <rPh sb="13" eb="15">
      <t>チズ</t>
    </rPh>
    <phoneticPr fontId="13"/>
  </si>
  <si>
    <t>ﾅﾝﾊﾞｰ持ち出し</t>
    <rPh sb="5" eb="6">
      <t>モ</t>
    </rPh>
    <rPh sb="7" eb="8">
      <t>ダ</t>
    </rPh>
    <phoneticPr fontId="13"/>
  </si>
  <si>
    <t>27-541</t>
  </si>
  <si>
    <t>N-BOX G Lﾊﾟｯｹｰｼﾞ</t>
    <phoneticPr fontId="13"/>
  </si>
  <si>
    <t>9/5/29</t>
    <phoneticPr fontId="13"/>
  </si>
  <si>
    <t>愛媛 583 さ 2630</t>
    <rPh sb="0" eb="2">
      <t>エヒメ</t>
    </rPh>
    <phoneticPr fontId="13"/>
  </si>
  <si>
    <t>582 あ 3936</t>
    <phoneticPr fontId="13"/>
  </si>
  <si>
    <t>ﾎﾝﾀﾞ関西(まとめ)</t>
    <rPh sb="5" eb="6">
      <t>（</t>
    </rPh>
    <phoneticPr fontId="13"/>
  </si>
  <si>
    <t>JF1-1831645</t>
    <phoneticPr fontId="13"/>
  </si>
  <si>
    <t>株式会社ﾎﾝﾀﾞﾓﾋﾞﾘﾃｨ中四国</t>
    <rPh sb="0" eb="4">
      <t>カブシキカイシャ</t>
    </rPh>
    <rPh sb="14" eb="17">
      <t>ナカシコクカブシキカイシャ</t>
    </rPh>
    <phoneticPr fontId="13"/>
  </si>
  <si>
    <t>27-542</t>
  </si>
  <si>
    <t>ｱﾙﾄﾗﾊﾟﾝｼｮｺﾗ G</t>
    <phoneticPr fontId="13"/>
  </si>
  <si>
    <t>名古屋 583 こ 2410</t>
    <rPh sb="0" eb="3">
      <t>ナゴヤ</t>
    </rPh>
    <phoneticPr fontId="13"/>
  </si>
  <si>
    <t>ﾋﾟﾝｸ</t>
    <phoneticPr fontId="13"/>
  </si>
  <si>
    <t>HE22S-840532</t>
    <phoneticPr fontId="13"/>
  </si>
  <si>
    <t>ﾄﾖﾀﾓﾋﾞﾘﾃｨ東名古屋株式会社</t>
    <rPh sb="9" eb="12">
      <t>ナゴヤ</t>
    </rPh>
    <rPh sb="12" eb="16">
      <t>カブシキガイシャ</t>
    </rPh>
    <phoneticPr fontId="13"/>
  </si>
  <si>
    <t>6/19</t>
    <phoneticPr fontId="13"/>
  </si>
  <si>
    <t>保証書 取説 (車内)</t>
    <rPh sb="0" eb="3">
      <t>ホショウショ</t>
    </rPh>
    <rPh sb="4" eb="6">
      <t>トリセツ</t>
    </rPh>
    <phoneticPr fontId="13"/>
  </si>
  <si>
    <t>27-543</t>
  </si>
  <si>
    <t>BMWﾐﾆｸｰﾊﾟｰSD ｸﾛｽｵｰﾊﾞｰﾏﾘﾝ</t>
    <phoneticPr fontId="13"/>
  </si>
  <si>
    <t>8/9/6</t>
    <phoneticPr fontId="13"/>
  </si>
  <si>
    <t>杉並 310 ち 3121</t>
    <rPh sb="0" eb="2">
      <t>スギナミ</t>
    </rPh>
    <phoneticPr fontId="13"/>
  </si>
  <si>
    <t>保証書 取説 名変期限7/6まで</t>
  </si>
  <si>
    <t>301　ぬ　8022</t>
    <phoneticPr fontId="13"/>
  </si>
  <si>
    <t>WMWZB72020WT67287</t>
    <phoneticPr fontId="13"/>
  </si>
  <si>
    <t>佐藤　和穂</t>
    <rPh sb="0" eb="2">
      <t>サトウ</t>
    </rPh>
    <rPh sb="3" eb="5">
      <t>カズホ</t>
    </rPh>
    <phoneticPr fontId="13"/>
  </si>
  <si>
    <t>6/22</t>
    <phoneticPr fontId="13"/>
  </si>
  <si>
    <t>保証書　取説　ﾜﾝｵｰﾅｰ</t>
    <rPh sb="0" eb="3">
      <t>ホショウショ</t>
    </rPh>
    <rPh sb="4" eb="6">
      <t>トリセツ</t>
    </rPh>
    <phoneticPr fontId="13"/>
  </si>
  <si>
    <t>27-544</t>
  </si>
  <si>
    <t>7/7/30</t>
    <phoneticPr fontId="13"/>
  </si>
  <si>
    <t>なにわ 342 ゆ 919</t>
    <phoneticPr fontId="13"/>
  </si>
  <si>
    <t>鈴木様</t>
    <rPh sb="0" eb="2">
      <t>スズキ</t>
    </rPh>
    <rPh sb="2" eb="3">
      <t>サマ</t>
    </rPh>
    <phoneticPr fontId="13"/>
  </si>
  <si>
    <t>WBSJF02040GA03342</t>
    <phoneticPr fontId="13"/>
  </si>
  <si>
    <t>保証書 取説 ｷｰﾚｽ ﾒｶｷｰ ｴﾝﾌﾞﾚﾑ</t>
    <rPh sb="0" eb="3">
      <t>ホショウショ</t>
    </rPh>
    <rPh sb="4" eb="6">
      <t>トリセツ</t>
    </rPh>
    <phoneticPr fontId="13"/>
  </si>
  <si>
    <t>27-545</t>
  </si>
  <si>
    <t>8/1/27</t>
    <phoneticPr fontId="13"/>
  </si>
  <si>
    <t>大阪 34L ほ 55</t>
    <rPh sb="0" eb="2">
      <t>オオサカ</t>
    </rPh>
    <phoneticPr fontId="13"/>
  </si>
  <si>
    <t>301 ぬ 9398</t>
    <phoneticPr fontId="13"/>
  </si>
  <si>
    <t>富田様</t>
    <rPh sb="0" eb="2">
      <t>トミタ</t>
    </rPh>
    <rPh sb="2" eb="3">
      <t>サマ</t>
    </rPh>
    <phoneticPr fontId="13"/>
  </si>
  <si>
    <t>WMWXR920602N69054</t>
    <phoneticPr fontId="13"/>
  </si>
  <si>
    <t>富田 高広</t>
    <rPh sb="0" eb="2">
      <t>トミタ</t>
    </rPh>
    <rPh sb="3" eb="5">
      <t>タカヒロ</t>
    </rPh>
    <phoneticPr fontId="13"/>
  </si>
  <si>
    <t>6/14</t>
    <phoneticPr fontId="13"/>
  </si>
  <si>
    <t>鈴木 雄一</t>
    <rPh sb="0" eb="2">
      <t>スズキ</t>
    </rPh>
    <rPh sb="3" eb="5">
      <t>ユウイチ</t>
    </rPh>
    <phoneticPr fontId="13"/>
  </si>
  <si>
    <t>27-546</t>
  </si>
  <si>
    <t>ｼﾞｬｶﾞｰXE　XEﾎﾟｰﾄﾌｫﾘｵ</t>
    <phoneticPr fontId="13"/>
  </si>
  <si>
    <t>世田谷 399 せ 9832</t>
    <rPh sb="0" eb="3">
      <t>セタガヤ</t>
    </rPh>
    <phoneticPr fontId="13"/>
  </si>
  <si>
    <t>SAJAB4AGXGA937543</t>
    <phoneticPr fontId="13"/>
  </si>
  <si>
    <t>株式会社ﾀｳ</t>
    <rPh sb="0" eb="4">
      <t>カブシキガイシャ</t>
    </rPh>
    <phoneticPr fontId="13"/>
  </si>
  <si>
    <t>保証書 ｷｰﾚｽ</t>
    <rPh sb="0" eb="3">
      <t>ホショウショ</t>
    </rPh>
    <phoneticPr fontId="13"/>
  </si>
  <si>
    <t>所有者株式会社ﾀｳの為 売 注意!!</t>
    <rPh sb="0" eb="3">
      <t>ショユウシャ</t>
    </rPh>
    <rPh sb="3" eb="7">
      <t>カブシキガイシャ</t>
    </rPh>
    <rPh sb="10" eb="11">
      <t>タメ</t>
    </rPh>
    <rPh sb="12" eb="13">
      <t>ウ</t>
    </rPh>
    <rPh sb="14" eb="16">
      <t>チュウイ</t>
    </rPh>
    <phoneticPr fontId="13"/>
  </si>
  <si>
    <t>27-547</t>
  </si>
  <si>
    <t>ﾊｽﾗｰ G ﾃﾞｭｱﾙｶﾒﾗﾌﾞﾚｰｷｻﾎﾟｰﾄ</t>
    <phoneticPr fontId="13"/>
  </si>
  <si>
    <t>千葉　788　ろ　8052</t>
    <rPh sb="0" eb="2">
      <t>チバ</t>
    </rPh>
    <phoneticPr fontId="13"/>
  </si>
  <si>
    <t xml:space="preserve">取説 </t>
  </si>
  <si>
    <t>MR41S-350039</t>
    <phoneticPr fontId="13"/>
  </si>
  <si>
    <t>株式会社ｽｽﾞｷ自販千葉</t>
    <rPh sb="0" eb="4">
      <t>カブシキカイシャ</t>
    </rPh>
    <rPh sb="8" eb="10">
      <t>ジハン</t>
    </rPh>
    <rPh sb="10" eb="12">
      <t>チバ</t>
    </rPh>
    <phoneticPr fontId="13"/>
  </si>
  <si>
    <t>6/26</t>
    <phoneticPr fontId="13"/>
  </si>
  <si>
    <t>ｷｰﾚｽ　地図SD（車内）整備手帳　取説</t>
    <rPh sb="5" eb="7">
      <t>チズ</t>
    </rPh>
    <rPh sb="10" eb="12">
      <t>シャナイ</t>
    </rPh>
    <rPh sb="13" eb="17">
      <t>セイビテチョウ</t>
    </rPh>
    <rPh sb="18" eb="20">
      <t>トリセツ</t>
    </rPh>
    <phoneticPr fontId="13"/>
  </si>
  <si>
    <t>27-548</t>
  </si>
  <si>
    <t>ｼﾞﾑﾆｰ ﾗﾝﾄﾞﾍﾞﾝｼｬｰ</t>
    <phoneticPr fontId="13"/>
  </si>
  <si>
    <t>8/6/30</t>
    <phoneticPr fontId="13"/>
  </si>
  <si>
    <t>和泉　582　あ　1981</t>
    <rPh sb="0" eb="2">
      <t>イズミ</t>
    </rPh>
    <phoneticPr fontId="13"/>
  </si>
  <si>
    <t>ﾅﾝﾊﾞｰ</t>
  </si>
  <si>
    <t>582 あ 3941</t>
    <phoneticPr fontId="13"/>
  </si>
  <si>
    <t>JB23W-741395</t>
    <phoneticPr fontId="13"/>
  </si>
  <si>
    <t>株式会社Garnet Star</t>
    <rPh sb="0" eb="4">
      <t>カブシキカイシャ</t>
    </rPh>
    <phoneticPr fontId="13"/>
  </si>
  <si>
    <t>ﾅﾝﾊﾞｰ</t>
    <phoneticPr fontId="13"/>
  </si>
  <si>
    <t>7/19からﾅﾝﾊﾞｰ持ち出し</t>
    <phoneticPr fontId="13"/>
  </si>
  <si>
    <t>27-549</t>
  </si>
  <si>
    <t>ﾋﾞｰｸﾞﾙﾌｧﾝ　EVﾄｩｸﾄｩｸ</t>
    <phoneticPr fontId="13"/>
  </si>
  <si>
    <t>無</t>
    <rPh sb="0" eb="1">
      <t>ナ</t>
    </rPh>
    <phoneticPr fontId="13"/>
  </si>
  <si>
    <t>2 京都 ろ 4430</t>
    <rPh sb="2" eb="4">
      <t>キョウト</t>
    </rPh>
    <phoneticPr fontId="13"/>
  </si>
  <si>
    <t xml:space="preserve"> 1 姫路 そ 9957</t>
    <rPh sb="3" eb="5">
      <t>ヒメジ</t>
    </rPh>
    <phoneticPr fontId="13"/>
  </si>
  <si>
    <t>A284860</t>
    <phoneticPr fontId="13"/>
  </si>
  <si>
    <t>L3ZFJC2AXNY003185</t>
    <phoneticPr fontId="13"/>
  </si>
  <si>
    <t>山口 雅優</t>
    <rPh sb="0" eb="2">
      <t>ヤマグチ</t>
    </rPh>
    <rPh sb="3" eb="4">
      <t>マサ</t>
    </rPh>
    <rPh sb="4" eb="5">
      <t>ユウ</t>
    </rPh>
    <phoneticPr fontId="13"/>
  </si>
  <si>
    <t>27-550</t>
  </si>
  <si>
    <t>ｱﾙﾄﾗﾊﾟﾝ L</t>
    <phoneticPr fontId="13"/>
  </si>
  <si>
    <t>7/9/10</t>
    <phoneticPr fontId="13"/>
  </si>
  <si>
    <t>岡山　587　て　106</t>
    <rPh sb="0" eb="2">
      <t>オカヤマ</t>
    </rPh>
    <phoneticPr fontId="13"/>
  </si>
  <si>
    <t>HE33S-256801</t>
    <phoneticPr fontId="13"/>
  </si>
  <si>
    <t>株式会社ｳｫｯｼｭ</t>
    <rPh sb="0" eb="4">
      <t>カブシキカイシャ</t>
    </rPh>
    <phoneticPr fontId="13"/>
  </si>
  <si>
    <t>保証書（車内）記録紙１枚　取説</t>
    <rPh sb="0" eb="3">
      <t>ホショウショ</t>
    </rPh>
    <rPh sb="4" eb="6">
      <t>シャナイ</t>
    </rPh>
    <rPh sb="7" eb="9">
      <t>キロク</t>
    </rPh>
    <rPh sb="9" eb="10">
      <t>カミ</t>
    </rPh>
    <rPh sb="11" eb="12">
      <t>マイ</t>
    </rPh>
    <rPh sb="13" eb="15">
      <t>トリセツ</t>
    </rPh>
    <phoneticPr fontId="13"/>
  </si>
  <si>
    <t>27-551</t>
  </si>
  <si>
    <t>18/5</t>
    <phoneticPr fontId="13"/>
  </si>
  <si>
    <t>ﾐﾗｼﾞｰﾉ  ﾐﾆﾗｲﾄ</t>
    <phoneticPr fontId="13"/>
  </si>
  <si>
    <t>9/5/25</t>
    <phoneticPr fontId="13"/>
  </si>
  <si>
    <t>岡山 581 ゆ 5611</t>
    <rPh sb="0" eb="2">
      <t>オカヤマ</t>
    </rPh>
    <phoneticPr fontId="13"/>
  </si>
  <si>
    <t>582 あ 3950</t>
    <phoneticPr fontId="13"/>
  </si>
  <si>
    <t>L650S-0040028</t>
    <phoneticPr fontId="13"/>
  </si>
  <si>
    <t>池上 令</t>
    <rPh sb="0" eb="2">
      <t>イケガミ</t>
    </rPh>
    <rPh sb="3" eb="4">
      <t>レイ</t>
    </rPh>
    <phoneticPr fontId="13"/>
  </si>
  <si>
    <t>27-552</t>
  </si>
  <si>
    <t>1/8</t>
    <phoneticPr fontId="13"/>
  </si>
  <si>
    <t>BMWﾐﾆ　JCW</t>
    <phoneticPr fontId="13"/>
  </si>
  <si>
    <t>8/5</t>
    <phoneticPr fontId="13"/>
  </si>
  <si>
    <t>姫路　331　て　5580</t>
    <rPh sb="0" eb="2">
      <t>ヒメジ</t>
    </rPh>
    <phoneticPr fontId="13"/>
  </si>
  <si>
    <t>保証書　取説　Sｷｰ</t>
  </si>
  <si>
    <t>331 て 5580</t>
    <phoneticPr fontId="13"/>
  </si>
  <si>
    <t>WMWXR920602L07227</t>
    <phoneticPr fontId="13"/>
  </si>
  <si>
    <t>家根 里佳</t>
    <rPh sb="0" eb="2">
      <t>イエネ</t>
    </rPh>
    <rPh sb="3" eb="5">
      <t>リカ</t>
    </rPh>
    <phoneticPr fontId="13"/>
  </si>
  <si>
    <t>6/29</t>
    <phoneticPr fontId="13"/>
  </si>
  <si>
    <t>(有)富士商事</t>
    <rPh sb="0" eb="3">
      <t>ユウゲンガイシャ</t>
    </rPh>
    <rPh sb="3" eb="7">
      <t>フジショウジ</t>
    </rPh>
    <phoneticPr fontId="13"/>
  </si>
  <si>
    <t>27-553</t>
  </si>
  <si>
    <t>ﾗﾝﾎﾞﾙｷﾞｰﾆ　ｳﾗｶﾝ</t>
    <phoneticPr fontId="13"/>
  </si>
  <si>
    <t>9/6</t>
    <phoneticPr fontId="13"/>
  </si>
  <si>
    <t>姫路　331　て　1929</t>
    <rPh sb="0" eb="2">
      <t>ヒメジ</t>
    </rPh>
    <phoneticPr fontId="13"/>
  </si>
  <si>
    <t>331 て 1929</t>
    <phoneticPr fontId="13"/>
  </si>
  <si>
    <t>黒川様</t>
    <rPh sb="0" eb="3">
      <t>クロカワサマ</t>
    </rPh>
    <phoneticPr fontId="13"/>
  </si>
  <si>
    <t>ZHWEC2ZF4JLA09388</t>
    <phoneticPr fontId="13"/>
  </si>
  <si>
    <t>株式会社ｵﾘｴﾝﾄｺｰﾎﾟﾚｰｼｮﾝ</t>
    <rPh sb="0" eb="4">
      <t>カブシキカイシャ</t>
    </rPh>
    <phoneticPr fontId="13"/>
  </si>
  <si>
    <t>27-554</t>
  </si>
  <si>
    <t>14/2</t>
    <phoneticPr fontId="13"/>
  </si>
  <si>
    <t>ﾐﾗｼﾞｰﾉ　ﾐﾆﾗｲﾄｽﾍﾟｼｬﾙﾀｰﾎﾞ</t>
    <phoneticPr fontId="13"/>
  </si>
  <si>
    <t>7/8/30</t>
    <phoneticPr fontId="13"/>
  </si>
  <si>
    <t>袖ヶ浦 581 え 8884</t>
    <rPh sb="0" eb="3">
      <t>ソデガウラ</t>
    </rPh>
    <phoneticPr fontId="13"/>
  </si>
  <si>
    <t>整備手帳　取説</t>
  </si>
  <si>
    <t>582 あ 3564</t>
    <phoneticPr fontId="13"/>
  </si>
  <si>
    <t>A285320</t>
    <phoneticPr fontId="13"/>
  </si>
  <si>
    <t>L700S-0276568</t>
    <phoneticPr fontId="13"/>
  </si>
  <si>
    <t>中川 海渡</t>
    <rPh sb="0" eb="2">
      <t>ナカガワ</t>
    </rPh>
    <rPh sb="3" eb="4">
      <t>ウミ</t>
    </rPh>
    <rPh sb="4" eb="5">
      <t>ワタル</t>
    </rPh>
    <phoneticPr fontId="13"/>
  </si>
  <si>
    <t>27-555</t>
  </si>
  <si>
    <t>ﾊｲｾﾞｯﾄT　冷凍</t>
    <rPh sb="8" eb="10">
      <t>レイトウ</t>
    </rPh>
    <phoneticPr fontId="13"/>
  </si>
  <si>
    <t>神戸 481 り 3065</t>
    <rPh sb="0" eb="2">
      <t>コウベ</t>
    </rPh>
    <phoneticPr fontId="13"/>
  </si>
  <si>
    <t>事業車</t>
  </si>
  <si>
    <t>S500P-0091044</t>
    <phoneticPr fontId="13"/>
  </si>
  <si>
    <t>ﾔﾏﾄ運輸株式会社</t>
    <rPh sb="3" eb="9">
      <t>ウンユカブシキガイシャ</t>
    </rPh>
    <phoneticPr fontId="13"/>
  </si>
  <si>
    <t>27-556</t>
  </si>
  <si>
    <t>沼津 399 ち 2995</t>
    <rPh sb="0" eb="2">
      <t>ヌマヅ</t>
    </rPh>
    <phoneticPr fontId="13"/>
  </si>
  <si>
    <t>保証書　取説　予備ｷｰ　ﾜﾝｵｰﾅｰ</t>
  </si>
  <si>
    <t>VF7SXHNZTJT546523</t>
    <phoneticPr fontId="13"/>
  </si>
  <si>
    <t>株式会社ｴｰｴﾙｼｰ</t>
    <rPh sb="0" eb="4">
      <t>カブシキガイシャ</t>
    </rPh>
    <phoneticPr fontId="13"/>
  </si>
  <si>
    <t>27-557</t>
  </si>
  <si>
    <t>ﾜｺﾞﾝRｽﾃｨﾝｸﾞﾚｰ 4WD</t>
    <phoneticPr fontId="13"/>
  </si>
  <si>
    <t>岐阜 585 ろ 9630</t>
    <rPh sb="0" eb="2">
      <t>ギフ</t>
    </rPh>
    <phoneticPr fontId="13"/>
  </si>
  <si>
    <t>ﾐﾗｲﾌﾞ愛知(ｱｲｵｰｸ)</t>
    <rPh sb="5" eb="7">
      <t>アイチ</t>
    </rPh>
    <phoneticPr fontId="13"/>
  </si>
  <si>
    <t>MH23S-594324</t>
    <phoneticPr fontId="13"/>
  </si>
  <si>
    <t>岐阜ﾄﾖﾍﾟｯﾄ株式会社</t>
    <rPh sb="0" eb="2">
      <t>ギフ</t>
    </rPh>
    <rPh sb="8" eb="12">
      <t>カブシキガイシャ</t>
    </rPh>
    <phoneticPr fontId="13"/>
  </si>
  <si>
    <t>27-558</t>
  </si>
  <si>
    <t>ｱｳﾃﾞｨA6　ｵｰﾙﾛｰﾄﾞｸﾜﾄﾛﾍﾞｰｽｸﾞﾚｰﾄﾞ</t>
    <phoneticPr fontId="13"/>
  </si>
  <si>
    <t>筑豊 333 せ 26</t>
    <rPh sb="0" eb="2">
      <t>チクホウ</t>
    </rPh>
    <phoneticPr fontId="13"/>
  </si>
  <si>
    <t>WAUZZZ4G1EN168505</t>
    <phoneticPr fontId="13"/>
  </si>
  <si>
    <t>鶴本 修</t>
    <rPh sb="0" eb="2">
      <t>ツルモト</t>
    </rPh>
    <rPh sb="3" eb="4">
      <t>オサム</t>
    </rPh>
    <phoneticPr fontId="13"/>
  </si>
  <si>
    <t>27-559</t>
  </si>
  <si>
    <t>ｼﾞｬｶﾞｰ XF ｽﾎﾟｰﾂﾌﾟﾚｽﾃｰｼﾞ</t>
    <phoneticPr fontId="13"/>
  </si>
  <si>
    <t>江東 310 す 3928</t>
    <rPh sb="0" eb="2">
      <t>エトウ</t>
    </rPh>
    <phoneticPr fontId="13"/>
  </si>
  <si>
    <t>301 ね 423</t>
    <phoneticPr fontId="13"/>
  </si>
  <si>
    <t>SAJBB2AX1JCY67791</t>
    <phoneticPr fontId="13"/>
  </si>
  <si>
    <t>大谷 潤</t>
    <rPh sb="0" eb="2">
      <t>オオタニ</t>
    </rPh>
    <rPh sb="3" eb="4">
      <t>ジュン</t>
    </rPh>
    <phoneticPr fontId="13"/>
  </si>
  <si>
    <t>27-560</t>
  </si>
  <si>
    <t>8/3/21</t>
    <phoneticPr fontId="13"/>
  </si>
  <si>
    <t>愛媛 332 た 1812</t>
    <rPh sb="0" eb="2">
      <t>エヒメ</t>
    </rPh>
    <phoneticPr fontId="13"/>
  </si>
  <si>
    <t>SAJBB4AV9HCY34848</t>
    <phoneticPr fontId="13"/>
  </si>
  <si>
    <t>保証書 取説 ｷｰﾚｽ ﾒｶｷｰ</t>
    <rPh sb="0" eb="3">
      <t>ホショウショ</t>
    </rPh>
    <rPh sb="4" eb="6">
      <t>トリセツ</t>
    </rPh>
    <phoneticPr fontId="13"/>
  </si>
  <si>
    <t>27-561</t>
  </si>
  <si>
    <t>ﾉｱ Si</t>
    <phoneticPr fontId="13"/>
  </si>
  <si>
    <t>8/5/27</t>
    <phoneticPr fontId="13"/>
  </si>
  <si>
    <t>群馬 330 む 3819</t>
    <rPh sb="0" eb="2">
      <t>グンマ</t>
    </rPh>
    <phoneticPr fontId="13"/>
  </si>
  <si>
    <t>保証書後送ｾﾙｶ確認中</t>
    <rPh sb="0" eb="3">
      <t>ホショウショ</t>
    </rPh>
    <rPh sb="3" eb="5">
      <t>ゴソウ</t>
    </rPh>
    <rPh sb="8" eb="10">
      <t>カクニン</t>
    </rPh>
    <rPh sb="10" eb="11">
      <t>チュウ</t>
    </rPh>
    <phoneticPr fontId="13"/>
  </si>
  <si>
    <t>301 ね 2367</t>
    <phoneticPr fontId="13"/>
  </si>
  <si>
    <t>A287529</t>
    <phoneticPr fontId="13"/>
  </si>
  <si>
    <t>ZRR80-0671892</t>
    <phoneticPr fontId="13"/>
  </si>
  <si>
    <t>ﾄﾖﾀｶﾛｰﾗ群馬株式会社</t>
    <rPh sb="7" eb="9">
      <t>グンマ</t>
    </rPh>
    <rPh sb="9" eb="13">
      <t>カブシキガイシャ</t>
    </rPh>
    <phoneticPr fontId="13"/>
  </si>
  <si>
    <t>直送</t>
    <rPh sb="0" eb="2">
      <t>チョクソウ</t>
    </rPh>
    <phoneticPr fontId="13"/>
  </si>
  <si>
    <t xml:space="preserve">ﾏｲｸﾛ地図SD(車内)整備手帳 取説 </t>
    <rPh sb="12" eb="14">
      <t>セイビ</t>
    </rPh>
    <rPh sb="14" eb="16">
      <t>テチョウ</t>
    </rPh>
    <rPh sb="17" eb="19">
      <t>トリセツ</t>
    </rPh>
    <phoneticPr fontId="13"/>
  </si>
  <si>
    <t>1265回37410売ｷｬﾝｾﾙ ｽﾍﾟｱｷｰ返送なし</t>
    <rPh sb="4" eb="5">
      <t>カイ</t>
    </rPh>
    <rPh sb="10" eb="11">
      <t>ウ</t>
    </rPh>
    <rPh sb="23" eb="25">
      <t>ヘンソウ</t>
    </rPh>
    <phoneticPr fontId="13"/>
  </si>
  <si>
    <t>27-562</t>
  </si>
  <si>
    <t>ﾊｲｾﾞｯﾄｶｰｺﾞ SA3</t>
    <phoneticPr fontId="13"/>
  </si>
  <si>
    <t>なにわ 687 ろ 2835</t>
    <phoneticPr fontId="13"/>
  </si>
  <si>
    <t>S321V-0441933</t>
    <phoneticPr fontId="13"/>
  </si>
  <si>
    <t>株式会社ｲﾁﾈﾝ</t>
    <rPh sb="0" eb="4">
      <t>カブシキガイシャ</t>
    </rPh>
    <phoneticPr fontId="13"/>
  </si>
  <si>
    <t>7/17</t>
    <phoneticPr fontId="13"/>
  </si>
  <si>
    <t>保証書なしｸﾚｰﾑ済 値引き22.000</t>
    <rPh sb="0" eb="3">
      <t>ホショウショ</t>
    </rPh>
    <rPh sb="9" eb="10">
      <t>ズ</t>
    </rPh>
    <rPh sb="11" eb="13">
      <t>ネビ</t>
    </rPh>
    <phoneticPr fontId="13"/>
  </si>
  <si>
    <t>27-563</t>
  </si>
  <si>
    <t>ﾙﾉｰ ﾙｰﾃｼｱ ｲﾝﾃﾝｽ ﾃｯｸﾊﾟｯｸ</t>
    <phoneticPr fontId="13"/>
  </si>
  <si>
    <t>8/6/3</t>
    <phoneticPr fontId="13"/>
  </si>
  <si>
    <t>神戸 358 ふ 725</t>
    <rPh sb="0" eb="2">
      <t>コウベ</t>
    </rPh>
    <phoneticPr fontId="13"/>
  </si>
  <si>
    <t xml:space="preserve">         </t>
    <phoneticPr fontId="13"/>
  </si>
  <si>
    <t>301 ぬ 9782</t>
    <phoneticPr fontId="13"/>
  </si>
  <si>
    <t>VF1RJA001M0821154</t>
    <phoneticPr fontId="13"/>
  </si>
  <si>
    <t>7/22</t>
    <phoneticPr fontId="13"/>
  </si>
  <si>
    <t>保証書 取説 ｽﾍﾟｱｷｰ ﾜﾝｵｰﾅｰ 車庫出し</t>
    <rPh sb="0" eb="3">
      <t>ホショウショ</t>
    </rPh>
    <rPh sb="4" eb="6">
      <t>トリセツ</t>
    </rPh>
    <rPh sb="21" eb="24">
      <t>シャコダ</t>
    </rPh>
    <phoneticPr fontId="13"/>
  </si>
  <si>
    <t>27-564</t>
  </si>
  <si>
    <t>ﾊｲｳｪｲｽﾀｰX Vｾﾚｸｼｮﾝ</t>
    <phoneticPr fontId="13"/>
  </si>
  <si>
    <t>8/5/11</t>
    <phoneticPr fontId="13"/>
  </si>
  <si>
    <t>沼津 580 て 2403</t>
    <rPh sb="0" eb="2">
      <t>ヌマヅ</t>
    </rPh>
    <phoneticPr fontId="13"/>
  </si>
  <si>
    <t>582 い 828</t>
    <phoneticPr fontId="13"/>
  </si>
  <si>
    <t>A288237</t>
    <phoneticPr fontId="13"/>
  </si>
  <si>
    <t>B21A-0336200</t>
    <phoneticPr fontId="13"/>
  </si>
  <si>
    <t>久野 明日香</t>
    <rPh sb="0" eb="2">
      <t>クノ</t>
    </rPh>
    <rPh sb="3" eb="6">
      <t>アスカ</t>
    </rPh>
    <phoneticPr fontId="13"/>
  </si>
  <si>
    <t>7/24</t>
    <phoneticPr fontId="13"/>
  </si>
  <si>
    <t>27-565</t>
  </si>
  <si>
    <t>29/</t>
    <phoneticPr fontId="13"/>
  </si>
  <si>
    <t>倉敷 300 ぬ 3858</t>
    <rPh sb="0" eb="2">
      <t>クラシキ</t>
    </rPh>
    <phoneticPr fontId="13"/>
  </si>
  <si>
    <t>SALCA2AG4HH650568</t>
    <phoneticPr fontId="13"/>
  </si>
  <si>
    <t>有限会社ｶﾞﾚｰｼﾞｲﾝﾍﾟﾘｱﾙ</t>
    <rPh sb="0" eb="4">
      <t>ユウゲンカイシャ</t>
    </rPh>
    <phoneticPr fontId="13"/>
  </si>
  <si>
    <t>安永 祐二</t>
    <rPh sb="0" eb="2">
      <t>ヤスナガ</t>
    </rPh>
    <rPh sb="3" eb="5">
      <t>ユウジ</t>
    </rPh>
    <phoneticPr fontId="13"/>
  </si>
  <si>
    <t>27-566</t>
  </si>
  <si>
    <t xml:space="preserve">ｱｳﾃﾞｨ TTS ｸｰﾍﾟ </t>
    <phoneticPr fontId="13"/>
  </si>
  <si>
    <t>9/2/27</t>
    <phoneticPr fontId="13"/>
  </si>
  <si>
    <t>品川 330 る 8666</t>
    <rPh sb="0" eb="2">
      <t>シナガワ</t>
    </rPh>
    <phoneticPr fontId="13"/>
  </si>
  <si>
    <t>保証書 取説 名変期限8/29まで</t>
  </si>
  <si>
    <t>301 ぬ 9850</t>
    <phoneticPr fontId="13"/>
  </si>
  <si>
    <t>TRUZZZFV2L1003717</t>
    <phoneticPr fontId="13"/>
  </si>
  <si>
    <t>医療法人社団関戸ｸﾘﾆｯｸ</t>
    <rPh sb="0" eb="6">
      <t>イリョウホウジンシャダン</t>
    </rPh>
    <rPh sb="6" eb="8">
      <t>セキド</t>
    </rPh>
    <phoneticPr fontId="13"/>
  </si>
  <si>
    <t xml:space="preserve">保証書 取説 ｷｰﾚｽ ﾜﾝｵｰﾅｰ </t>
    <rPh sb="0" eb="3">
      <t>ホショウショ</t>
    </rPh>
    <rPh sb="4" eb="6">
      <t>トリセツ</t>
    </rPh>
    <phoneticPr fontId="13"/>
  </si>
  <si>
    <t>根本 孝</t>
    <rPh sb="0" eb="2">
      <t>ネモト</t>
    </rPh>
    <rPh sb="3" eb="4">
      <t>タカ</t>
    </rPh>
    <phoneticPr fontId="13"/>
  </si>
  <si>
    <t>27-567</t>
  </si>
  <si>
    <t>ﾗﾝﾄﾞｸﾙｰｻﾞｰ</t>
    <phoneticPr fontId="13"/>
  </si>
  <si>
    <t>新車 ﾈｯﾂﾄﾖﾀ</t>
    <rPh sb="0" eb="2">
      <t>シンシャ</t>
    </rPh>
    <phoneticPr fontId="13"/>
  </si>
  <si>
    <t>GDJ76-1007991</t>
    <phoneticPr fontId="13"/>
  </si>
  <si>
    <t>瀧井 良介</t>
    <rPh sb="0" eb="2">
      <t>タキイ</t>
    </rPh>
    <rPh sb="3" eb="5">
      <t>リョウスケ</t>
    </rPh>
    <phoneticPr fontId="13"/>
  </si>
  <si>
    <t>7/15</t>
    <phoneticPr fontId="13"/>
  </si>
  <si>
    <t>27-568</t>
  </si>
  <si>
    <t>N-BOXｶｽﾀﾑ G ﾀｰﾎﾞ Lﾊﾟｯｹｰｼﾞ</t>
    <phoneticPr fontId="13"/>
  </si>
  <si>
    <t>江東 580 ろ 902</t>
    <rPh sb="0" eb="2">
      <t>エトウ</t>
    </rPh>
    <phoneticPr fontId="13"/>
  </si>
  <si>
    <t>紫</t>
    <rPh sb="0" eb="1">
      <t>ムラサキ</t>
    </rPh>
    <phoneticPr fontId="13"/>
  </si>
  <si>
    <t>JF1-2504730</t>
    <phoneticPr fontId="13"/>
  </si>
  <si>
    <t>三井住友ｶｰﾄﾞ株式会社</t>
    <rPh sb="0" eb="4">
      <t>ミツイスミトモ</t>
    </rPh>
    <rPh sb="8" eb="12">
      <t>カブシキガイシャ</t>
    </rPh>
    <phoneticPr fontId="13"/>
  </si>
  <si>
    <t>27-569</t>
  </si>
  <si>
    <t>ﾊｽﾗｰ ﾊｲﾌﾞﾘｯﾄﾞG</t>
    <phoneticPr fontId="13"/>
  </si>
  <si>
    <t>広島 586 ろ 6997</t>
    <rPh sb="0" eb="2">
      <t>ヒロシマ</t>
    </rPh>
    <phoneticPr fontId="13"/>
  </si>
  <si>
    <t>保証書 取説 予備ｷｰ ﾚﾝﾀｶｰ</t>
  </si>
  <si>
    <t>MR92S-189270</t>
    <phoneticPr fontId="13"/>
  </si>
  <si>
    <t>ﾀｲﾑｽﾞﾓﾋﾞﾘﾃｨ株式会社</t>
    <rPh sb="11" eb="15">
      <t>カブシキガイシャ</t>
    </rPh>
    <phoneticPr fontId="13"/>
  </si>
  <si>
    <t>27-570</t>
  </si>
  <si>
    <t>ｷｭｰﾌﾞ 福祉車両</t>
    <rPh sb="6" eb="10">
      <t>フクシシャリョウ</t>
    </rPh>
    <phoneticPr fontId="13"/>
  </si>
  <si>
    <t>品川 899 と 9477</t>
    <rPh sb="0" eb="2">
      <t>シナガワ</t>
    </rPh>
    <phoneticPr fontId="13"/>
  </si>
  <si>
    <t>tax言われたら伴さん連絡する</t>
    <phoneticPr fontId="13"/>
  </si>
  <si>
    <t>Z12-400402</t>
    <phoneticPr fontId="13"/>
  </si>
  <si>
    <t>日本ｶｰｿﾘｭｰｼﾞｮﾝ株式会社</t>
    <rPh sb="0" eb="2">
      <t>ニッポン</t>
    </rPh>
    <rPh sb="12" eb="16">
      <t>カブシキガイシャ</t>
    </rPh>
    <phoneticPr fontId="13"/>
  </si>
  <si>
    <t>USS神戸(ﾜﾝｸﾘ)</t>
    <rPh sb="3" eb="5">
      <t>コウベ</t>
    </rPh>
    <phoneticPr fontId="13"/>
  </si>
  <si>
    <t>27-571</t>
  </si>
  <si>
    <t>20/11</t>
    <phoneticPr fontId="13"/>
  </si>
  <si>
    <t>ﾐﾗｼﾞｰﾉ L</t>
    <phoneticPr fontId="13"/>
  </si>
  <si>
    <t>7/11</t>
    <phoneticPr fontId="13"/>
  </si>
  <si>
    <t>岡山 583 さ 173</t>
    <rPh sb="0" eb="2">
      <t>オカヤマ</t>
    </rPh>
    <phoneticPr fontId="13"/>
  </si>
  <si>
    <t>582 あ 6429</t>
    <phoneticPr fontId="13"/>
  </si>
  <si>
    <t>L650S-0077550</t>
    <phoneticPr fontId="13"/>
  </si>
  <si>
    <t>稲川 真央</t>
    <rPh sb="0" eb="2">
      <t>イナカワ</t>
    </rPh>
    <rPh sb="3" eb="5">
      <t>マオ</t>
    </rPh>
    <phoneticPr fontId="13"/>
  </si>
  <si>
    <t>27-572</t>
  </si>
  <si>
    <t>ｶﾛｰﾗﾌｨｰﾙﾀﾞｰ ﾊｲﾌﾞﾘｯﾄﾞEX</t>
    <phoneticPr fontId="13"/>
  </si>
  <si>
    <t>名古屋 778 そ 723</t>
    <rPh sb="0" eb="3">
      <t>ナゴヤ</t>
    </rPh>
    <phoneticPr fontId="13"/>
  </si>
  <si>
    <t>NKE165-7232054</t>
    <phoneticPr fontId="13"/>
  </si>
  <si>
    <t>株式会社ﾄﾖﾀﾚﾝﾀﾘｰｽ名古屋</t>
    <rPh sb="0" eb="4">
      <t>カブシキガイシャ</t>
    </rPh>
    <rPh sb="13" eb="16">
      <t>ナゴヤ</t>
    </rPh>
    <phoneticPr fontId="13"/>
  </si>
  <si>
    <t>保証書 取説 ｷｰﾚｽ(車内)地図SD</t>
    <rPh sb="0" eb="3">
      <t>ホショウショ</t>
    </rPh>
    <rPh sb="4" eb="6">
      <t>トリセツ</t>
    </rPh>
    <rPh sb="15" eb="17">
      <t>チズ</t>
    </rPh>
    <phoneticPr fontId="13"/>
  </si>
  <si>
    <t>27-573</t>
  </si>
  <si>
    <t>ｱｸｱ Z</t>
    <phoneticPr fontId="13"/>
  </si>
  <si>
    <t>8/8/25</t>
    <phoneticPr fontId="13"/>
  </si>
  <si>
    <t>福山 501 に 2763</t>
    <rPh sb="0" eb="2">
      <t>フクヤマ</t>
    </rPh>
    <phoneticPr fontId="13"/>
  </si>
  <si>
    <t>501 も 9419</t>
    <phoneticPr fontId="13"/>
  </si>
  <si>
    <t>MXPK11-2012623</t>
    <phoneticPr fontId="13"/>
  </si>
  <si>
    <t>法野 庫夫</t>
    <rPh sb="0" eb="1">
      <t>ホウ</t>
    </rPh>
    <rPh sb="1" eb="2">
      <t>ノ</t>
    </rPh>
    <rPh sb="3" eb="4">
      <t>コ</t>
    </rPh>
    <rPh sb="4" eb="5">
      <t>オット</t>
    </rPh>
    <phoneticPr fontId="13"/>
  </si>
  <si>
    <t>27-574</t>
  </si>
  <si>
    <t>岡山 336 さ 8228</t>
    <rPh sb="0" eb="2">
      <t>オカヤマ</t>
    </rPh>
    <phoneticPr fontId="13"/>
  </si>
  <si>
    <t>WMWXM720203B16534</t>
    <phoneticPr fontId="13"/>
  </si>
  <si>
    <t>27-575</t>
  </si>
  <si>
    <t>BMWﾐﾆｸｰﾊﾟｰS ｾﾌﾞﾝ</t>
    <phoneticPr fontId="13"/>
  </si>
  <si>
    <t>品川 303 つ 620</t>
    <rPh sb="0" eb="2">
      <t>シナガワ</t>
    </rPh>
    <phoneticPr fontId="13"/>
  </si>
  <si>
    <t>WMWXM720302A80097</t>
    <phoneticPr fontId="13"/>
  </si>
  <si>
    <t>株式会社ABEMOTORS</t>
    <rPh sb="0" eb="4">
      <t>カブシキガイシャ</t>
    </rPh>
    <phoneticPr fontId="13"/>
  </si>
  <si>
    <t>7/26</t>
    <phoneticPr fontId="13"/>
  </si>
  <si>
    <t>27-576</t>
  </si>
  <si>
    <t>N-BOXｶｽﾀﾑ Lﾀｰﾎﾞｽﾀｲﾙ</t>
    <phoneticPr fontId="13"/>
  </si>
  <si>
    <t>9/2/21</t>
    <phoneticPr fontId="13"/>
  </si>
  <si>
    <t>和歌山 589 て 31</t>
    <rPh sb="0" eb="3">
      <t>ワカヤマ</t>
    </rPh>
    <phoneticPr fontId="13"/>
  </si>
  <si>
    <t>A291227</t>
    <phoneticPr fontId="13"/>
  </si>
  <si>
    <t>JF3-2356198</t>
    <phoneticPr fontId="13"/>
  </si>
  <si>
    <t>株式会社ﾎﾝﾀﾞﾌｧｲﾅｽ</t>
    <rPh sb="0" eb="4">
      <t>カブシキカイシャ</t>
    </rPh>
    <phoneticPr fontId="13"/>
  </si>
  <si>
    <t>8/28</t>
    <phoneticPr fontId="13"/>
  </si>
  <si>
    <t>27-577</t>
  </si>
  <si>
    <t>ﾌﾚｱｸﾛｽｵｰﾊﾞｰ ZT</t>
    <phoneticPr fontId="13"/>
  </si>
  <si>
    <t>9/9/9</t>
    <phoneticPr fontId="13"/>
  </si>
  <si>
    <t>横浜 584 も 2255</t>
    <rPh sb="0" eb="2">
      <t>ヨコハマ</t>
    </rPh>
    <phoneticPr fontId="13"/>
  </si>
  <si>
    <t>582 い 943</t>
    <phoneticPr fontId="13"/>
  </si>
  <si>
    <t>A291451</t>
    <phoneticPr fontId="13"/>
  </si>
  <si>
    <t>MS52S-450200</t>
    <phoneticPr fontId="13"/>
  </si>
  <si>
    <t>石川 優依</t>
    <rPh sb="0" eb="2">
      <t>イシカワ</t>
    </rPh>
    <rPh sb="3" eb="5">
      <t>ユイ</t>
    </rPh>
    <phoneticPr fontId="13"/>
  </si>
  <si>
    <t>27-578</t>
  </si>
  <si>
    <t>広島 581 く 1740</t>
    <rPh sb="0" eb="2">
      <t>ヒロシマ</t>
    </rPh>
    <phoneticPr fontId="13"/>
  </si>
  <si>
    <t>582 あ 6435</t>
    <phoneticPr fontId="13"/>
  </si>
  <si>
    <t>HE22S-849651</t>
    <phoneticPr fontId="13"/>
  </si>
  <si>
    <t>株式会社ｽｽﾞｷ自販広島</t>
    <rPh sb="0" eb="4">
      <t>カブシキガイシャ</t>
    </rPh>
    <rPh sb="8" eb="10">
      <t>ジハン</t>
    </rPh>
    <rPh sb="10" eb="12">
      <t>ヒロシマ</t>
    </rPh>
    <phoneticPr fontId="13"/>
  </si>
  <si>
    <t>27-579</t>
  </si>
  <si>
    <t>BMWﾐﾆ ｳﾞｨｸﾄﾘｱ</t>
    <phoneticPr fontId="13"/>
  </si>
  <si>
    <t>名古屋 326 ほ 6258</t>
    <rPh sb="0" eb="3">
      <t>ナゴヤ</t>
    </rPh>
    <phoneticPr fontId="13"/>
  </si>
  <si>
    <t xml:space="preserve">保証書 取説 予備ｷｰ </t>
  </si>
  <si>
    <t>CAA岐阜(まとめ)</t>
    <rPh sb="3" eb="5">
      <t>ギフ</t>
    </rPh>
    <phoneticPr fontId="13"/>
  </si>
  <si>
    <t>WMWXR120302M92161</t>
    <phoneticPr fontId="13"/>
  </si>
  <si>
    <t>27-580</t>
  </si>
  <si>
    <t>ﾀﾝﾄ 車椅子移動車</t>
    <rPh sb="4" eb="7">
      <t>クルマイス</t>
    </rPh>
    <rPh sb="7" eb="10">
      <t>イドウシャ</t>
    </rPh>
    <phoneticPr fontId="13"/>
  </si>
  <si>
    <t>多摩 591 ろ 3619</t>
    <rPh sb="0" eb="2">
      <t>タマ</t>
    </rPh>
    <phoneticPr fontId="13"/>
  </si>
  <si>
    <t>LA600S-0604649</t>
    <phoneticPr fontId="13"/>
  </si>
  <si>
    <t>取説 ﾘﾓｺﾝ (車内)保証書</t>
    <rPh sb="0" eb="2">
      <t>トリセツ</t>
    </rPh>
    <rPh sb="9" eb="11">
      <t>シャナイ</t>
    </rPh>
    <rPh sb="12" eb="15">
      <t>ホショウショ</t>
    </rPh>
    <phoneticPr fontId="13"/>
  </si>
  <si>
    <t>27-581</t>
  </si>
  <si>
    <t>富士山 581 ふ 1877</t>
    <rPh sb="0" eb="3">
      <t>フジサン</t>
    </rPh>
    <phoneticPr fontId="13"/>
  </si>
  <si>
    <t>取説 ｷｰﾚｽ ﾅﾋﾞ取 ｽﾏｰﾄｷｰ</t>
  </si>
  <si>
    <t>JF1-2503576</t>
    <phoneticPr fontId="13"/>
  </si>
  <si>
    <t>勝野 保延</t>
    <rPh sb="0" eb="2">
      <t>カツノ</t>
    </rPh>
    <rPh sb="3" eb="4">
      <t>ホ</t>
    </rPh>
    <rPh sb="4" eb="5">
      <t>ノ</t>
    </rPh>
    <phoneticPr fontId="13"/>
  </si>
  <si>
    <t>取説 ﾅﾋﾞ取 ｷｰﾚｽ</t>
    <rPh sb="0" eb="2">
      <t>トリセツ</t>
    </rPh>
    <rPh sb="6" eb="7">
      <t>トリ</t>
    </rPh>
    <phoneticPr fontId="13"/>
  </si>
  <si>
    <t>27-582</t>
  </si>
  <si>
    <t>BMW 6ｼﾘｰｽﾞ 630i ｸﾞﾗﾝﾂｰﾘｽﾓ</t>
    <phoneticPr fontId="13"/>
  </si>
  <si>
    <t>8/4/23</t>
    <phoneticPr fontId="13"/>
  </si>
  <si>
    <t>福岡 303 ひ 7552</t>
    <rPh sb="0" eb="2">
      <t>フクオカ</t>
    </rPh>
    <phoneticPr fontId="13"/>
  </si>
  <si>
    <t>WBAJX620X0BJ23953</t>
    <phoneticPr fontId="13"/>
  </si>
  <si>
    <t>27-583</t>
  </si>
  <si>
    <t>8/12</t>
    <phoneticPr fontId="13"/>
  </si>
  <si>
    <t>所沢 302 た 3774</t>
    <rPh sb="0" eb="2">
      <t>トコロザワ</t>
    </rPh>
    <phoneticPr fontId="13"/>
  </si>
  <si>
    <t>3014 ぬ 9848</t>
    <phoneticPr fontId="13"/>
  </si>
  <si>
    <t>ﾎﾝﾀﾞ東京(まとめ)</t>
    <rPh sb="4" eb="6">
      <t>トウキョウ</t>
    </rPh>
    <phoneticPr fontId="13"/>
  </si>
  <si>
    <t>WMWXM720102E25630</t>
    <phoneticPr fontId="13"/>
  </si>
  <si>
    <t>株式会社ﾎﾝﾀﾞﾓﾋﾞﾘﾃｨ南関東</t>
    <rPh sb="0" eb="4">
      <t>カブシキガイシャ</t>
    </rPh>
    <rPh sb="14" eb="15">
      <t>ミナミ</t>
    </rPh>
    <rPh sb="15" eb="17">
      <t>カントウ</t>
    </rPh>
    <phoneticPr fontId="13"/>
  </si>
  <si>
    <t xml:space="preserve">ｷｰﾚｽ(車内)保証書 取説 </t>
    <rPh sb="5" eb="7">
      <t>シャナイ</t>
    </rPh>
    <rPh sb="8" eb="11">
      <t>ホショウショ</t>
    </rPh>
    <rPh sb="12" eb="14">
      <t>トリセツ</t>
    </rPh>
    <phoneticPr fontId="13"/>
  </si>
  <si>
    <t>27-584</t>
  </si>
  <si>
    <t>BMW3ｼﾘｰｽﾞ 320i Mｽﾎﾟｰﾂ</t>
    <phoneticPr fontId="13"/>
  </si>
  <si>
    <t>世田谷 300 て 836</t>
    <rPh sb="0" eb="3">
      <t>セタガヤ</t>
    </rPh>
    <phoneticPr fontId="13"/>
  </si>
  <si>
    <t>WBA8A16050NT28799</t>
    <phoneticPr fontId="13"/>
  </si>
  <si>
    <t>保証書 取説 ｷｰﾚｽ ﾅﾋﾞ取</t>
    <rPh sb="0" eb="3">
      <t>ホショウショ</t>
    </rPh>
    <rPh sb="4" eb="6">
      <t>トリセツ</t>
    </rPh>
    <rPh sb="15" eb="16">
      <t>トリ</t>
    </rPh>
    <phoneticPr fontId="13"/>
  </si>
  <si>
    <t>27-585</t>
  </si>
  <si>
    <t>23/4</t>
    <phoneticPr fontId="13"/>
  </si>
  <si>
    <t>ﾊﾟｼﾞｬﾛﾐﾆ VR</t>
    <phoneticPr fontId="13"/>
  </si>
  <si>
    <t>8/6</t>
    <phoneticPr fontId="13"/>
  </si>
  <si>
    <t>山口 581 む 5776</t>
    <rPh sb="0" eb="2">
      <t>ヤマグチ</t>
    </rPh>
    <phoneticPr fontId="13"/>
  </si>
  <si>
    <t>582 あ 6427</t>
    <phoneticPr fontId="13"/>
  </si>
  <si>
    <t>H58A-1005839</t>
    <phoneticPr fontId="13"/>
  </si>
  <si>
    <t>27-586</t>
  </si>
  <si>
    <t>ﾜｺﾞﾝR ﾘﾐﾃｯﾄﾞ</t>
    <phoneticPr fontId="13"/>
  </si>
  <si>
    <t>和泉 585 を 1717</t>
    <rPh sb="0" eb="2">
      <t>イズミ</t>
    </rPh>
    <phoneticPr fontId="13"/>
  </si>
  <si>
    <t>MH23S-714551</t>
    <phoneticPr fontId="13"/>
  </si>
  <si>
    <t>株式会社南海ｽｽﾞｷ</t>
    <rPh sb="0" eb="4">
      <t>カブシキガイシャ</t>
    </rPh>
    <rPh sb="4" eb="6">
      <t>ナンカイ</t>
    </rPh>
    <phoneticPr fontId="13"/>
  </si>
  <si>
    <t>27-587</t>
  </si>
  <si>
    <t>ﾗﾝﾄﾞﾛｰﾊﾞｰ ﾚﾝｼﾞﾛｰﾊﾞｰｲｳﾞｫｰｸ</t>
    <phoneticPr fontId="13"/>
  </si>
  <si>
    <t>8/7/27</t>
    <phoneticPr fontId="13"/>
  </si>
  <si>
    <t>習志野 393 そ 55</t>
    <rPh sb="0" eb="3">
      <t>ナラシノ</t>
    </rPh>
    <phoneticPr fontId="13"/>
  </si>
  <si>
    <t>SALGA2EV1HA344303</t>
    <phoneticPr fontId="13"/>
  </si>
  <si>
    <t>西澤 真菜</t>
    <rPh sb="0" eb="2">
      <t>ニシザワ</t>
    </rPh>
    <rPh sb="3" eb="5">
      <t>マナ</t>
    </rPh>
    <phoneticPr fontId="13"/>
  </si>
  <si>
    <t>27-588</t>
  </si>
  <si>
    <t>1/9</t>
    <phoneticPr fontId="13"/>
  </si>
  <si>
    <t>ｼﾞｬｶﾞｰ XF</t>
    <phoneticPr fontId="13"/>
  </si>
  <si>
    <t>8/9/29</t>
    <phoneticPr fontId="13"/>
  </si>
  <si>
    <t>足立 354 ら 1117</t>
    <rPh sb="0" eb="2">
      <t>アダチ</t>
    </rPh>
    <phoneticPr fontId="13"/>
  </si>
  <si>
    <t>301 ね 424</t>
    <phoneticPr fontId="13"/>
  </si>
  <si>
    <t>SAJBB4AX2LCY85117</t>
    <phoneticPr fontId="13"/>
  </si>
  <si>
    <t>小倉不動産株式会社</t>
    <rPh sb="0" eb="2">
      <t>オグラ</t>
    </rPh>
    <rPh sb="2" eb="5">
      <t>フドウサン</t>
    </rPh>
    <rPh sb="5" eb="9">
      <t>カブシキガイシャ</t>
    </rPh>
    <phoneticPr fontId="13"/>
  </si>
  <si>
    <t>大可 虎太郎</t>
    <rPh sb="0" eb="2">
      <t>オオカ</t>
    </rPh>
    <rPh sb="3" eb="6">
      <t>トラタロウ</t>
    </rPh>
    <phoneticPr fontId="13"/>
  </si>
  <si>
    <t>27-589</t>
  </si>
  <si>
    <t>ﾃﾞｲｽﾞ ﾊｲｳｪｽﾀｰX</t>
    <phoneticPr fontId="13"/>
  </si>
  <si>
    <t>7/9/30</t>
    <phoneticPr fontId="13"/>
  </si>
  <si>
    <t>飛騨　580　か　7476</t>
    <rPh sb="0" eb="2">
      <t>ヒダ</t>
    </rPh>
    <phoneticPr fontId="13"/>
  </si>
  <si>
    <t>保証書　取説　ﾅﾋﾞ取説</t>
  </si>
  <si>
    <t>B21Wｰ0187607</t>
    <phoneticPr fontId="13"/>
  </si>
  <si>
    <t>沖本 恵</t>
    <rPh sb="0" eb="2">
      <t>オキモト</t>
    </rPh>
    <rPh sb="3" eb="4">
      <t>メグミ</t>
    </rPh>
    <phoneticPr fontId="13"/>
  </si>
  <si>
    <t>地図SD(車内)保証書 取説</t>
    <rPh sb="8" eb="11">
      <t>ホショウショ</t>
    </rPh>
    <rPh sb="12" eb="14">
      <t>トリセツ</t>
    </rPh>
    <phoneticPr fontId="13"/>
  </si>
  <si>
    <t>27-590</t>
  </si>
  <si>
    <t>3/１</t>
    <phoneticPr fontId="13"/>
  </si>
  <si>
    <t>ﾊｽﾗｰ　ハイブリッドXﾀｰﾎﾞ</t>
    <phoneticPr fontId="13"/>
  </si>
  <si>
    <t>品川 5X0 ろ 3943</t>
    <rPh sb="0" eb="2">
      <t>シナガワ</t>
    </rPh>
    <phoneticPr fontId="13"/>
  </si>
  <si>
    <t>MR52Sｰ122096</t>
    <phoneticPr fontId="13"/>
  </si>
  <si>
    <t>保証書 取説 ﾜﾝｵｰﾅｰ無視OK</t>
    <rPh sb="0" eb="3">
      <t>ホショウショ</t>
    </rPh>
    <rPh sb="4" eb="6">
      <t>トリセツ</t>
    </rPh>
    <rPh sb="13" eb="15">
      <t>ムシ</t>
    </rPh>
    <phoneticPr fontId="13"/>
  </si>
  <si>
    <t>27-591</t>
  </si>
  <si>
    <t>N-BOXｶｽﾀﾑ　GLﾎﾝﾀﾞｾﾝｼﾝｸﾞ</t>
    <phoneticPr fontId="13"/>
  </si>
  <si>
    <t>品川 5X0 ろ 4917</t>
    <rPh sb="0" eb="2">
      <t>シナガワ</t>
    </rPh>
    <phoneticPr fontId="13"/>
  </si>
  <si>
    <t>JF3-1291626</t>
    <phoneticPr fontId="13"/>
  </si>
  <si>
    <t>整備手帳 取説 ﾅﾋﾞ取(車内)</t>
    <rPh sb="0" eb="4">
      <t>セイビテチョウ</t>
    </rPh>
    <rPh sb="5" eb="7">
      <t>トリセツ</t>
    </rPh>
    <rPh sb="11" eb="12">
      <t>トリ</t>
    </rPh>
    <rPh sb="13" eb="15">
      <t>シャナイ</t>
    </rPh>
    <phoneticPr fontId="13"/>
  </si>
  <si>
    <t>27-592</t>
  </si>
  <si>
    <t>N-BOX GLﾎﾝﾀﾞｾﾝｼﾝｸﾞ</t>
    <phoneticPr fontId="13"/>
  </si>
  <si>
    <t>9/4/27</t>
    <phoneticPr fontId="13"/>
  </si>
  <si>
    <t>所沢 783 つ 77</t>
    <rPh sb="0" eb="2">
      <t>トコロザワ</t>
    </rPh>
    <phoneticPr fontId="13"/>
  </si>
  <si>
    <t>582 い 1444</t>
    <phoneticPr fontId="13"/>
  </si>
  <si>
    <t>A292757</t>
    <phoneticPr fontId="13"/>
  </si>
  <si>
    <t>JF3-1037904</t>
    <phoneticPr fontId="13"/>
  </si>
  <si>
    <t>ﾌﾟﾚﾐｱ株式会社</t>
    <rPh sb="5" eb="9">
      <t>カブシキカイシャ</t>
    </rPh>
    <phoneticPr fontId="13"/>
  </si>
  <si>
    <t>27-593</t>
  </si>
  <si>
    <t>ｱﾙﾌｧｰﾄﾞ 2.5 SAﾊﾟｯｹｰｼﾞ</t>
    <phoneticPr fontId="13"/>
  </si>
  <si>
    <t>8/3/6</t>
    <phoneticPr fontId="13"/>
  </si>
  <si>
    <t>練馬 336 ふ 309</t>
    <rPh sb="0" eb="2">
      <t>ネリマ</t>
    </rPh>
    <phoneticPr fontId="13"/>
  </si>
  <si>
    <t>A288861</t>
    <phoneticPr fontId="13"/>
  </si>
  <si>
    <t>AGH30-0135182</t>
    <phoneticPr fontId="13"/>
  </si>
  <si>
    <t>株式会社ｴｽ・ｸﾙｰ</t>
    <rPh sb="0" eb="4">
      <t>カブシキガイシャ</t>
    </rPh>
    <phoneticPr fontId="13"/>
  </si>
  <si>
    <t>ﾏｲｸﾛ地図SD(車内)保証書 取説 ｷｰﾚｽ ﾅﾋﾞ取</t>
    <rPh sb="12" eb="15">
      <t>ホショウショ</t>
    </rPh>
    <rPh sb="16" eb="18">
      <t>トリセツ</t>
    </rPh>
    <rPh sb="27" eb="28">
      <t>トリ</t>
    </rPh>
    <phoneticPr fontId="13"/>
  </si>
  <si>
    <t>27-594</t>
  </si>
  <si>
    <t>ﾀﾝﾄ X 福祉車</t>
    <rPh sb="6" eb="9">
      <t>フクシシャ</t>
    </rPh>
    <phoneticPr fontId="13"/>
  </si>
  <si>
    <t>神戸 595 ろ 9195</t>
    <rPh sb="0" eb="2">
      <t>コウベ</t>
    </rPh>
    <phoneticPr fontId="13"/>
  </si>
  <si>
    <t>LA650S-0219668</t>
    <phoneticPr fontId="13"/>
  </si>
  <si>
    <t>保証書 取説 SD ﾘﾓｺﾝ ﾅﾋﾞ取</t>
    <rPh sb="0" eb="3">
      <t>ホショウショ</t>
    </rPh>
    <rPh sb="4" eb="6">
      <t>トリセツ</t>
    </rPh>
    <rPh sb="18" eb="19">
      <t>トリ</t>
    </rPh>
    <phoneticPr fontId="13"/>
  </si>
  <si>
    <t>27-595</t>
  </si>
  <si>
    <t>BMWﾐﾆｸｰﾊﾟｰ SDｸﾗﾌﾞﾏﾝ</t>
    <phoneticPr fontId="13"/>
  </si>
  <si>
    <t>品川 31X や 7</t>
    <rPh sb="0" eb="2">
      <t>シナガワ</t>
    </rPh>
    <phoneticPr fontId="13"/>
  </si>
  <si>
    <t>WMW32BC0002M62221</t>
    <phoneticPr fontId="13"/>
  </si>
  <si>
    <t>村上 信也</t>
    <rPh sb="0" eb="2">
      <t>ムラカミ</t>
    </rPh>
    <rPh sb="3" eb="5">
      <t>シンヤ</t>
    </rPh>
    <phoneticPr fontId="13"/>
  </si>
  <si>
    <t>27-596</t>
  </si>
  <si>
    <t>ﾀﾝﾄ G</t>
    <phoneticPr fontId="13"/>
  </si>
  <si>
    <t>三河 584 き 703</t>
    <rPh sb="0" eb="2">
      <t>ミカワ</t>
    </rPh>
    <phoneticPr fontId="13"/>
  </si>
  <si>
    <t>582 あ 8913</t>
    <phoneticPr fontId="13"/>
  </si>
  <si>
    <t>ﾎﾝﾀﾞ名古屋(まとめ)</t>
    <rPh sb="6" eb="7">
      <t>（</t>
    </rPh>
    <phoneticPr fontId="13"/>
  </si>
  <si>
    <t>L375S-0424295</t>
    <phoneticPr fontId="13"/>
  </si>
  <si>
    <t>株式会社ﾎﾝﾀﾞﾓﾋﾞﾘﾃｨ中部</t>
    <rPh sb="0" eb="4">
      <t>カブシキガイシャ</t>
    </rPh>
    <rPh sb="14" eb="16">
      <t>チュウブ</t>
    </rPh>
    <phoneticPr fontId="13"/>
  </si>
  <si>
    <t>27-597</t>
  </si>
  <si>
    <t>N-BOXｶｽﾀﾑ SSﾌﾞﾗｯｸｽﾀｲﾙ</t>
    <phoneticPr fontId="13"/>
  </si>
  <si>
    <t>福井 581 か 9145</t>
    <rPh sb="0" eb="2">
      <t>フクイ</t>
    </rPh>
    <phoneticPr fontId="13"/>
  </si>
  <si>
    <t>582 あ 8928</t>
    <phoneticPr fontId="13"/>
  </si>
  <si>
    <t>JF1-1873125</t>
    <phoneticPr fontId="13"/>
  </si>
  <si>
    <t>ﾎﾝﾀﾞｶｰｽﾞ福井株式会社</t>
    <rPh sb="8" eb="10">
      <t>フクイ</t>
    </rPh>
    <rPh sb="10" eb="14">
      <t>カブシキガイシャ</t>
    </rPh>
    <phoneticPr fontId="13"/>
  </si>
  <si>
    <t>通信機器</t>
    <rPh sb="0" eb="4">
      <t>ツウシンキキ</t>
    </rPh>
    <phoneticPr fontId="13"/>
  </si>
  <si>
    <t>27-599</t>
  </si>
  <si>
    <t>24/10</t>
    <phoneticPr fontId="13"/>
  </si>
  <si>
    <t xml:space="preserve">ｳﾞｪﾙﾌｧｲｱ 2.4 Z </t>
    <phoneticPr fontId="13"/>
  </si>
  <si>
    <t>7/10/4</t>
    <phoneticPr fontId="13"/>
  </si>
  <si>
    <t>習志野 338 に 1124</t>
    <rPh sb="0" eb="3">
      <t>ナラシノ</t>
    </rPh>
    <phoneticPr fontId="13"/>
  </si>
  <si>
    <t>車検証原本ｾﾙｶへ返送10/3</t>
    <rPh sb="0" eb="3">
      <t>シャケンショウ</t>
    </rPh>
    <rPh sb="3" eb="5">
      <t>ゲンポン</t>
    </rPh>
    <rPh sb="9" eb="11">
      <t>ヘンソウ</t>
    </rPh>
    <phoneticPr fontId="13"/>
  </si>
  <si>
    <t>A293189</t>
    <phoneticPr fontId="13"/>
  </si>
  <si>
    <t>ANH20-8242208</t>
    <phoneticPr fontId="13"/>
  </si>
  <si>
    <t>医療法人社団 象和会</t>
    <rPh sb="0" eb="4">
      <t>イリョウホウジン</t>
    </rPh>
    <rPh sb="4" eb="6">
      <t>シャダン</t>
    </rPh>
    <rPh sb="7" eb="8">
      <t>ゾウ</t>
    </rPh>
    <rPh sb="8" eb="9">
      <t>ワ</t>
    </rPh>
    <rPh sb="9" eb="10">
      <t>カイ</t>
    </rPh>
    <phoneticPr fontId="13"/>
  </si>
  <si>
    <t>9/28</t>
    <phoneticPr fontId="13"/>
  </si>
  <si>
    <t>保証書　取説　ｽﾍﾟｱｷｰ</t>
    <rPh sb="0" eb="3">
      <t>ホショウショ</t>
    </rPh>
    <rPh sb="4" eb="6">
      <t>トリセツ</t>
    </rPh>
    <phoneticPr fontId="13"/>
  </si>
  <si>
    <t>ｷｬﾝｾﾙ 一式返送10/13</t>
    <rPh sb="6" eb="8">
      <t>イッシキ</t>
    </rPh>
    <rPh sb="8" eb="10">
      <t>ヘンソウ</t>
    </rPh>
    <phoneticPr fontId="13"/>
  </si>
  <si>
    <t>27-600</t>
  </si>
  <si>
    <t>BMWﾐﾆ ｼﾞｮﾝｸｰﾊﾟｰ ﾜｰｸｽ</t>
    <phoneticPr fontId="13"/>
  </si>
  <si>
    <t>大宮 39A さ 1926</t>
    <rPh sb="0" eb="2">
      <t>オオミヤ</t>
    </rPh>
    <phoneticPr fontId="13"/>
  </si>
  <si>
    <t>ﾐﾗｲﾌﾞ埼玉(ｱｲｵｰｸ)</t>
    <rPh sb="5" eb="7">
      <t>サイタマ</t>
    </rPh>
    <phoneticPr fontId="13"/>
  </si>
  <si>
    <t>WMWXR920402N09516</t>
    <phoneticPr fontId="13"/>
  </si>
  <si>
    <t>株式会社ﾓﾄｰﾚﾝ埼玉</t>
    <rPh sb="0" eb="4">
      <t>カブシキガイシャ</t>
    </rPh>
    <rPh sb="9" eb="11">
      <t>サイタマ</t>
    </rPh>
    <phoneticPr fontId="13"/>
  </si>
  <si>
    <t>27-601</t>
  </si>
  <si>
    <t>ﾙﾉｰ ﾙｰﾃｼｱ ｲﾝﾃﾝｽﾌﾟﾗｽ</t>
    <phoneticPr fontId="13"/>
  </si>
  <si>
    <t>大阪 303 ま 5955</t>
    <rPh sb="0" eb="2">
      <t>オオサカ</t>
    </rPh>
    <phoneticPr fontId="13"/>
  </si>
  <si>
    <t>VF1RJA008M0836573</t>
    <phoneticPr fontId="13"/>
  </si>
  <si>
    <t>8/9</t>
    <phoneticPr fontId="13"/>
  </si>
  <si>
    <t>末梢</t>
    <rPh sb="0" eb="2">
      <t>マッショウ</t>
    </rPh>
    <phoneticPr fontId="13"/>
  </si>
  <si>
    <t>27-602</t>
  </si>
  <si>
    <t>VW ｻﾞ･ﾋﾞｰﾄﾙ ﾃﾞｻﾞｲﾝ</t>
    <phoneticPr fontId="13"/>
  </si>
  <si>
    <t>名古屋 395 す 32</t>
    <rPh sb="0" eb="3">
      <t>ナゴヤ</t>
    </rPh>
    <phoneticPr fontId="13"/>
  </si>
  <si>
    <t>取説 ﾅﾋﾞ取</t>
  </si>
  <si>
    <t>ﾚﾝﾀｶｰ歴あり ｸﾚｰﾑ済</t>
    <rPh sb="5" eb="6">
      <t>レキ</t>
    </rPh>
    <rPh sb="13" eb="14">
      <t>ズ</t>
    </rPh>
    <phoneticPr fontId="13"/>
  </si>
  <si>
    <t>WVWZZZ16ZHM601156</t>
    <phoneticPr fontId="13"/>
  </si>
  <si>
    <t>株式会社K&amp;H</t>
    <rPh sb="0" eb="4">
      <t>カブシキガイシャ</t>
    </rPh>
    <phoneticPr fontId="13"/>
  </si>
  <si>
    <t>ｷｰﾚｽ(車内)保証書 取説 ﾅﾋﾞ取 ｷｰﾚｽ 地図SD  ﾚﾝﾀｶｰ歴あり</t>
    <rPh sb="5" eb="7">
      <t>シャナイ</t>
    </rPh>
    <rPh sb="8" eb="11">
      <t>ホショウショ</t>
    </rPh>
    <rPh sb="12" eb="14">
      <t>トリセツ</t>
    </rPh>
    <rPh sb="18" eb="19">
      <t>トリ</t>
    </rPh>
    <rPh sb="25" eb="27">
      <t>チズ</t>
    </rPh>
    <rPh sb="36" eb="37">
      <t>レキ</t>
    </rPh>
    <phoneticPr fontId="13"/>
  </si>
  <si>
    <t>ﾚﾝﾀｶｰで出品する</t>
    <rPh sb="6" eb="8">
      <t>シュッピン</t>
    </rPh>
    <phoneticPr fontId="13"/>
  </si>
  <si>
    <t>27-603</t>
  </si>
  <si>
    <t>ﾐﾗｲｰｽ G SA3</t>
    <phoneticPr fontId="13"/>
  </si>
  <si>
    <t>S</t>
    <phoneticPr fontId="13"/>
  </si>
  <si>
    <t>奈良 581 て 5461</t>
    <rPh sb="0" eb="2">
      <t>ナラ</t>
    </rPh>
    <phoneticPr fontId="13"/>
  </si>
  <si>
    <t>582 あ 8914</t>
    <phoneticPr fontId="13"/>
  </si>
  <si>
    <t>LA350S-0436779</t>
    <phoneticPr fontId="13"/>
  </si>
  <si>
    <t>有限会社PMS</t>
    <rPh sb="0" eb="4">
      <t>ユウゲンガイシャ</t>
    </rPh>
    <phoneticPr fontId="13"/>
  </si>
  <si>
    <t>8/21</t>
    <phoneticPr fontId="13"/>
  </si>
  <si>
    <t>27-604</t>
  </si>
  <si>
    <t>静岡 399 に 8562</t>
    <rPh sb="0" eb="2">
      <t>シズオカ</t>
    </rPh>
    <phoneticPr fontId="13"/>
  </si>
  <si>
    <t>WMWXR52030TM83591</t>
    <phoneticPr fontId="13"/>
  </si>
  <si>
    <t>静岡ﾄﾖﾀ自動車株式会社</t>
    <rPh sb="0" eb="2">
      <t>シズオカ</t>
    </rPh>
    <rPh sb="5" eb="12">
      <t>ジドウシャカブシキガイシャ</t>
    </rPh>
    <phoneticPr fontId="13"/>
  </si>
  <si>
    <t>取説 ｷｰﾚｽ ﾘﾓｺﾝ2個(車内)保証書 ﾜﾝｵｰﾅｰ</t>
    <rPh sb="0" eb="2">
      <t>トリセツ</t>
    </rPh>
    <rPh sb="13" eb="14">
      <t>コ</t>
    </rPh>
    <rPh sb="18" eb="21">
      <t>ホショウショ</t>
    </rPh>
    <phoneticPr fontId="13"/>
  </si>
  <si>
    <t>27-605</t>
  </si>
  <si>
    <t>8/6/26</t>
    <phoneticPr fontId="13"/>
  </si>
  <si>
    <t>千葉 303 せ 5884</t>
    <rPh sb="0" eb="2">
      <t>チバ</t>
    </rPh>
    <phoneticPr fontId="13"/>
  </si>
  <si>
    <t>SAJBB4AX3KCY82208</t>
    <phoneticPr fontId="13"/>
  </si>
  <si>
    <t>明賀 千奈津</t>
    <rPh sb="0" eb="1">
      <t>アカ</t>
    </rPh>
    <rPh sb="1" eb="2">
      <t>ガ</t>
    </rPh>
    <rPh sb="3" eb="6">
      <t>チナツ</t>
    </rPh>
    <phoneticPr fontId="13"/>
  </si>
  <si>
    <t>27-606</t>
  </si>
  <si>
    <t>ﾒﾙｾﾃﾞｽﾍﾞﾝﾂ AMG A35</t>
    <phoneticPr fontId="13"/>
  </si>
  <si>
    <t>神戸 330 ら 4616</t>
    <rPh sb="0" eb="2">
      <t>コウベ</t>
    </rPh>
    <phoneticPr fontId="13"/>
  </si>
  <si>
    <t>W1K1771512J221346</t>
    <phoneticPr fontId="13"/>
  </si>
  <si>
    <t>27-607</t>
  </si>
  <si>
    <t>ﾜｺﾞﾝR FX</t>
    <phoneticPr fontId="13"/>
  </si>
  <si>
    <t>7/11/26</t>
    <phoneticPr fontId="13"/>
  </si>
  <si>
    <t>三重 582 け 7946</t>
    <rPh sb="0" eb="2">
      <t>ミエ</t>
    </rPh>
    <phoneticPr fontId="13"/>
  </si>
  <si>
    <t>582 あ 8857</t>
    <phoneticPr fontId="13"/>
  </si>
  <si>
    <t>MH34S-373479</t>
    <phoneticPr fontId="13"/>
  </si>
  <si>
    <t>速水 慶子</t>
    <rPh sb="0" eb="2">
      <t>ハヤミズ</t>
    </rPh>
    <rPh sb="3" eb="5">
      <t>ケイコ</t>
    </rPh>
    <phoneticPr fontId="13"/>
  </si>
  <si>
    <t>27-608</t>
  </si>
  <si>
    <t>23/6</t>
    <phoneticPr fontId="13"/>
  </si>
  <si>
    <t>ｻﾝﾊﾞｰT TB</t>
    <phoneticPr fontId="13"/>
  </si>
  <si>
    <t>札幌　483　け　5000</t>
    <rPh sb="0" eb="2">
      <t>サッポロ</t>
    </rPh>
    <phoneticPr fontId="13"/>
  </si>
  <si>
    <t>TT2-513037</t>
    <phoneticPr fontId="13"/>
  </si>
  <si>
    <t>今　倫康</t>
    <rPh sb="0" eb="1">
      <t>イマ</t>
    </rPh>
    <rPh sb="2" eb="3">
      <t>ミチ</t>
    </rPh>
    <rPh sb="3" eb="4">
      <t>ヤス</t>
    </rPh>
    <phoneticPr fontId="13"/>
  </si>
  <si>
    <t xml:space="preserve">保証書　取説 </t>
    <rPh sb="0" eb="3">
      <t>ホショウショ</t>
    </rPh>
    <rPh sb="4" eb="6">
      <t>トリセツ</t>
    </rPh>
    <phoneticPr fontId="13"/>
  </si>
  <si>
    <t>27-609</t>
  </si>
  <si>
    <t>ﾌｨｯﾄ13Gﾓﾃﾞｭｰﾛｽﾀｲﾙ</t>
    <phoneticPr fontId="13"/>
  </si>
  <si>
    <t>8/1/17</t>
    <phoneticPr fontId="13"/>
  </si>
  <si>
    <t>岡山 502 ふ 4979</t>
    <rPh sb="0" eb="2">
      <t>オカヤマ</t>
    </rPh>
    <phoneticPr fontId="13"/>
  </si>
  <si>
    <t>GK3-9300353</t>
    <phoneticPr fontId="13"/>
  </si>
  <si>
    <t>株式会社ｳｫｯｼｭ</t>
    <rPh sb="0" eb="4">
      <t>カブシキガイシャ</t>
    </rPh>
    <phoneticPr fontId="13"/>
  </si>
  <si>
    <t>保証書 取説 ﾅﾋﾞ取 ｷｰﾚｽ 通信端末</t>
    <rPh sb="0" eb="3">
      <t>ホショウショ</t>
    </rPh>
    <rPh sb="4" eb="6">
      <t>トリセツ</t>
    </rPh>
    <rPh sb="10" eb="11">
      <t>　</t>
    </rPh>
    <rPh sb="17" eb="18">
      <t>ツウシン</t>
    </rPh>
    <rPh sb="18" eb="20">
      <t>タンマツ</t>
    </rPh>
    <phoneticPr fontId="13"/>
  </si>
  <si>
    <t>27-610</t>
  </si>
  <si>
    <t>7/11/15</t>
    <phoneticPr fontId="13"/>
  </si>
  <si>
    <t>福山 583 き 2055</t>
    <rPh sb="0" eb="2">
      <t>フクヤマ</t>
    </rPh>
    <phoneticPr fontId="13"/>
  </si>
  <si>
    <t>582 あ 8855</t>
    <phoneticPr fontId="13"/>
  </si>
  <si>
    <t>DA17W-166754</t>
    <phoneticPr fontId="13"/>
  </si>
  <si>
    <t>川崎 宗一</t>
    <rPh sb="0" eb="2">
      <t>カワサキ</t>
    </rPh>
    <rPh sb="3" eb="5">
      <t>ソウイチ</t>
    </rPh>
    <phoneticPr fontId="13"/>
  </si>
  <si>
    <t>27-611</t>
  </si>
  <si>
    <t>ｼﾄﾛｴﾝ C4 ﾋﾟｶｿ</t>
    <phoneticPr fontId="13"/>
  </si>
  <si>
    <t>姫路 330 は 1034</t>
    <rPh sb="0" eb="2">
      <t>ヒメジ</t>
    </rPh>
    <phoneticPr fontId="13"/>
  </si>
  <si>
    <t>杉本様</t>
    <rPh sb="0" eb="2">
      <t>スギモト</t>
    </rPh>
    <rPh sb="2" eb="3">
      <t>サマ</t>
    </rPh>
    <phoneticPr fontId="13"/>
  </si>
  <si>
    <t>VF73A5GZTEJ738812</t>
    <phoneticPr fontId="13"/>
  </si>
  <si>
    <t>杉本 英美</t>
    <rPh sb="0" eb="2">
      <t>スギモト</t>
    </rPh>
    <rPh sb="3" eb="4">
      <t>エイ</t>
    </rPh>
    <rPh sb="4" eb="5">
      <t>ミ</t>
    </rPh>
    <phoneticPr fontId="13"/>
  </si>
  <si>
    <t>27-612</t>
  </si>
  <si>
    <t>8/5/25</t>
    <phoneticPr fontId="13"/>
  </si>
  <si>
    <t>姫路 336 な 5296</t>
    <rPh sb="0" eb="2">
      <t>ヒメジ</t>
    </rPh>
    <phoneticPr fontId="13"/>
  </si>
  <si>
    <t>前原様</t>
    <rPh sb="0" eb="2">
      <t>マエハラ</t>
    </rPh>
    <rPh sb="2" eb="3">
      <t>サマ</t>
    </rPh>
    <phoneticPr fontId="13"/>
  </si>
  <si>
    <t>WMWXS520802B38313</t>
    <phoneticPr fontId="13"/>
  </si>
  <si>
    <t>前原 則保</t>
    <rPh sb="0" eb="2">
      <t>マエハラ</t>
    </rPh>
    <rPh sb="3" eb="4">
      <t>ノリ</t>
    </rPh>
    <rPh sb="4" eb="5">
      <t>タモツ</t>
    </rPh>
    <phoneticPr fontId="13"/>
  </si>
  <si>
    <t>27-613</t>
  </si>
  <si>
    <t>N-BOX GLﾊﾟｯｹｰｼﾞ</t>
    <phoneticPr fontId="13"/>
  </si>
  <si>
    <t>浜松 583 て 422</t>
    <rPh sb="0" eb="2">
      <t>ハママツ</t>
    </rPh>
    <phoneticPr fontId="13"/>
  </si>
  <si>
    <t>582 あ 8930</t>
    <phoneticPr fontId="13"/>
  </si>
  <si>
    <t>JF1-1832524</t>
    <phoneticPr fontId="13"/>
  </si>
  <si>
    <t>8/24</t>
    <phoneticPr fontId="13"/>
  </si>
  <si>
    <t>27-614</t>
  </si>
  <si>
    <t>ﾀﾝﾄｶｽﾀﾑ ｽﾛｰﾊﾟｰRS</t>
    <phoneticPr fontId="13"/>
  </si>
  <si>
    <t>品川 5X0 ろ 4911</t>
    <rPh sb="0" eb="2">
      <t>シナガワ</t>
    </rPh>
    <phoneticPr fontId="13"/>
  </si>
  <si>
    <t>LA650S-0087705</t>
    <phoneticPr fontId="13"/>
  </si>
  <si>
    <t>保証書 取説 ｽﾛｰﾊﾟｰ取説 ｷｰﾚｽ ﾘﾓｺﾝ (車内)</t>
    <rPh sb="0" eb="3">
      <t>ホショウショ</t>
    </rPh>
    <rPh sb="4" eb="6">
      <t>トリセツ</t>
    </rPh>
    <rPh sb="13" eb="15">
      <t>トリセツ</t>
    </rPh>
    <phoneticPr fontId="13"/>
  </si>
  <si>
    <t>27-615</t>
  </si>
  <si>
    <t>ｱｳﾃﾞｨ A4 ｵｰﾙﾛｰﾄﾞｸﾜﾄﾛ</t>
    <phoneticPr fontId="13"/>
  </si>
  <si>
    <t>品川 361 そ 1215</t>
    <rPh sb="0" eb="2">
      <t>シナガワ</t>
    </rPh>
    <phoneticPr fontId="13"/>
  </si>
  <si>
    <t>保証書 取説 名変期限9/20まで</t>
  </si>
  <si>
    <t>WAUZZZF47JA218375</t>
    <phoneticPr fontId="13"/>
  </si>
  <si>
    <t>張 錫年</t>
    <rPh sb="0" eb="1">
      <t>ハリ</t>
    </rPh>
    <rPh sb="2" eb="3">
      <t>スズ</t>
    </rPh>
    <rPh sb="3" eb="4">
      <t>トシ</t>
    </rPh>
    <phoneticPr fontId="13"/>
  </si>
  <si>
    <r>
      <rPr>
        <sz val="9"/>
        <color theme="4" tint="-0.499984740745262"/>
        <rFont val="游ゴシック"/>
        <family val="3"/>
        <charset val="128"/>
        <scheme val="minor"/>
      </rPr>
      <t>整備手帳(保証書切られてなしｸﾚｰﾑ会長対応済)取説 ｷｰﾚｽ</t>
    </r>
    <r>
      <rPr>
        <sz val="11"/>
        <color theme="4" tint="-0.499984740745262"/>
        <rFont val="游ゴシック"/>
        <family val="3"/>
        <charset val="128"/>
        <scheme val="minor"/>
      </rPr>
      <t xml:space="preserve"> </t>
    </r>
    <r>
      <rPr>
        <sz val="11"/>
        <color rgb="FFFF0000"/>
        <rFont val="游ゴシック"/>
        <family val="3"/>
        <charset val="128"/>
        <scheme val="minor"/>
      </rPr>
      <t>9/20まで</t>
    </r>
    <rPh sb="0" eb="4">
      <t>セイビテチョウ</t>
    </rPh>
    <rPh sb="5" eb="8">
      <t>ホショウショ</t>
    </rPh>
    <rPh sb="8" eb="9">
      <t>キ</t>
    </rPh>
    <rPh sb="18" eb="20">
      <t>カイチョウ</t>
    </rPh>
    <rPh sb="20" eb="22">
      <t>タイオウ</t>
    </rPh>
    <rPh sb="22" eb="23">
      <t>ズ</t>
    </rPh>
    <rPh sb="24" eb="26">
      <t>トリセツ</t>
    </rPh>
    <phoneticPr fontId="13"/>
  </si>
  <si>
    <t>27-616</t>
  </si>
  <si>
    <t>ｳﾞｪｾﾞﾙ G</t>
    <phoneticPr fontId="13"/>
  </si>
  <si>
    <t>8/8/17</t>
    <phoneticPr fontId="13"/>
  </si>
  <si>
    <t>土浦 301 は 5808</t>
    <rPh sb="0" eb="2">
      <t>ツチウラ</t>
    </rPh>
    <phoneticPr fontId="13"/>
  </si>
  <si>
    <t>A294951</t>
    <phoneticPr fontId="13"/>
  </si>
  <si>
    <t>RV3-1000215</t>
    <phoneticPr fontId="13"/>
  </si>
  <si>
    <t>北岡 竜希</t>
    <rPh sb="0" eb="2">
      <t>キタオカ</t>
    </rPh>
    <rPh sb="3" eb="4">
      <t>リュウ</t>
    </rPh>
    <rPh sb="4" eb="5">
      <t>ノゾミ</t>
    </rPh>
    <phoneticPr fontId="13"/>
  </si>
  <si>
    <t>地図SD(車内)保証書 取説 ｽﾍﾟｱｷｰ ﾜﾝｵｰﾅｰ</t>
    <rPh sb="8" eb="11">
      <t>ホショウショ</t>
    </rPh>
    <rPh sb="12" eb="14">
      <t>トリセツ</t>
    </rPh>
    <phoneticPr fontId="13"/>
  </si>
  <si>
    <t>27-617</t>
  </si>
  <si>
    <t>N-WGNｶｽﾀﾑ Gﾀｰﾎﾞﾊﾟｯｹｰｼﾞ</t>
    <phoneticPr fontId="13"/>
  </si>
  <si>
    <t>水戸　580　よ　2778</t>
    <rPh sb="0" eb="2">
      <t>ミト</t>
    </rPh>
    <phoneticPr fontId="13"/>
  </si>
  <si>
    <t>A296043</t>
    <phoneticPr fontId="13"/>
  </si>
  <si>
    <t>JH1-2032035</t>
    <phoneticPr fontId="13"/>
  </si>
  <si>
    <t>西川　直希</t>
    <rPh sb="0" eb="2">
      <t>ニシカワ</t>
    </rPh>
    <rPh sb="3" eb="4">
      <t>ナオ</t>
    </rPh>
    <rPh sb="4" eb="5">
      <t>キ</t>
    </rPh>
    <phoneticPr fontId="13"/>
  </si>
  <si>
    <t>10/12</t>
    <phoneticPr fontId="13"/>
  </si>
  <si>
    <t>27-618</t>
  </si>
  <si>
    <t>13/1</t>
    <phoneticPr fontId="13"/>
  </si>
  <si>
    <t>ﾐﾗｼﾞｰﾉ ﾐﾆﾗｲﾄｽﾍﾟｼｬﾙ</t>
    <phoneticPr fontId="13"/>
  </si>
  <si>
    <t>多摩 583 あ 8340</t>
    <rPh sb="0" eb="2">
      <t>タマ</t>
    </rPh>
    <phoneticPr fontId="13"/>
  </si>
  <si>
    <t>582 あ 8917</t>
    <phoneticPr fontId="13"/>
  </si>
  <si>
    <t>L700S-0191547</t>
    <phoneticPr fontId="13"/>
  </si>
  <si>
    <t>中部自動車販売株式会社</t>
    <rPh sb="0" eb="2">
      <t>チュウブ</t>
    </rPh>
    <rPh sb="2" eb="11">
      <t>ジドウシャハンバイカブシキガイシャ</t>
    </rPh>
    <phoneticPr fontId="13"/>
  </si>
  <si>
    <t>保証書角印なし (保証書扱いなる)</t>
    <rPh sb="0" eb="3">
      <t>ホショウショ</t>
    </rPh>
    <rPh sb="3" eb="5">
      <t>カクイン</t>
    </rPh>
    <rPh sb="9" eb="12">
      <t>ホショウショ</t>
    </rPh>
    <rPh sb="12" eb="13">
      <t>アツカ</t>
    </rPh>
    <phoneticPr fontId="13"/>
  </si>
  <si>
    <t>27-619</t>
  </si>
  <si>
    <t>N-BOX GLﾀｰﾎﾞﾎﾝﾀﾞｾﾝｼﾝｸﾞ</t>
    <phoneticPr fontId="13"/>
  </si>
  <si>
    <t>8/7/21</t>
    <phoneticPr fontId="13"/>
  </si>
  <si>
    <t>熊谷 781 ね 358</t>
    <rPh sb="0" eb="2">
      <t>クマヤ</t>
    </rPh>
    <phoneticPr fontId="13"/>
  </si>
  <si>
    <t>582 い 954</t>
    <phoneticPr fontId="13"/>
  </si>
  <si>
    <t>A293016</t>
    <phoneticPr fontId="13"/>
  </si>
  <si>
    <t>JF3-1280486</t>
    <phoneticPr fontId="13"/>
  </si>
  <si>
    <t>株式会社ﾎﾝﾀﾞﾌｧｲﾅﾝｽ</t>
    <rPh sb="0" eb="4">
      <t>カブシキガイシャ</t>
    </rPh>
    <phoneticPr fontId="13"/>
  </si>
  <si>
    <t>9/25</t>
    <phoneticPr fontId="13"/>
  </si>
  <si>
    <t>27-620</t>
  </si>
  <si>
    <t>5/9</t>
    <phoneticPr fontId="13"/>
  </si>
  <si>
    <t>ﾀﾝﾄｶｽﾀﾑ RS</t>
    <phoneticPr fontId="13"/>
  </si>
  <si>
    <t>奈良 596 ゆ 15</t>
    <rPh sb="0" eb="2">
      <t>ナラ</t>
    </rPh>
    <phoneticPr fontId="13"/>
  </si>
  <si>
    <t>582 あ 8918</t>
    <phoneticPr fontId="13"/>
  </si>
  <si>
    <t>ﾐﾗｲﾌﾞ大阪(ｱｲｵｰｸ)</t>
    <rPh sb="6" eb="13">
      <t>（アイオーク）</t>
    </rPh>
    <phoneticPr fontId="13"/>
  </si>
  <si>
    <t>LA650S-0346499</t>
    <phoneticPr fontId="13"/>
  </si>
  <si>
    <t>保証書 取説 Sｷｰ</t>
    <rPh sb="0" eb="3">
      <t>ホショウショ</t>
    </rPh>
    <rPh sb="4" eb="6">
      <t>トリセツ</t>
    </rPh>
    <phoneticPr fontId="13"/>
  </si>
  <si>
    <t>27-621</t>
  </si>
  <si>
    <t>ｼﾞｬｶﾞｰ Eﾍﾟｲｽ</t>
    <phoneticPr fontId="13"/>
  </si>
  <si>
    <t>練馬 329 す 3025</t>
    <rPh sb="0" eb="2">
      <t>ネリマ</t>
    </rPh>
    <phoneticPr fontId="13"/>
  </si>
  <si>
    <t>SADFA2AN1K1Z54965</t>
    <phoneticPr fontId="13"/>
  </si>
  <si>
    <t>ｵｰｸｽﾓﾋﾞﾘﾃｨ株式会社</t>
    <rPh sb="10" eb="14">
      <t>カブシキガイシャ</t>
    </rPh>
    <phoneticPr fontId="13"/>
  </si>
  <si>
    <t>合同会社TORIYA太田</t>
    <rPh sb="0" eb="4">
      <t>ゴウドウカイシャ</t>
    </rPh>
    <rPh sb="10" eb="12">
      <t>オオタ</t>
    </rPh>
    <phoneticPr fontId="13"/>
  </si>
  <si>
    <t>27-622</t>
  </si>
  <si>
    <t>N-BOXｶｽﾀﾑ Lﾀｰﾎﾞ</t>
    <phoneticPr fontId="13"/>
  </si>
  <si>
    <t>名古屋 58A く 9928</t>
    <rPh sb="0" eb="3">
      <t>ナゴヤ</t>
    </rPh>
    <phoneticPr fontId="13"/>
  </si>
  <si>
    <t>JF3-2372565</t>
    <phoneticPr fontId="13"/>
  </si>
  <si>
    <t>株式会社TOIDA</t>
    <rPh sb="0" eb="4">
      <t>カブシキガイシャ</t>
    </rPh>
    <phoneticPr fontId="13"/>
  </si>
  <si>
    <t>USS神戸</t>
    <phoneticPr fontId="13"/>
  </si>
  <si>
    <t>27-623</t>
  </si>
  <si>
    <t>ﾑｰﾌﾞｶｽﾀﾑ X ﾊｲﾊﾟｰ</t>
    <phoneticPr fontId="13"/>
  </si>
  <si>
    <t>岐阜 581 ね 9295</t>
    <rPh sb="0" eb="2">
      <t>ギフ</t>
    </rPh>
    <phoneticPr fontId="13"/>
  </si>
  <si>
    <t>582 あ 8921</t>
    <phoneticPr fontId="13"/>
  </si>
  <si>
    <t>NAA名古屋</t>
    <rPh sb="3" eb="6">
      <t>ナゴヤ</t>
    </rPh>
    <phoneticPr fontId="13"/>
  </si>
  <si>
    <t>LA150S-0028037</t>
    <phoneticPr fontId="13"/>
  </si>
  <si>
    <t>岐阜日産自動車販売株式会社</t>
    <rPh sb="0" eb="4">
      <t>ギフニッサン</t>
    </rPh>
    <rPh sb="4" eb="13">
      <t>ジドウシャハンバイカブシキガイシャ</t>
    </rPh>
    <phoneticPr fontId="13"/>
  </si>
  <si>
    <t>取説 Sｷｰ</t>
    <rPh sb="0" eb="2">
      <t>トリセツ</t>
    </rPh>
    <phoneticPr fontId="13"/>
  </si>
  <si>
    <t>27-624</t>
  </si>
  <si>
    <t>ｳｪｲｸ GﾀｰﾎﾞSA3</t>
    <phoneticPr fontId="13"/>
  </si>
  <si>
    <t>なにわ 5P5 ろ 5599</t>
    <phoneticPr fontId="13"/>
  </si>
  <si>
    <t>保証書 取説 ｽﾍﾟｱｷｰ ﾅﾋﾞSD</t>
  </si>
  <si>
    <t>LA710S-0035972</t>
    <phoneticPr fontId="13"/>
  </si>
  <si>
    <t>保証書 取説 ｷｰﾚｽ SD3個</t>
    <rPh sb="0" eb="3">
      <t>ホショウショ</t>
    </rPh>
    <rPh sb="4" eb="6">
      <t>トリセツ</t>
    </rPh>
    <rPh sb="15" eb="16">
      <t>コ</t>
    </rPh>
    <phoneticPr fontId="13"/>
  </si>
  <si>
    <t>27-625</t>
  </si>
  <si>
    <t>ﾀﾝﾄ X ｽﾀｲﾙｾﾚｸｼｮﾝ</t>
    <phoneticPr fontId="13"/>
  </si>
  <si>
    <t>9/1</t>
    <phoneticPr fontId="13"/>
  </si>
  <si>
    <t>豊橋 581 う 8218</t>
    <rPh sb="0" eb="2">
      <t>トヨハシ</t>
    </rPh>
    <phoneticPr fontId="13"/>
  </si>
  <si>
    <t>582 あ 8922</t>
    <phoneticPr fontId="13"/>
  </si>
  <si>
    <t>LA650S-0178692</t>
    <phoneticPr fontId="13"/>
  </si>
  <si>
    <t>株式会社渥美ﾓｰﾀｰｽ</t>
    <rPh sb="0" eb="4">
      <t>カブシキガイシャ</t>
    </rPh>
    <rPh sb="4" eb="6">
      <t>アツミ</t>
    </rPh>
    <phoneticPr fontId="13"/>
  </si>
  <si>
    <t>保証書 Sｷｰ</t>
    <rPh sb="0" eb="3">
      <t>ホショウショ</t>
    </rPh>
    <phoneticPr fontId="13"/>
  </si>
  <si>
    <t>27-626</t>
  </si>
  <si>
    <t>BMWﾐﾆｼﾞｮﾝｸｰﾊﾟｰﾜｰｸｽ ﾌﾟﾚﾐｱﾑﾌﾟﾗｽ</t>
    <phoneticPr fontId="13"/>
  </si>
  <si>
    <t>8/11/17</t>
    <phoneticPr fontId="13"/>
  </si>
  <si>
    <t>神戸 346 そ 1278</t>
    <rPh sb="0" eb="2">
      <t>コウベ</t>
    </rPh>
    <phoneticPr fontId="13"/>
  </si>
  <si>
    <t>301 ね 1825</t>
    <phoneticPr fontId="13"/>
  </si>
  <si>
    <t>WMW72DH0802R32002</t>
    <phoneticPr fontId="13"/>
  </si>
  <si>
    <t>岡田 展久</t>
    <rPh sb="0" eb="2">
      <t>オカダ</t>
    </rPh>
    <rPh sb="3" eb="4">
      <t>テン</t>
    </rPh>
    <rPh sb="4" eb="5">
      <t>ヒサ</t>
    </rPh>
    <phoneticPr fontId="13"/>
  </si>
  <si>
    <t>27-627</t>
  </si>
  <si>
    <t>N-BOX GLﾊﾟｯｹｰｼﾞ 福祉車両</t>
    <rPh sb="16" eb="20">
      <t>フクシシャリョウ</t>
    </rPh>
    <phoneticPr fontId="13"/>
  </si>
  <si>
    <t>豊橋 580 ね 124</t>
    <rPh sb="0" eb="2">
      <t>トヨハシ</t>
    </rPh>
    <phoneticPr fontId="13"/>
  </si>
  <si>
    <t>JF1-8502099</t>
    <phoneticPr fontId="13"/>
  </si>
  <si>
    <t>ｻﾝｸｽﾓﾋﾞﾘﾃｨ株式会社</t>
    <rPh sb="10" eb="14">
      <t>カブシキガイシャ</t>
    </rPh>
    <phoneticPr fontId="13"/>
  </si>
  <si>
    <t>保証書 取説 ｽﾏｰﾄｷｰ ﾘﾓｺﾝ ﾜﾝｵｰﾅｰ</t>
    <rPh sb="0" eb="3">
      <t>ホショウショ</t>
    </rPh>
    <rPh sb="4" eb="6">
      <t>トリセツ</t>
    </rPh>
    <phoneticPr fontId="13"/>
  </si>
  <si>
    <t>27-628</t>
  </si>
  <si>
    <t>ﾉｰﾄ eﾊﾟﾜｰS</t>
    <phoneticPr fontId="13"/>
  </si>
  <si>
    <t>8/3/13</t>
    <phoneticPr fontId="13"/>
  </si>
  <si>
    <t>神戸 520 ゆ 358</t>
    <rPh sb="0" eb="2">
      <t>コウベ</t>
    </rPh>
    <phoneticPr fontId="13"/>
  </si>
  <si>
    <t>A296161</t>
    <phoneticPr fontId="13"/>
  </si>
  <si>
    <t>E13-186979</t>
    <phoneticPr fontId="13"/>
  </si>
  <si>
    <t>田村 賢一</t>
    <rPh sb="0" eb="2">
      <t>タムラ</t>
    </rPh>
    <rPh sb="3" eb="5">
      <t>ケンイチ</t>
    </rPh>
    <phoneticPr fontId="13"/>
  </si>
  <si>
    <t>保証書 取説 ｷｰﾚｽ ﾅﾋﾞ取 ﾜﾝｵｰﾅｰ</t>
    <rPh sb="0" eb="3">
      <t>ホショウショ</t>
    </rPh>
    <rPh sb="4" eb="6">
      <t>トリセツ</t>
    </rPh>
    <rPh sb="15" eb="16">
      <t>トリ</t>
    </rPh>
    <phoneticPr fontId="13"/>
  </si>
  <si>
    <t>27-629</t>
  </si>
  <si>
    <t>ｳﾞｫｸｼｰ ﾊｲﾌﾞﾘｯﾄZS</t>
    <phoneticPr fontId="13"/>
  </si>
  <si>
    <t>久留米 301 す 4522</t>
    <rPh sb="0" eb="3">
      <t>クルメ</t>
    </rPh>
    <phoneticPr fontId="13"/>
  </si>
  <si>
    <t>保証書白紙そのまま送る落札店言われたら良さんへ</t>
    <rPh sb="0" eb="3">
      <t>ホショウショ</t>
    </rPh>
    <rPh sb="3" eb="5">
      <t>ハクシ</t>
    </rPh>
    <rPh sb="9" eb="10">
      <t>オク</t>
    </rPh>
    <rPh sb="11" eb="14">
      <t>ラクサツテン</t>
    </rPh>
    <rPh sb="14" eb="15">
      <t>イ</t>
    </rPh>
    <rPh sb="19" eb="20">
      <t>リョウ</t>
    </rPh>
    <phoneticPr fontId="13"/>
  </si>
  <si>
    <t>A294638</t>
    <phoneticPr fontId="13"/>
  </si>
  <si>
    <t>ZWR80-0444007</t>
    <phoneticPr fontId="13"/>
  </si>
  <si>
    <t>株式会社MB</t>
    <rPh sb="0" eb="4">
      <t>カブシキガイシャ</t>
    </rPh>
    <phoneticPr fontId="13"/>
  </si>
  <si>
    <t>ﾏｲｸﾛ地図SD(車内)整備手帳 取説 ﾅﾋﾞ取 ｷｰﾚｽ</t>
    <rPh sb="12" eb="16">
      <t>セイビテチョウ</t>
    </rPh>
    <rPh sb="17" eb="19">
      <t>トリセツ</t>
    </rPh>
    <rPh sb="23" eb="24">
      <t>トリ</t>
    </rPh>
    <phoneticPr fontId="13"/>
  </si>
  <si>
    <t>27-630</t>
  </si>
  <si>
    <t>21/4</t>
    <phoneticPr fontId="13"/>
  </si>
  <si>
    <t>ﾊﾟｼﾞｪﾛﾐﾆ ﾅﾋﾞｴﾃﾞｨｼｮﾝ VR</t>
    <phoneticPr fontId="13"/>
  </si>
  <si>
    <t>8/4/20</t>
    <phoneticPr fontId="13"/>
  </si>
  <si>
    <t>香川 581 そ 2199</t>
    <rPh sb="0" eb="2">
      <t>カガワ</t>
    </rPh>
    <phoneticPr fontId="13"/>
  </si>
  <si>
    <t>582 あ 8936</t>
    <phoneticPr fontId="13"/>
  </si>
  <si>
    <t>H58A-0808092</t>
    <phoneticPr fontId="13"/>
  </si>
  <si>
    <t>香川三菱自動車販売株式会社</t>
    <rPh sb="0" eb="2">
      <t>カガワ</t>
    </rPh>
    <rPh sb="2" eb="4">
      <t>ミツビシ</t>
    </rPh>
    <rPh sb="4" eb="13">
      <t>ジドウシャハンバイカブシキガイシャ</t>
    </rPh>
    <phoneticPr fontId="13"/>
  </si>
  <si>
    <t>保証書 取説(車内)記録紙5枚</t>
    <rPh sb="0" eb="3">
      <t>ホショウショ</t>
    </rPh>
    <rPh sb="4" eb="6">
      <t>トリセツ</t>
    </rPh>
    <rPh sb="7" eb="9">
      <t>シャナイ</t>
    </rPh>
    <rPh sb="10" eb="13">
      <t>キロクシ</t>
    </rPh>
    <rPh sb="14" eb="15">
      <t>マイ</t>
    </rPh>
    <phoneticPr fontId="13"/>
  </si>
  <si>
    <t>27-631</t>
  </si>
  <si>
    <t>27/</t>
    <phoneticPr fontId="13"/>
  </si>
  <si>
    <t>ﾚﾝｼﾞﾛｰﾊﾞｰｲｳﾞｫｰｸ</t>
    <phoneticPr fontId="13"/>
  </si>
  <si>
    <t>なにわ 345 る 323</t>
    <phoneticPr fontId="13"/>
  </si>
  <si>
    <t>菅山様</t>
    <rPh sb="0" eb="2">
      <t>スガヤマ</t>
    </rPh>
    <rPh sb="2" eb="3">
      <t>サマ</t>
    </rPh>
    <phoneticPr fontId="13"/>
  </si>
  <si>
    <t>SALVA2AG9FH065975</t>
    <phoneticPr fontId="13"/>
  </si>
  <si>
    <t>菅山 亮</t>
    <rPh sb="0" eb="2">
      <t>スガヤマ</t>
    </rPh>
    <rPh sb="3" eb="4">
      <t>リョウ</t>
    </rPh>
    <phoneticPr fontId="13"/>
  </si>
  <si>
    <t>森田 喜光</t>
    <rPh sb="0" eb="2">
      <t>モリタ</t>
    </rPh>
    <rPh sb="3" eb="4">
      <t>ヨロコ</t>
    </rPh>
    <rPh sb="4" eb="5">
      <t>ヒカリ</t>
    </rPh>
    <phoneticPr fontId="13"/>
  </si>
  <si>
    <t>27-632</t>
  </si>
  <si>
    <t>ﾃﾞｨｽｶﾊﾞﾘｰｽﾎﾟｰﾂ HSEﾗｸﾞｼﾞｭｱﾘｰ</t>
    <phoneticPr fontId="13"/>
  </si>
  <si>
    <t>練馬 302 ね 512</t>
    <rPh sb="0" eb="2">
      <t>ネリマ</t>
    </rPh>
    <phoneticPr fontId="13"/>
  </si>
  <si>
    <t>301 ね 1826</t>
    <phoneticPr fontId="13"/>
  </si>
  <si>
    <t>SALCA2AG6HH678100</t>
    <phoneticPr fontId="13"/>
  </si>
  <si>
    <t>ﾄﾖﾀﾓﾋﾞﾘﾃｨ東京株式会社</t>
    <rPh sb="9" eb="11">
      <t>トウキョウ</t>
    </rPh>
    <rPh sb="11" eb="15">
      <t>カブシキガイシャ</t>
    </rPh>
    <phoneticPr fontId="13"/>
  </si>
  <si>
    <t>取説 ｷｰﾚｽ (車内)保証書</t>
    <rPh sb="0" eb="2">
      <t>トリセツ</t>
    </rPh>
    <rPh sb="12" eb="15">
      <t>ホショウショ</t>
    </rPh>
    <phoneticPr fontId="13"/>
  </si>
  <si>
    <t>水野 秀人</t>
    <rPh sb="0" eb="2">
      <t>ミズノ</t>
    </rPh>
    <rPh sb="3" eb="5">
      <t>ヒデト</t>
    </rPh>
    <phoneticPr fontId="13"/>
  </si>
  <si>
    <t>27-633</t>
  </si>
  <si>
    <t>ﾊｲｾﾞｯﾄｶｰｺﾞ ﾃﾞﾗｯｸｽSA3</t>
    <phoneticPr fontId="13"/>
  </si>
  <si>
    <t>なにわ 480 ゆ 5555</t>
    <phoneticPr fontId="13"/>
  </si>
  <si>
    <t>S321V-0430127</t>
    <phoneticPr fontId="13"/>
  </si>
  <si>
    <t>杉元 拓也</t>
    <rPh sb="0" eb="2">
      <t>スギモト</t>
    </rPh>
    <rPh sb="3" eb="5">
      <t>タクヤ</t>
    </rPh>
    <phoneticPr fontId="13"/>
  </si>
  <si>
    <t>保証書 取説 ｽﾍﾟｱｷｰ ﾘﾓｺﾝ ﾜﾝｵｰﾅｰ</t>
    <rPh sb="0" eb="3">
      <t>ホショウショ</t>
    </rPh>
    <rPh sb="4" eb="6">
      <t>トリセツ</t>
    </rPh>
    <phoneticPr fontId="13"/>
  </si>
  <si>
    <t>27-634</t>
  </si>
  <si>
    <t>ﾊｲｴｰｽﾊﾞﾝ ｽｰﾊﾟｰGL</t>
    <phoneticPr fontId="13"/>
  </si>
  <si>
    <t>8/8/1</t>
    <phoneticPr fontId="13"/>
  </si>
  <si>
    <t>和泉 416 ぬ 8</t>
    <rPh sb="0" eb="2">
      <t>イズミ</t>
    </rPh>
    <phoneticPr fontId="13"/>
  </si>
  <si>
    <t>A295306</t>
    <phoneticPr fontId="13"/>
  </si>
  <si>
    <t>TRH200-0361116</t>
    <phoneticPr fontId="13"/>
  </si>
  <si>
    <t>坂東 海</t>
    <rPh sb="0" eb="2">
      <t>バンドウ</t>
    </rPh>
    <rPh sb="3" eb="4">
      <t>ウミ</t>
    </rPh>
    <phoneticPr fontId="13"/>
  </si>
  <si>
    <t>10/2</t>
    <phoneticPr fontId="13"/>
  </si>
  <si>
    <t>保証書 ﾜﾝｵｰﾅｰ</t>
    <rPh sb="0" eb="3">
      <t>ホショウショ</t>
    </rPh>
    <phoneticPr fontId="13"/>
  </si>
  <si>
    <t>27-635</t>
  </si>
  <si>
    <t>ﾃﾞｲｽﾞﾙｰｸｽ X ﾊｲｳｪｲｽﾀｰGﾊﾟｯｹｰｼﾞ</t>
    <phoneticPr fontId="13"/>
  </si>
  <si>
    <t>名古屋 599 ろ 8268</t>
    <rPh sb="0" eb="3">
      <t>ナゴヤ</t>
    </rPh>
    <phoneticPr fontId="13"/>
  </si>
  <si>
    <t>B21A-0253748</t>
    <phoneticPr fontId="13"/>
  </si>
  <si>
    <t>地図SD</t>
    <phoneticPr fontId="13"/>
  </si>
  <si>
    <t>27-636</t>
  </si>
  <si>
    <t>ｷｬﾘｲﾄﾗｯｸ KX</t>
    <phoneticPr fontId="13"/>
  </si>
  <si>
    <t>豊橋 480 そ 7527</t>
    <rPh sb="0" eb="2">
      <t>トヨハシ</t>
    </rPh>
    <phoneticPr fontId="13"/>
  </si>
  <si>
    <t>DA16T-177477</t>
    <phoneticPr fontId="13"/>
  </si>
  <si>
    <t>27-637</t>
  </si>
  <si>
    <t>ｶﾛｰﾗﾌｨｰﾙﾀﾞｰ ﾊｲﾌﾞﾘｯﾄG</t>
    <phoneticPr fontId="13"/>
  </si>
  <si>
    <t>三河 503 さ 4641</t>
    <rPh sb="0" eb="2">
      <t>ミカワ</t>
    </rPh>
    <phoneticPr fontId="13"/>
  </si>
  <si>
    <t>NKE165-7184941</t>
    <phoneticPr fontId="13"/>
  </si>
  <si>
    <t>ﾄﾖﾀｶﾛｰﾗ愛知株式会社</t>
    <rPh sb="7" eb="9">
      <t>アイチ</t>
    </rPh>
    <rPh sb="9" eb="13">
      <t>カブシキガイシャ</t>
    </rPh>
    <phoneticPr fontId="13"/>
  </si>
  <si>
    <t>27-638</t>
  </si>
  <si>
    <t>ｳﾞｪﾙﾌｧｲｱ 2.4Z ｺﾞｰﾙﾃﾞﾝｱｲｽﾞ</t>
    <phoneticPr fontId="13"/>
  </si>
  <si>
    <t>名古屋 339 つ 773</t>
    <rPh sb="0" eb="3">
      <t>ナゴヤ</t>
    </rPh>
    <phoneticPr fontId="13"/>
  </si>
  <si>
    <t>ANH20-8260763</t>
    <phoneticPr fontId="13"/>
  </si>
  <si>
    <t>東海ﾏﾂﾀﾞ販売株式会社</t>
    <rPh sb="0" eb="2">
      <t>トウカイ</t>
    </rPh>
    <rPh sb="6" eb="12">
      <t>ハンバイカブシキガイシャ</t>
    </rPh>
    <phoneticPr fontId="13"/>
  </si>
  <si>
    <t>27-639</t>
  </si>
  <si>
    <t>24/8</t>
    <phoneticPr fontId="13"/>
  </si>
  <si>
    <t>ｱﾙﾄﾗﾊﾟﾝ G</t>
    <phoneticPr fontId="13"/>
  </si>
  <si>
    <t>福井 583 た 136</t>
    <rPh sb="0" eb="2">
      <t>フクイ</t>
    </rPh>
    <phoneticPr fontId="13"/>
  </si>
  <si>
    <t>HE22S-250286</t>
    <phoneticPr fontId="13"/>
  </si>
  <si>
    <t>福井ｽｽﾞｷ自動車販売株式会社</t>
    <rPh sb="0" eb="2">
      <t>フクイ</t>
    </rPh>
    <rPh sb="6" eb="9">
      <t>ジドウシャ</t>
    </rPh>
    <rPh sb="9" eb="15">
      <t>ハンバイカブシキガイシャ</t>
    </rPh>
    <phoneticPr fontId="13"/>
  </si>
  <si>
    <t>27-640</t>
  </si>
  <si>
    <t>名古屋 599 ろ 8290</t>
    <rPh sb="0" eb="3">
      <t>ナゴヤ</t>
    </rPh>
    <phoneticPr fontId="13"/>
  </si>
  <si>
    <t>MH34S-349529</t>
    <phoneticPr fontId="13"/>
  </si>
  <si>
    <t>ｷﾘｯｸｽﾘｰｽ株式会社</t>
    <rPh sb="8" eb="12">
      <t>カブシキガイシャ</t>
    </rPh>
    <phoneticPr fontId="13"/>
  </si>
  <si>
    <t>9/8</t>
    <phoneticPr fontId="13"/>
  </si>
  <si>
    <t>27-641</t>
  </si>
  <si>
    <t>ｷｬｽﾄ ｽﾀｲﾙG</t>
    <phoneticPr fontId="13"/>
  </si>
  <si>
    <t>岐阜 582 ね 5030</t>
    <rPh sb="0" eb="2">
      <t>ギフ</t>
    </rPh>
    <phoneticPr fontId="13"/>
  </si>
  <si>
    <t>NAA名古屋(まとめ)</t>
    <rPh sb="3" eb="6">
      <t>ナゴヤ</t>
    </rPh>
    <phoneticPr fontId="13"/>
  </si>
  <si>
    <t>LA250S-0230287</t>
    <phoneticPr fontId="13"/>
  </si>
  <si>
    <t>岐阜日産自動車株式会社</t>
    <rPh sb="0" eb="7">
      <t>ギフニッサンジドウシャ</t>
    </rPh>
    <rPh sb="7" eb="11">
      <t>カブシキカイシャ</t>
    </rPh>
    <phoneticPr fontId="13"/>
  </si>
  <si>
    <t>保証書 取説 ｷｰﾚｽ 地図SD</t>
    <rPh sb="0" eb="3">
      <t>ホショウショ</t>
    </rPh>
    <rPh sb="4" eb="6">
      <t>トリセツ</t>
    </rPh>
    <rPh sb="12" eb="14">
      <t>チズ</t>
    </rPh>
    <phoneticPr fontId="13"/>
  </si>
  <si>
    <t>27-642</t>
  </si>
  <si>
    <t>岐阜 582 む 2967</t>
    <rPh sb="0" eb="2">
      <t>ギフ</t>
    </rPh>
    <phoneticPr fontId="13"/>
  </si>
  <si>
    <t>582 あ 8850</t>
    <phoneticPr fontId="13"/>
  </si>
  <si>
    <t>MH85S-208792</t>
    <phoneticPr fontId="13"/>
  </si>
  <si>
    <t>有限会社宇野ﾓｰﾀｰｽ</t>
    <rPh sb="0" eb="4">
      <t>ユウゲンガイシャ</t>
    </rPh>
    <rPh sb="4" eb="6">
      <t>ウノ</t>
    </rPh>
    <phoneticPr fontId="13"/>
  </si>
  <si>
    <t>27-643</t>
  </si>
  <si>
    <t>京都 588 ろ 7020</t>
    <rPh sb="0" eb="2">
      <t>キョウト</t>
    </rPh>
    <phoneticPr fontId="13"/>
  </si>
  <si>
    <t>保証書なしｸﾚｰﾑ済み</t>
    <rPh sb="0" eb="3">
      <t>ホショウショ</t>
    </rPh>
    <rPh sb="9" eb="10">
      <t>ズ</t>
    </rPh>
    <phoneticPr fontId="13"/>
  </si>
  <si>
    <t>MR41S-298034</t>
    <phoneticPr fontId="13"/>
  </si>
  <si>
    <t>有限会社大藪自動車工業</t>
    <rPh sb="0" eb="4">
      <t>ユウゲンガイシャ</t>
    </rPh>
    <rPh sb="4" eb="5">
      <t>ダイ</t>
    </rPh>
    <rPh sb="5" eb="6">
      <t>ヤブ</t>
    </rPh>
    <rPh sb="6" eb="9">
      <t>ジドウシャ</t>
    </rPh>
    <rPh sb="9" eb="11">
      <t>コウギョウ</t>
    </rPh>
    <phoneticPr fontId="13"/>
  </si>
  <si>
    <r>
      <t xml:space="preserve">取説 ﾅﾋﾞ取 地図SD </t>
    </r>
    <r>
      <rPr>
        <sz val="11"/>
        <color rgb="FFFF0000"/>
        <rFont val="游ゴシック"/>
        <family val="3"/>
        <charset val="128"/>
        <scheme val="minor"/>
      </rPr>
      <t>保証書なし</t>
    </r>
    <rPh sb="0" eb="2">
      <t>トリセツ</t>
    </rPh>
    <rPh sb="6" eb="7">
      <t>　</t>
    </rPh>
    <rPh sb="8" eb="9">
      <t>チズ</t>
    </rPh>
    <rPh sb="9" eb="11">
      <t>ＳＤ</t>
    </rPh>
    <rPh sb="13" eb="16">
      <t>ホショウショ</t>
    </rPh>
    <phoneticPr fontId="13"/>
  </si>
  <si>
    <t>27-644</t>
  </si>
  <si>
    <t>15/1</t>
    <phoneticPr fontId="13"/>
  </si>
  <si>
    <t>ﾈｲｷｯﾄﾞ ﾀｰﾎﾞG</t>
    <phoneticPr fontId="13"/>
  </si>
  <si>
    <t>8/2/21</t>
    <phoneticPr fontId="13"/>
  </si>
  <si>
    <t>静岡 583 か 4545</t>
    <rPh sb="0" eb="2">
      <t>シズオカ</t>
    </rPh>
    <phoneticPr fontId="13"/>
  </si>
  <si>
    <t>582 あ 8923</t>
    <phoneticPr fontId="13"/>
  </si>
  <si>
    <t>L750S-0064753</t>
    <phoneticPr fontId="13"/>
  </si>
  <si>
    <t>株式会社EVIMA</t>
    <rPh sb="0" eb="4">
      <t>カブシキガイシャ</t>
    </rPh>
    <phoneticPr fontId="13"/>
  </si>
  <si>
    <t>保証書(ﾃﾞｨｰﾗｰ印なし 点検に印あり保扱い)取説 ｷｰﾚｽ</t>
    <rPh sb="0" eb="3">
      <t>ホショウショ</t>
    </rPh>
    <rPh sb="10" eb="11">
      <t>イン</t>
    </rPh>
    <rPh sb="14" eb="16">
      <t>テンケン</t>
    </rPh>
    <rPh sb="17" eb="18">
      <t>イン</t>
    </rPh>
    <rPh sb="20" eb="22">
      <t>アツカイ</t>
    </rPh>
    <rPh sb="24" eb="26">
      <t>トリセツ</t>
    </rPh>
    <phoneticPr fontId="13"/>
  </si>
  <si>
    <t>27-645</t>
  </si>
  <si>
    <t>ﾊｽﾗｰ Jｽﾀｲﾙﾀｰﾎﾞ</t>
    <phoneticPr fontId="13"/>
  </si>
  <si>
    <t>8/2/14</t>
    <phoneticPr fontId="13"/>
  </si>
  <si>
    <t>長野 581 と 3017</t>
    <rPh sb="0" eb="2">
      <t>ナガノ</t>
    </rPh>
    <phoneticPr fontId="13"/>
  </si>
  <si>
    <t>582 あ 8848</t>
    <phoneticPr fontId="13"/>
  </si>
  <si>
    <t>MR52S-128495</t>
    <phoneticPr fontId="13"/>
  </si>
  <si>
    <t>27-646</t>
  </si>
  <si>
    <t>春日井 580 わ 1287</t>
    <rPh sb="0" eb="3">
      <t>カスガイ</t>
    </rPh>
    <phoneticPr fontId="13"/>
  </si>
  <si>
    <t>保証書 取説 ｽﾍﾟｱｷｰ ﾚﾝﾀｶｰ</t>
  </si>
  <si>
    <t>582 あ 8845</t>
    <phoneticPr fontId="13"/>
  </si>
  <si>
    <t>DA17W-210614</t>
    <phoneticPr fontId="13"/>
  </si>
  <si>
    <t>株式会社ｸﾞｯﾄﾞｽﾋﾟｰﾄﾞ</t>
    <rPh sb="0" eb="4">
      <t>カブシキガイシャ</t>
    </rPh>
    <phoneticPr fontId="13"/>
  </si>
  <si>
    <t>保証書 取説 ﾅﾋﾞ取 ｷｰﾚｽ ｽﾍﾟｱｷｰ ﾚﾝﾀｶｰ</t>
    <rPh sb="0" eb="3">
      <t>ホショウショ</t>
    </rPh>
    <rPh sb="4" eb="6">
      <t>トリセツ</t>
    </rPh>
    <rPh sb="10" eb="11">
      <t>トリ</t>
    </rPh>
    <phoneticPr fontId="13"/>
  </si>
  <si>
    <t>27-647</t>
  </si>
  <si>
    <t>ｷｬｽﾄ ｽﾀｲﾙX ﾘﾐﾃｯﾄﾞSA3</t>
    <phoneticPr fontId="13"/>
  </si>
  <si>
    <t>三河 581 う 7563</t>
    <rPh sb="0" eb="2">
      <t>ミカワ</t>
    </rPh>
    <phoneticPr fontId="13"/>
  </si>
  <si>
    <t>582 あ 8925</t>
    <phoneticPr fontId="13"/>
  </si>
  <si>
    <t>LA250S-0182886</t>
    <phoneticPr fontId="13"/>
  </si>
  <si>
    <t>平山 千恵</t>
    <rPh sb="0" eb="2">
      <t>ヒラヤマ</t>
    </rPh>
    <rPh sb="3" eb="5">
      <t>チエ</t>
    </rPh>
    <phoneticPr fontId="13"/>
  </si>
  <si>
    <t>保証書 取説 地図SD(車内)</t>
    <rPh sb="0" eb="3">
      <t>ホショウショ</t>
    </rPh>
    <rPh sb="4" eb="6">
      <t>トリセツ</t>
    </rPh>
    <phoneticPr fontId="13"/>
  </si>
  <si>
    <t>27-648</t>
  </si>
  <si>
    <t>なにわ 430 と 317</t>
    <phoneticPr fontId="13"/>
  </si>
  <si>
    <t>A277661</t>
    <phoneticPr fontId="13"/>
  </si>
  <si>
    <t>TRH200-0363924</t>
    <phoneticPr fontId="13"/>
  </si>
  <si>
    <t>碓井　貴裕</t>
    <rPh sb="0" eb="2">
      <t>ウスイ</t>
    </rPh>
    <rPh sb="3" eb="5">
      <t>タカヒロ</t>
    </rPh>
    <phoneticPr fontId="13"/>
  </si>
  <si>
    <t>保証書　取説</t>
    <rPh sb="0" eb="3">
      <t>ホショウショ</t>
    </rPh>
    <rPh sb="4" eb="6">
      <t>トリセツ</t>
    </rPh>
    <phoneticPr fontId="13"/>
  </si>
  <si>
    <t>27-649</t>
  </si>
  <si>
    <t>ﾀﾝﾄ ｶｽﾀﾑRS</t>
    <phoneticPr fontId="13"/>
  </si>
  <si>
    <t>9/2/20</t>
    <phoneticPr fontId="13"/>
  </si>
  <si>
    <t>島根 581 え 3192</t>
    <rPh sb="0" eb="2">
      <t>シマネ</t>
    </rPh>
    <phoneticPr fontId="13"/>
  </si>
  <si>
    <t>582 あ 8927</t>
    <phoneticPr fontId="13"/>
  </si>
  <si>
    <t>LA650S-0073299</t>
    <phoneticPr fontId="13"/>
  </si>
  <si>
    <t>新田 朋生</t>
    <rPh sb="0" eb="2">
      <t>ニッタ</t>
    </rPh>
    <rPh sb="3" eb="4">
      <t>トモ</t>
    </rPh>
    <rPh sb="4" eb="5">
      <t>イ</t>
    </rPh>
    <phoneticPr fontId="13"/>
  </si>
  <si>
    <t>地図SD(車内)保証書 ｷｰﾚｽ</t>
    <rPh sb="0" eb="2">
      <t>チズ</t>
    </rPh>
    <rPh sb="5" eb="7">
      <t>シャナイ</t>
    </rPh>
    <rPh sb="8" eb="11">
      <t>ホショウショ</t>
    </rPh>
    <phoneticPr fontId="13"/>
  </si>
  <si>
    <t>27-650</t>
  </si>
  <si>
    <t>25/12</t>
    <phoneticPr fontId="13"/>
  </si>
  <si>
    <t>ｼﾞﾑﾆｰ ｸﾛｽｱﾄﾞﾍﾞﾝﾁｬｰ</t>
    <phoneticPr fontId="13"/>
  </si>
  <si>
    <t>高知 583 あ 453</t>
    <rPh sb="0" eb="2">
      <t>コウチ</t>
    </rPh>
    <phoneticPr fontId="13"/>
  </si>
  <si>
    <t>582 あ 8910</t>
    <phoneticPr fontId="13"/>
  </si>
  <si>
    <t>JB23W-704640</t>
    <phoneticPr fontId="13"/>
  </si>
  <si>
    <t>洒井 雄平</t>
    <rPh sb="0" eb="2">
      <t>サカイ</t>
    </rPh>
    <rPh sb="3" eb="4">
      <t>オ</t>
    </rPh>
    <rPh sb="4" eb="5">
      <t>ヒラ</t>
    </rPh>
    <phoneticPr fontId="13"/>
  </si>
  <si>
    <t>27-651</t>
  </si>
  <si>
    <t>ｽﾍﾟｰｼｱﾊｲﾌﾞﾘｯﾄG</t>
    <phoneticPr fontId="13"/>
  </si>
  <si>
    <t>出雲 580 あ 2400</t>
    <rPh sb="0" eb="2">
      <t>イズモ</t>
    </rPh>
    <phoneticPr fontId="13"/>
  </si>
  <si>
    <t>MK53S-316907</t>
    <phoneticPr fontId="13"/>
  </si>
  <si>
    <t>ﾆｼｵ有限会社</t>
    <rPh sb="3" eb="7">
      <t>ユウゲンガイシャ</t>
    </rPh>
    <phoneticPr fontId="13"/>
  </si>
  <si>
    <t>USS神戸(ﾜﾝｸﾘ)</t>
    <phoneticPr fontId="13"/>
  </si>
  <si>
    <t>27-652</t>
  </si>
  <si>
    <t>VW ｻﾞﾋﾞｰﾄﾙ Rﾗｲﾝ ﾏｲｽﾀｰ</t>
    <phoneticPr fontId="13"/>
  </si>
  <si>
    <t>8/9/26</t>
    <phoneticPr fontId="13"/>
  </si>
  <si>
    <t>神戸 304 も 4663</t>
    <rPh sb="0" eb="2">
      <t>コウベ</t>
    </rPh>
    <phoneticPr fontId="13"/>
  </si>
  <si>
    <t>WVWZZZ16ZKM720152</t>
    <phoneticPr fontId="13"/>
  </si>
  <si>
    <r>
      <rPr>
        <sz val="11"/>
        <color rgb="FFFF0000"/>
        <rFont val="游ゴシック"/>
        <family val="3"/>
        <charset val="128"/>
        <scheme val="minor"/>
      </rPr>
      <t xml:space="preserve">地図SD問い合わせ中ﾅﾋﾞなしｸﾚｰﾑにはならない？ </t>
    </r>
    <r>
      <rPr>
        <sz val="11"/>
        <color theme="3"/>
        <rFont val="游ゴシック"/>
        <family val="3"/>
        <charset val="128"/>
        <scheme val="minor"/>
      </rPr>
      <t>ｷｰﾚｽ</t>
    </r>
    <rPh sb="0" eb="2">
      <t>チズ</t>
    </rPh>
    <rPh sb="4" eb="5">
      <t>ト</t>
    </rPh>
    <rPh sb="6" eb="7">
      <t>ア</t>
    </rPh>
    <rPh sb="9" eb="10">
      <t>チュウ</t>
    </rPh>
    <phoneticPr fontId="13"/>
  </si>
  <si>
    <t>品番；NK-SD-10</t>
    <rPh sb="0" eb="2">
      <t>ヒンバン</t>
    </rPh>
    <phoneticPr fontId="13"/>
  </si>
  <si>
    <t>27-653</t>
  </si>
  <si>
    <t xml:space="preserve">ｼﾞｰﾌﾟﾗﾝｸﾞﾗｰｱﾝﾘﾐﾃｯﾄﾞ </t>
    <phoneticPr fontId="13"/>
  </si>
  <si>
    <t>品川 39A み 1047</t>
    <rPh sb="0" eb="2">
      <t>シナガワ</t>
    </rPh>
    <phoneticPr fontId="13"/>
  </si>
  <si>
    <t>整備手帳 取説</t>
  </si>
  <si>
    <t>1C4HJXLN0LW258701</t>
    <phoneticPr fontId="13"/>
  </si>
  <si>
    <t>株式会社ｵｰｸﾈｯﾄ</t>
    <rPh sb="0" eb="4">
      <t>カブシキガイシャ</t>
    </rPh>
    <phoneticPr fontId="13"/>
  </si>
  <si>
    <t>27-654</t>
  </si>
  <si>
    <t>品川 39A ま 112</t>
    <rPh sb="0" eb="2">
      <t>シナガワ</t>
    </rPh>
    <phoneticPr fontId="13"/>
  </si>
  <si>
    <t>WMWYT920203L89764</t>
    <phoneticPr fontId="13"/>
  </si>
  <si>
    <t>27-655</t>
  </si>
  <si>
    <t>ｱﾄﾚｰﾜｺﾞﾝ ｶｽﾀﾑﾀｰﾎﾞRS</t>
    <phoneticPr fontId="13"/>
  </si>
  <si>
    <t>8/11/26</t>
    <phoneticPr fontId="13"/>
  </si>
  <si>
    <t>福岡 581き 7177</t>
    <rPh sb="0" eb="2">
      <t>フクオカ</t>
    </rPh>
    <phoneticPr fontId="13"/>
  </si>
  <si>
    <t>A298005</t>
    <phoneticPr fontId="13"/>
  </si>
  <si>
    <t>S321G-0056847</t>
    <phoneticPr fontId="13"/>
  </si>
  <si>
    <t>半田 信幸</t>
    <rPh sb="0" eb="2">
      <t>ハンダ</t>
    </rPh>
    <rPh sb="3" eb="5">
      <t>ノブユキ</t>
    </rPh>
    <phoneticPr fontId="13"/>
  </si>
  <si>
    <t>27-656</t>
  </si>
  <si>
    <t>N-BOX GL ﾊﾟｯｹｰｼﾞ</t>
    <phoneticPr fontId="13"/>
  </si>
  <si>
    <t>鳥取 580 と 7681</t>
    <rPh sb="0" eb="2">
      <t>トットリ</t>
    </rPh>
    <phoneticPr fontId="13"/>
  </si>
  <si>
    <t>ﾎﾝﾀﾞ関西(まとめ)</t>
    <rPh sb="4" eb="6">
      <t>カンサイ</t>
    </rPh>
    <phoneticPr fontId="13"/>
  </si>
  <si>
    <t>JF1-1498734</t>
    <phoneticPr fontId="13"/>
  </si>
  <si>
    <t>ﾎﾝﾀﾞ山陰中央株式会社</t>
    <rPh sb="4" eb="6">
      <t>サンイン</t>
    </rPh>
    <rPh sb="6" eb="8">
      <t>チュウオウ</t>
    </rPh>
    <rPh sb="8" eb="12">
      <t>カブシキガイシャ</t>
    </rPh>
    <phoneticPr fontId="13"/>
  </si>
  <si>
    <t>27-657</t>
  </si>
  <si>
    <t>18/11</t>
    <phoneticPr fontId="13"/>
  </si>
  <si>
    <t>ﾐﾗｼﾞｰﾉ X</t>
    <phoneticPr fontId="13"/>
  </si>
  <si>
    <t>和泉 580 さ 5966</t>
    <rPh sb="0" eb="2">
      <t>イズミ</t>
    </rPh>
    <phoneticPr fontId="13"/>
  </si>
  <si>
    <t>L650S-0051523</t>
    <phoneticPr fontId="13"/>
  </si>
  <si>
    <t>坂東 百菜美</t>
    <rPh sb="0" eb="1">
      <t>サカ</t>
    </rPh>
    <rPh sb="1" eb="2">
      <t>ヒガシ</t>
    </rPh>
    <rPh sb="3" eb="4">
      <t>モモ</t>
    </rPh>
    <rPh sb="4" eb="6">
      <t>ナミ</t>
    </rPh>
    <phoneticPr fontId="13"/>
  </si>
  <si>
    <t>27-658</t>
  </si>
  <si>
    <t>ﾊｽﾗｰ J</t>
    <phoneticPr fontId="13"/>
  </si>
  <si>
    <t>広島 581 は 6868</t>
    <rPh sb="0" eb="2">
      <t>ヒロシマ</t>
    </rPh>
    <phoneticPr fontId="13"/>
  </si>
  <si>
    <t>582 い 1310</t>
    <phoneticPr fontId="13"/>
  </si>
  <si>
    <t>MR41S-355402</t>
    <phoneticPr fontId="13"/>
  </si>
  <si>
    <t>株式会社広島自動車検査場</t>
    <rPh sb="0" eb="4">
      <t>カブシキガイシャ</t>
    </rPh>
    <rPh sb="4" eb="6">
      <t>ヒロシマ</t>
    </rPh>
    <rPh sb="6" eb="9">
      <t>ジドウシャ</t>
    </rPh>
    <rPh sb="9" eb="12">
      <t>ケンサジョウ</t>
    </rPh>
    <phoneticPr fontId="13"/>
  </si>
  <si>
    <t>9/11</t>
    <phoneticPr fontId="13"/>
  </si>
  <si>
    <t>地図SD(車内)保証書 取説</t>
    <rPh sb="0" eb="2">
      <t>チズ</t>
    </rPh>
    <rPh sb="8" eb="11">
      <t>ホショウショ</t>
    </rPh>
    <rPh sb="12" eb="14">
      <t>トリセツ</t>
    </rPh>
    <phoneticPr fontId="13"/>
  </si>
  <si>
    <t>27-659</t>
  </si>
  <si>
    <t>ｽﾍﾟｰｼｱ ﾊｲﾌﾞﾘｯﾄG</t>
    <phoneticPr fontId="13"/>
  </si>
  <si>
    <t>品川 5X0 ろ 8860</t>
    <rPh sb="0" eb="2">
      <t>シナガワ</t>
    </rPh>
    <phoneticPr fontId="13"/>
  </si>
  <si>
    <t>ｵﾘｯｸｽ福岡(ｱｲｵｰｸ)</t>
    <rPh sb="5" eb="7">
      <t>フクオカ</t>
    </rPh>
    <phoneticPr fontId="13"/>
  </si>
  <si>
    <t>MK53S-337848</t>
    <phoneticPr fontId="13"/>
  </si>
  <si>
    <t>記録紙1枚</t>
    <rPh sb="0" eb="3">
      <t>キロクシ</t>
    </rPh>
    <rPh sb="4" eb="5">
      <t>マイ</t>
    </rPh>
    <phoneticPr fontId="13"/>
  </si>
  <si>
    <t>27-660</t>
  </si>
  <si>
    <t>NV100ｸﾘｯﾊﾟｰ ﾊﾞﾝ GX</t>
    <phoneticPr fontId="13"/>
  </si>
  <si>
    <t>岐阜 480 の 5244</t>
    <rPh sb="0" eb="2">
      <t>ギフ</t>
    </rPh>
    <phoneticPr fontId="13"/>
  </si>
  <si>
    <t>DR17V-570579</t>
    <phoneticPr fontId="13"/>
  </si>
  <si>
    <t>ﾄﾖﾀｶﾛｰﾗﾈｯﾂ岐阜株式会社</t>
    <rPh sb="10" eb="12">
      <t>ギフ</t>
    </rPh>
    <rPh sb="12" eb="16">
      <t>カブシキガイシャ</t>
    </rPh>
    <phoneticPr fontId="13"/>
  </si>
  <si>
    <t>27-661</t>
  </si>
  <si>
    <t>豊橋 580 み 8233</t>
    <rPh sb="0" eb="2">
      <t>トヨハシ</t>
    </rPh>
    <phoneticPr fontId="13"/>
  </si>
  <si>
    <t>582 い 1455</t>
    <phoneticPr fontId="13"/>
  </si>
  <si>
    <t>JF1-1970892</t>
    <phoneticPr fontId="13"/>
  </si>
  <si>
    <t>株式会社ｽｽﾞｷ自販東海</t>
    <rPh sb="0" eb="4">
      <t>カブシキガイシャ</t>
    </rPh>
    <rPh sb="8" eb="10">
      <t>ジハン</t>
    </rPh>
    <rPh sb="10" eb="12">
      <t>トウカイ</t>
    </rPh>
    <phoneticPr fontId="13"/>
  </si>
  <si>
    <t>ｷｰﾚｽ(ﾒｶｷｰなし)(車内)保証書 取説 ﾅﾋﾞ取</t>
    <rPh sb="16" eb="19">
      <t>ホショウショ</t>
    </rPh>
    <rPh sb="20" eb="22">
      <t>トリセツ</t>
    </rPh>
    <rPh sb="26" eb="27">
      <t>トリ</t>
    </rPh>
    <phoneticPr fontId="13"/>
  </si>
  <si>
    <t>27-662</t>
  </si>
  <si>
    <t>ﾒﾙｾﾃﾞｽﾍﾞﾝﾂ Aｸﾗｽ 180 ｴﾃﾞｨｼｮﾝ</t>
    <phoneticPr fontId="13"/>
  </si>
  <si>
    <t>香川 316 や 5000</t>
    <rPh sb="0" eb="2">
      <t>カガワ</t>
    </rPh>
    <phoneticPr fontId="13"/>
  </si>
  <si>
    <t>WDD1770842J047555</t>
    <phoneticPr fontId="13"/>
  </si>
  <si>
    <t>宮武 知基</t>
    <rPh sb="0" eb="1">
      <t>ミヤ</t>
    </rPh>
    <rPh sb="3" eb="4">
      <t>チ</t>
    </rPh>
    <rPh sb="4" eb="5">
      <t>モトイ</t>
    </rPh>
    <phoneticPr fontId="13"/>
  </si>
  <si>
    <t>27-663</t>
  </si>
  <si>
    <t>ﾐﾗｺｺｱ X</t>
    <phoneticPr fontId="13"/>
  </si>
  <si>
    <t>名古屋 599 ろ 8159</t>
    <rPh sb="0" eb="3">
      <t>ナゴヤ</t>
    </rPh>
    <phoneticPr fontId="13"/>
  </si>
  <si>
    <t>L675S-0195980</t>
    <phoneticPr fontId="13"/>
  </si>
  <si>
    <t>27-664</t>
  </si>
  <si>
    <t>ｷｬﾘｰﾄﾗｯｸ KX</t>
    <phoneticPr fontId="13"/>
  </si>
  <si>
    <t>豊橋 480 そ 96</t>
    <rPh sb="0" eb="2">
      <t>トヨハシ</t>
    </rPh>
    <phoneticPr fontId="13"/>
  </si>
  <si>
    <t>480 ね 1333</t>
    <phoneticPr fontId="13"/>
  </si>
  <si>
    <t>ﾓｽｸﾞﾚｰ</t>
    <phoneticPr fontId="13"/>
  </si>
  <si>
    <t>DA16T-799631</t>
    <phoneticPr fontId="13"/>
  </si>
  <si>
    <t>有限会社ﾌｼﾞﾐｵｰﾄ</t>
    <rPh sb="0" eb="4">
      <t>ユウゲンガイシャ</t>
    </rPh>
    <phoneticPr fontId="13"/>
  </si>
  <si>
    <t>27-665</t>
  </si>
  <si>
    <t>ﾊｽﾗｰ ﾊｲﾌﾞﾘｯﾄ Xﾀｰﾎﾞ</t>
    <phoneticPr fontId="13"/>
  </si>
  <si>
    <t>品川 5X0 ろ 9872</t>
    <rPh sb="0" eb="2">
      <t>シナガワ</t>
    </rPh>
    <phoneticPr fontId="13"/>
  </si>
  <si>
    <t>MR52S-152240</t>
    <phoneticPr fontId="13"/>
  </si>
  <si>
    <t>TAA売 付属品車内？</t>
    <rPh sb="3" eb="4">
      <t>ウ</t>
    </rPh>
    <rPh sb="5" eb="8">
      <t>フゾクヒン</t>
    </rPh>
    <rPh sb="8" eb="10">
      <t>シャナイ</t>
    </rPh>
    <phoneticPr fontId="13"/>
  </si>
  <si>
    <t>27-666</t>
  </si>
  <si>
    <t>ﾑｰﾌﾞｷｬﾝﾊﾞｽ ｽﾄﾗｲﾌﾟG</t>
    <phoneticPr fontId="13"/>
  </si>
  <si>
    <t>品川 5X0 ろ 9873</t>
    <rPh sb="0" eb="2">
      <t>シナガワ</t>
    </rPh>
    <phoneticPr fontId="13"/>
  </si>
  <si>
    <t>LA850S-0059743</t>
    <phoneticPr fontId="13"/>
  </si>
  <si>
    <t>27-667</t>
  </si>
  <si>
    <t>VW ｺﾞﾙﾌ R</t>
    <phoneticPr fontId="13"/>
  </si>
  <si>
    <t>8/11/23</t>
    <phoneticPr fontId="13"/>
  </si>
  <si>
    <t>奈良 301 ね 130</t>
    <rPh sb="0" eb="2">
      <t>ナラ</t>
    </rPh>
    <phoneticPr fontId="13"/>
  </si>
  <si>
    <t>WVWZZZAUZJW060423</t>
    <phoneticPr fontId="13"/>
  </si>
  <si>
    <t>奈良中央三菱自動車販売株式会社</t>
    <rPh sb="0" eb="2">
      <t>ナラ</t>
    </rPh>
    <rPh sb="2" eb="4">
      <t>チュウオウ</t>
    </rPh>
    <rPh sb="4" eb="6">
      <t>ミツビシ</t>
    </rPh>
    <rPh sb="6" eb="9">
      <t>ジドウシャ</t>
    </rPh>
    <rPh sb="9" eb="11">
      <t>ハンバイ</t>
    </rPh>
    <rPh sb="11" eb="15">
      <t>カブシキガイシャ</t>
    </rPh>
    <phoneticPr fontId="13"/>
  </si>
  <si>
    <t>27-668</t>
  </si>
  <si>
    <t>ﾜｺﾞﾝR ｶｽﾀﾑZ ﾊｲﾌﾞﾘｯﾄZX</t>
    <phoneticPr fontId="13"/>
  </si>
  <si>
    <t>京都 582 く 4023</t>
    <rPh sb="0" eb="2">
      <t>キョウト</t>
    </rPh>
    <phoneticPr fontId="13"/>
  </si>
  <si>
    <t>保証書 取説 ｽﾍﾟｱｷｰ 地図SD ﾜﾝｵｰﾅｰ</t>
  </si>
  <si>
    <t>MH95S-222955</t>
    <phoneticPr fontId="13"/>
  </si>
  <si>
    <t>株式会社ﾌｼﾞｻﾝｵｰﾄ</t>
    <rPh sb="0" eb="4">
      <t>カブシキガイシャ</t>
    </rPh>
    <phoneticPr fontId="13"/>
  </si>
  <si>
    <t>保証書 取説 SD ｷｰﾚｽ ﾜﾝｵｰﾅｰ</t>
    <rPh sb="0" eb="3">
      <t>ホショウショ</t>
    </rPh>
    <rPh sb="4" eb="6">
      <t>トリセツ</t>
    </rPh>
    <phoneticPr fontId="13"/>
  </si>
  <si>
    <t>27-669</t>
  </si>
  <si>
    <t>BMW 3ｼﾘｰｽﾞ 320d xdrive Mｽﾎﾟｰﾂ</t>
    <phoneticPr fontId="13"/>
  </si>
  <si>
    <t>名古屋 370 み 20</t>
    <rPh sb="0" eb="3">
      <t>ナゴヤ</t>
    </rPh>
    <phoneticPr fontId="13"/>
  </si>
  <si>
    <t>301 ね 3086</t>
    <phoneticPr fontId="13"/>
  </si>
  <si>
    <t>WBA5V72000FH38987</t>
    <phoneticPr fontId="13"/>
  </si>
  <si>
    <t>27-670</t>
  </si>
  <si>
    <t>ｼﾄﾛｴﾝ C3ｼｬｲﾝ</t>
    <phoneticPr fontId="13"/>
  </si>
  <si>
    <t>8/9/18</t>
    <phoneticPr fontId="13"/>
  </si>
  <si>
    <t>豊橋 301 み 5572</t>
    <rPh sb="0" eb="2">
      <t>トヨハシ</t>
    </rPh>
    <phoneticPr fontId="13"/>
  </si>
  <si>
    <t>301 ね 3084</t>
    <phoneticPr fontId="13"/>
  </si>
  <si>
    <t>VF7SXHNZTHT557161</t>
    <phoneticPr fontId="13"/>
  </si>
  <si>
    <t>Tha Vehicles株式会社</t>
    <rPh sb="12" eb="16">
      <t>カブシキガイシャ</t>
    </rPh>
    <phoneticPr fontId="13"/>
  </si>
  <si>
    <t>27-671</t>
  </si>
  <si>
    <t>8/10/6</t>
    <phoneticPr fontId="13"/>
  </si>
  <si>
    <t>福井 580 つ 6218</t>
    <rPh sb="0" eb="2">
      <t>フクイ</t>
    </rPh>
    <phoneticPr fontId="13"/>
  </si>
  <si>
    <t>MH23S-685336</t>
    <phoneticPr fontId="13"/>
  </si>
  <si>
    <t>株式会社ｶｰﾈｰｼｮﾝ</t>
    <rPh sb="0" eb="4">
      <t>カブシキガイシャ</t>
    </rPh>
    <phoneticPr fontId="13"/>
  </si>
  <si>
    <t>記録紙2枚</t>
    <rPh sb="0" eb="3">
      <t>キロクシ</t>
    </rPh>
    <rPh sb="4" eb="5">
      <t>マイ</t>
    </rPh>
    <phoneticPr fontId="13"/>
  </si>
  <si>
    <t>27-672</t>
  </si>
  <si>
    <t>ﾑｰﾌﾞｶｽﾀﾑ X SA</t>
    <phoneticPr fontId="13"/>
  </si>
  <si>
    <t>なにわ 580 ね 6832</t>
    <phoneticPr fontId="13"/>
  </si>
  <si>
    <t>MOTA</t>
    <phoneticPr fontId="13"/>
  </si>
  <si>
    <t>LA100S-1109806</t>
    <phoneticPr fontId="13"/>
  </si>
  <si>
    <t>戸畑 芽衣子</t>
    <rPh sb="0" eb="1">
      <t>ト</t>
    </rPh>
    <rPh sb="1" eb="2">
      <t>ハタケ</t>
    </rPh>
    <rPh sb="3" eb="6">
      <t>メイコ</t>
    </rPh>
    <phoneticPr fontId="13"/>
  </si>
  <si>
    <t>27-673</t>
  </si>
  <si>
    <t>ｳﾞｪﾙﾌｧｲｱ 2.5ZA ｴﾃﾞｨｼｮﾝｺﾞﾙﾃﾞﾝｱｲｽﾞ</t>
    <phoneticPr fontId="13"/>
  </si>
  <si>
    <t>8/9/25</t>
    <phoneticPr fontId="13"/>
  </si>
  <si>
    <t>足立 343 そ 713</t>
    <rPh sb="0" eb="2">
      <t>アダチ</t>
    </rPh>
    <phoneticPr fontId="13"/>
  </si>
  <si>
    <t>A298312</t>
    <phoneticPr fontId="13"/>
  </si>
  <si>
    <t>AGH30-0130040</t>
    <phoneticPr fontId="13"/>
  </si>
  <si>
    <t>保証書 ﾅﾋﾞ取 ｽﾏｰﾄｷｰ</t>
    <rPh sb="0" eb="3">
      <t>ホショウショ</t>
    </rPh>
    <rPh sb="7" eb="8">
      <t>トリ</t>
    </rPh>
    <phoneticPr fontId="13"/>
  </si>
  <si>
    <t>27-674</t>
  </si>
  <si>
    <t>ｽﾍﾟｰｼｱｶｽﾀﾑ ﾊｲﾌﾞﾘｯﾄ</t>
    <phoneticPr fontId="13"/>
  </si>
  <si>
    <t>岡山 581 の 2243</t>
    <rPh sb="0" eb="2">
      <t>オカヤマ</t>
    </rPh>
    <phoneticPr fontId="13"/>
  </si>
  <si>
    <t>582 い 1085</t>
    <phoneticPr fontId="13"/>
  </si>
  <si>
    <t>MK53S-758034</t>
    <phoneticPr fontId="13"/>
  </si>
  <si>
    <t>ｽｽﾞｷ岡山販売株式会社</t>
    <rPh sb="4" eb="12">
      <t>オカヤマハンバイカブシキガイシャ</t>
    </rPh>
    <phoneticPr fontId="13"/>
  </si>
  <si>
    <t>27-675</t>
  </si>
  <si>
    <t>ｸﾛｽﾋﾞｰ ﾊｲﾌﾞﾘｯﾄMZ</t>
    <phoneticPr fontId="13"/>
  </si>
  <si>
    <t>8/7/23</t>
    <phoneticPr fontId="13"/>
  </si>
  <si>
    <t>岡山 502 は 4515</t>
    <phoneticPr fontId="13"/>
  </si>
  <si>
    <t>MN71S-312636</t>
    <phoneticPr fontId="13"/>
  </si>
  <si>
    <t>保証書 取説 地図SD</t>
    <rPh sb="0" eb="3">
      <t>ホショウショ</t>
    </rPh>
    <rPh sb="4" eb="6">
      <t>トリセツ</t>
    </rPh>
    <phoneticPr fontId="13"/>
  </si>
  <si>
    <t>27-676</t>
  </si>
  <si>
    <t>BMWﾐﾆｸｰﾊﾟｰD</t>
    <phoneticPr fontId="13"/>
  </si>
  <si>
    <t>8/7/1</t>
    <phoneticPr fontId="13"/>
  </si>
  <si>
    <t>佐賀 301 さ 4968</t>
    <rPh sb="0" eb="2">
      <t>サガ</t>
    </rPh>
    <phoneticPr fontId="13"/>
  </si>
  <si>
    <t>WMWXT320X02F06511</t>
    <phoneticPr fontId="13"/>
  </si>
  <si>
    <t>株式会社BUDDICA</t>
    <rPh sb="0" eb="4">
      <t>カブシキガイシャ</t>
    </rPh>
    <phoneticPr fontId="13"/>
  </si>
  <si>
    <t>27-677</t>
  </si>
  <si>
    <t>奈良 301 な 5608</t>
    <rPh sb="0" eb="2">
      <t>ナラ</t>
    </rPh>
    <phoneticPr fontId="13"/>
  </si>
  <si>
    <t>VF7SXHNZTHT601254</t>
    <phoneticPr fontId="13"/>
  </si>
  <si>
    <t>株式会社壱</t>
    <rPh sb="0" eb="4">
      <t>カブシキガイシャ</t>
    </rPh>
    <rPh sb="4" eb="5">
      <t>イチ</t>
    </rPh>
    <phoneticPr fontId="13"/>
  </si>
  <si>
    <t>9/21</t>
    <phoneticPr fontId="13"/>
  </si>
  <si>
    <t>27-678</t>
  </si>
  <si>
    <t>なにわ 313 ゆ 7788</t>
    <phoneticPr fontId="13"/>
  </si>
  <si>
    <t>WMWXR920702M16411</t>
    <phoneticPr fontId="13"/>
  </si>
  <si>
    <t>保証書 取説 ﾜﾝｵｰﾅｰ？</t>
    <rPh sb="0" eb="3">
      <t>ホショウショ</t>
    </rPh>
    <rPh sb="4" eb="6">
      <t>トリセツ</t>
    </rPh>
    <phoneticPr fontId="13"/>
  </si>
  <si>
    <t>27-679</t>
  </si>
  <si>
    <t>BMW3ｼﾘｰｽﾞ 320 xdriveMｽﾎﾟｰﾂ</t>
    <phoneticPr fontId="13"/>
  </si>
  <si>
    <t>広島 399 な 9743</t>
    <rPh sb="0" eb="2">
      <t>ヒロシマ</t>
    </rPh>
    <phoneticPr fontId="13"/>
  </si>
  <si>
    <t>WBA5V72010AJ48601</t>
    <phoneticPr fontId="13"/>
  </si>
  <si>
    <t>取説 ﾚﾝﾀｶｰ</t>
    <rPh sb="0" eb="2">
      <t>トリセツ</t>
    </rPh>
    <phoneticPr fontId="13"/>
  </si>
  <si>
    <t>27-680</t>
  </si>
  <si>
    <t>BMW X1 xdrive18d</t>
    <phoneticPr fontId="13"/>
  </si>
  <si>
    <t>山口 330 り 2028</t>
    <rPh sb="0" eb="2">
      <t>ヤマグチ</t>
    </rPh>
    <phoneticPr fontId="13"/>
  </si>
  <si>
    <t>WBA32AD0105S95830</t>
    <phoneticPr fontId="13"/>
  </si>
  <si>
    <t>株式会社ﾎﾝﾀﾞｶｰｽﾞ山口中央</t>
    <rPh sb="0" eb="4">
      <t>カブシキガイシャ</t>
    </rPh>
    <rPh sb="12" eb="14">
      <t>ヤマグチ</t>
    </rPh>
    <rPh sb="14" eb="16">
      <t>チュウオウ</t>
    </rPh>
    <phoneticPr fontId="13"/>
  </si>
  <si>
    <t>取説(車内)保証書 ｷｰﾚｽ ﾜﾝｵｰﾅｰ</t>
    <rPh sb="0" eb="2">
      <t>トリセツ</t>
    </rPh>
    <rPh sb="6" eb="9">
      <t>ホショウショ</t>
    </rPh>
    <phoneticPr fontId="13"/>
  </si>
  <si>
    <t>27-681</t>
  </si>
  <si>
    <t>N-BOXｶｽﾀﾑ SSﾊﾟｯｹｰｼﾞ</t>
    <phoneticPr fontId="13"/>
  </si>
  <si>
    <t>市川 580 ろ 4750</t>
    <rPh sb="0" eb="2">
      <t>イチカワ</t>
    </rPh>
    <phoneticPr fontId="13"/>
  </si>
  <si>
    <t xml:space="preserve"> ｽﾏｰﾄｷｰ 保証書 取説 </t>
  </si>
  <si>
    <t>JF1-1459971</t>
    <phoneticPr fontId="13"/>
  </si>
  <si>
    <t>株式会社ﾎﾝﾀﾞﾍﾞﾙﾉ市川</t>
    <rPh sb="0" eb="4">
      <t>カブシキガイシャ</t>
    </rPh>
    <rPh sb="12" eb="14">
      <t>イチカワ</t>
    </rPh>
    <phoneticPr fontId="13"/>
  </si>
  <si>
    <t>27-682</t>
  </si>
  <si>
    <t>ｼﾞﾑﾆｰ ﾗﾝﾄﾞﾍﾞﾝﾁｬｰ</t>
    <phoneticPr fontId="13"/>
  </si>
  <si>
    <t>8/3/20</t>
    <phoneticPr fontId="13"/>
  </si>
  <si>
    <t>山形 581 こ 978</t>
    <rPh sb="0" eb="2">
      <t>ヤマガタ</t>
    </rPh>
    <phoneticPr fontId="13"/>
  </si>
  <si>
    <t>A298970</t>
    <phoneticPr fontId="13"/>
  </si>
  <si>
    <t>JB23W-742973</t>
    <phoneticPr fontId="13"/>
  </si>
  <si>
    <t>長堀 諒大</t>
    <rPh sb="0" eb="2">
      <t>ナガホリ</t>
    </rPh>
    <rPh sb="3" eb="4">
      <t>リョウ</t>
    </rPh>
    <rPh sb="4" eb="5">
      <t>ダイ</t>
    </rPh>
    <phoneticPr fontId="13"/>
  </si>
  <si>
    <t>記録紙1枚 取説 ｽﾍﾟｱｷｰ</t>
    <rPh sb="0" eb="3">
      <t>キロクシ</t>
    </rPh>
    <rPh sb="4" eb="5">
      <t>マイ</t>
    </rPh>
    <rPh sb="6" eb="8">
      <t>トリセツ</t>
    </rPh>
    <phoneticPr fontId="13"/>
  </si>
  <si>
    <t>27-683</t>
  </si>
  <si>
    <t>ｽｰﾊﾟｰｷｬﾘｲ X</t>
    <phoneticPr fontId="13"/>
  </si>
  <si>
    <t>9/8/26</t>
    <phoneticPr fontId="13"/>
  </si>
  <si>
    <t>仙台 483 え 3588</t>
    <rPh sb="0" eb="2">
      <t>センダイ</t>
    </rPh>
    <phoneticPr fontId="13"/>
  </si>
  <si>
    <t>A298111</t>
    <phoneticPr fontId="13"/>
  </si>
  <si>
    <t>DA16T-471992</t>
    <phoneticPr fontId="13"/>
  </si>
  <si>
    <t>株式会社ｽｽﾞｷ自販宮城</t>
    <rPh sb="0" eb="4">
      <t>カブシキガイシャ</t>
    </rPh>
    <rPh sb="8" eb="10">
      <t>ジハン</t>
    </rPh>
    <rPh sb="10" eb="12">
      <t>ミヤギ</t>
    </rPh>
    <phoneticPr fontId="13"/>
  </si>
  <si>
    <t>27-684</t>
  </si>
  <si>
    <t>ﾉｰﾄ S</t>
    <phoneticPr fontId="13"/>
  </si>
  <si>
    <t>7/12/20</t>
    <phoneticPr fontId="13"/>
  </si>
  <si>
    <t>尾張小牧 534 も 823</t>
    <rPh sb="0" eb="4">
      <t>オワリコマキ</t>
    </rPh>
    <phoneticPr fontId="13"/>
  </si>
  <si>
    <t>A299591</t>
    <phoneticPr fontId="13"/>
  </si>
  <si>
    <t>E13-000926</t>
    <phoneticPr fontId="13"/>
  </si>
  <si>
    <t>岡崎 理津子</t>
    <rPh sb="0" eb="2">
      <t>オカザキ</t>
    </rPh>
    <rPh sb="3" eb="6">
      <t>リツコ</t>
    </rPh>
    <phoneticPr fontId="13"/>
  </si>
  <si>
    <t>27-685</t>
  </si>
  <si>
    <t>ﾑｰﾌﾞ X SA</t>
    <phoneticPr fontId="13"/>
  </si>
  <si>
    <t>7/11/27</t>
    <phoneticPr fontId="13"/>
  </si>
  <si>
    <t>いわき 580 ね 7586</t>
    <phoneticPr fontId="13"/>
  </si>
  <si>
    <t>ｷｬﾝｾﾙ</t>
    <phoneticPr fontId="13"/>
  </si>
  <si>
    <t>A296930</t>
    <phoneticPr fontId="13"/>
  </si>
  <si>
    <t>LA100S-1085746</t>
    <phoneticPr fontId="13"/>
  </si>
  <si>
    <t>田中 賢希</t>
    <rPh sb="0" eb="2">
      <t>タナカ</t>
    </rPh>
    <rPh sb="3" eb="4">
      <t>ケン</t>
    </rPh>
    <rPh sb="4" eb="5">
      <t>キ</t>
    </rPh>
    <phoneticPr fontId="13"/>
  </si>
  <si>
    <t>書類返送10/11</t>
    <rPh sb="0" eb="2">
      <t>ショルイ</t>
    </rPh>
    <rPh sb="2" eb="4">
      <t>ヘンソウ</t>
    </rPh>
    <phoneticPr fontId="13"/>
  </si>
  <si>
    <t>27-686</t>
  </si>
  <si>
    <t>ﾀﾌﾄ G</t>
    <phoneticPr fontId="13"/>
  </si>
  <si>
    <t>横浜 787 こ 358</t>
    <rPh sb="0" eb="2">
      <t>ヨコハマ</t>
    </rPh>
    <phoneticPr fontId="13"/>
  </si>
  <si>
    <t xml:space="preserve"> 取説</t>
  </si>
  <si>
    <t>LA900S-0029284</t>
    <phoneticPr fontId="13"/>
  </si>
  <si>
    <t>9/27</t>
    <phoneticPr fontId="13"/>
  </si>
  <si>
    <t>地図SD(車内)→ｽﾄｯｸ 保証書 取説 SD</t>
    <rPh sb="0" eb="2">
      <t>チズ</t>
    </rPh>
    <rPh sb="5" eb="7">
      <t>シャナイ</t>
    </rPh>
    <rPh sb="14" eb="17">
      <t>ホショウショ</t>
    </rPh>
    <rPh sb="18" eb="20">
      <t>トリセツ</t>
    </rPh>
    <phoneticPr fontId="13"/>
  </si>
  <si>
    <t>27-687</t>
  </si>
  <si>
    <t>25/2</t>
    <phoneticPr fontId="13"/>
  </si>
  <si>
    <t>大阪 542 の 8888</t>
    <rPh sb="0" eb="2">
      <t>オオサカ</t>
    </rPh>
    <phoneticPr fontId="13"/>
  </si>
  <si>
    <t>WMWZP32080TY79518</t>
    <phoneticPr fontId="13"/>
  </si>
  <si>
    <t>田中 勉</t>
    <rPh sb="0" eb="2">
      <t>タナカ</t>
    </rPh>
    <rPh sb="3" eb="4">
      <t>ベン</t>
    </rPh>
    <phoneticPr fontId="13"/>
  </si>
  <si>
    <t>ｷｰﾚｽ (車内)取説</t>
    <rPh sb="9" eb="11">
      <t>トリセツ</t>
    </rPh>
    <phoneticPr fontId="13"/>
  </si>
  <si>
    <t>27-688</t>
  </si>
  <si>
    <t>6/？</t>
    <phoneticPr fontId="13"/>
  </si>
  <si>
    <t>ｴﾌﾞﾘｨ PA 4WD</t>
    <phoneticPr fontId="13"/>
  </si>
  <si>
    <t>島根 480 ち 9675</t>
    <rPh sb="0" eb="2">
      <t>シマネ</t>
    </rPh>
    <phoneticPr fontId="13"/>
  </si>
  <si>
    <t>保証書 取説 ﾅﾝﾊﾞｰ</t>
  </si>
  <si>
    <t>480 ね 1334</t>
    <phoneticPr fontId="13"/>
  </si>
  <si>
    <t>DA17V-890305</t>
    <phoneticPr fontId="13"/>
  </si>
  <si>
    <t>株式会社ｽｽﾞｷ自販島根</t>
    <rPh sb="0" eb="4">
      <t>カブシキガイシャ</t>
    </rPh>
    <rPh sb="8" eb="10">
      <t>ジハン</t>
    </rPh>
    <rPh sb="10" eb="12">
      <t>シマネ</t>
    </rPh>
    <phoneticPr fontId="13"/>
  </si>
  <si>
    <t>保証書 取説 ﾅﾝﾊﾞｰ</t>
    <rPh sb="0" eb="3">
      <t>ホショウショ</t>
    </rPh>
    <rPh sb="4" eb="6">
      <t>トリセツ</t>
    </rPh>
    <phoneticPr fontId="13"/>
  </si>
  <si>
    <t>27-689</t>
  </si>
  <si>
    <t>ｴﾌﾞﾘｨ PAﾘﾐﾃｯﾄﾞ</t>
    <phoneticPr fontId="13"/>
  </si>
  <si>
    <t>香川 480 わ 2055</t>
    <rPh sb="0" eb="2">
      <t>カガワ</t>
    </rPh>
    <phoneticPr fontId="13"/>
  </si>
  <si>
    <t>保証書 取説 ﾚﾝﾀｶｰ</t>
  </si>
  <si>
    <t>480 ね 1336</t>
    <phoneticPr fontId="13"/>
  </si>
  <si>
    <t>DA17V-897113</t>
    <phoneticPr fontId="13"/>
  </si>
  <si>
    <t>株式会社ｺｰﾁｪ</t>
    <rPh sb="0" eb="4">
      <t>カブシキガイシャ</t>
    </rPh>
    <phoneticPr fontId="13"/>
  </si>
  <si>
    <t>保証書 取説 ﾚﾝﾀｶｰ</t>
    <rPh sb="0" eb="3">
      <t>ホショウショ</t>
    </rPh>
    <rPh sb="4" eb="6">
      <t>トリセツ</t>
    </rPh>
    <phoneticPr fontId="13"/>
  </si>
  <si>
    <t>27-690</t>
  </si>
  <si>
    <t>ﾑｰﾌﾞｷｬﾝﾊﾞｽ X ﾌﾞﾗｯｸｲﾝﾃﾘｱﾘﾐﾃｯﾄﾞ SA3</t>
    <phoneticPr fontId="13"/>
  </si>
  <si>
    <t>広島 586 の 417</t>
    <rPh sb="0" eb="2">
      <t>ヒロシマ</t>
    </rPh>
    <phoneticPr fontId="13"/>
  </si>
  <si>
    <t>582 い 1441</t>
    <phoneticPr fontId="13"/>
  </si>
  <si>
    <t>LA800S-0212677</t>
    <phoneticPr fontId="13"/>
  </si>
  <si>
    <t>取説 地図SD(車内)ﾅﾝﾊﾞｰ</t>
    <rPh sb="0" eb="2">
      <t>トリセツ</t>
    </rPh>
    <rPh sb="3" eb="5">
      <t>チズ</t>
    </rPh>
    <rPh sb="8" eb="10">
      <t>シャナイ</t>
    </rPh>
    <phoneticPr fontId="13"/>
  </si>
  <si>
    <t>27-691</t>
  </si>
  <si>
    <t>ﾐﾗｲｰｽ L</t>
    <phoneticPr fontId="13"/>
  </si>
  <si>
    <t>倉敷 580 ゆ 1352</t>
    <rPh sb="0" eb="2">
      <t>クラシキ</t>
    </rPh>
    <phoneticPr fontId="13"/>
  </si>
  <si>
    <t>LA300S-1399333</t>
    <phoneticPr fontId="13"/>
  </si>
  <si>
    <t>ﾄﾖﾀｶﾛｰﾗ岡山株式会社</t>
    <rPh sb="7" eb="9">
      <t>オカヤマ</t>
    </rPh>
    <rPh sb="9" eb="13">
      <t>カブシキガイシャ</t>
    </rPh>
    <phoneticPr fontId="13"/>
  </si>
  <si>
    <t>27-692</t>
  </si>
  <si>
    <t>ﾐﾗｲｰｽ L SA</t>
    <phoneticPr fontId="13"/>
  </si>
  <si>
    <t>倉敷 580 て 8131</t>
    <rPh sb="0" eb="2">
      <t>クラシキ</t>
    </rPh>
    <phoneticPr fontId="13"/>
  </si>
  <si>
    <t>LA300S-1270006</t>
    <phoneticPr fontId="13"/>
  </si>
  <si>
    <t>地図SD (車内)</t>
    <rPh sb="0" eb="2">
      <t>チズ</t>
    </rPh>
    <phoneticPr fontId="13"/>
  </si>
  <si>
    <t>27-693</t>
  </si>
  <si>
    <t>ﾎﾞﾙﾎﾞ V40 ｸﾛｽｶﾝﾄﾘｰ</t>
    <phoneticPr fontId="13"/>
  </si>
  <si>
    <t>福岡 342 の 512</t>
    <rPh sb="0" eb="2">
      <t>フクオカ</t>
    </rPh>
    <phoneticPr fontId="13"/>
  </si>
  <si>
    <t>YV1MZ402CK2181773</t>
    <phoneticPr fontId="13"/>
  </si>
  <si>
    <t>ﾄﾖﾀｶﾛｰﾗ博多株式会社</t>
    <rPh sb="7" eb="9">
      <t>ハカタ</t>
    </rPh>
    <rPh sb="9" eb="13">
      <t>カブシキガイシャ</t>
    </rPh>
    <phoneticPr fontId="13"/>
  </si>
  <si>
    <t>9/16</t>
    <phoneticPr fontId="13"/>
  </si>
  <si>
    <t>27-694</t>
  </si>
  <si>
    <t>ｽﾍﾟｰｼｱｶｽﾀﾑ  ﾊｲﾌﾞﾘｯﾄXS</t>
    <phoneticPr fontId="13"/>
  </si>
  <si>
    <t>品川 5P1 ろ 9860</t>
    <rPh sb="0" eb="2">
      <t>シナガワ</t>
    </rPh>
    <phoneticPr fontId="13"/>
  </si>
  <si>
    <t>MK53S-735128</t>
    <phoneticPr fontId="13"/>
  </si>
  <si>
    <t>取説 地図SD(車内)保証書</t>
    <rPh sb="0" eb="2">
      <t>トリセツ</t>
    </rPh>
    <rPh sb="3" eb="5">
      <t>チズ</t>
    </rPh>
    <rPh sb="11" eb="14">
      <t>ホショウショ</t>
    </rPh>
    <phoneticPr fontId="13"/>
  </si>
  <si>
    <t>27-695</t>
  </si>
  <si>
    <t>VW ｻﾞﾋﾞｰﾄﾙ ｶﾌﾞﾘｵﾚ</t>
    <phoneticPr fontId="13"/>
  </si>
  <si>
    <t>9/2/13</t>
    <phoneticPr fontId="13"/>
  </si>
  <si>
    <t>大宮 389 ほ 7788</t>
    <rPh sb="0" eb="2">
      <t>オオミヤ</t>
    </rPh>
    <phoneticPr fontId="13"/>
  </si>
  <si>
    <t>HAA売ｷｬﾝｾﾙ1271回80123</t>
    <rPh sb="3" eb="4">
      <t>ウ</t>
    </rPh>
    <rPh sb="13" eb="14">
      <t>カイ</t>
    </rPh>
    <phoneticPr fontId="13"/>
  </si>
  <si>
    <t>301 ね 3087</t>
    <phoneticPr fontId="13"/>
  </si>
  <si>
    <t>WVWZZZ16ZEM807730</t>
    <phoneticPr fontId="13"/>
  </si>
  <si>
    <t>久保 明</t>
    <rPh sb="0" eb="2">
      <t>クボ</t>
    </rPh>
    <rPh sb="3" eb="4">
      <t>アキラ</t>
    </rPh>
    <phoneticPr fontId="13"/>
  </si>
  <si>
    <r>
      <rPr>
        <sz val="11"/>
        <color theme="3"/>
        <rFont val="游ゴシック"/>
        <family val="3"/>
        <charset val="128"/>
        <scheme val="minor"/>
      </rPr>
      <t>取説 地図SD (車内)整備手帳</t>
    </r>
    <r>
      <rPr>
        <sz val="11"/>
        <color theme="4" tint="-0.499984740745262"/>
        <rFont val="游ゴシック"/>
        <family val="3"/>
        <charset val="128"/>
        <scheme val="minor"/>
      </rPr>
      <t xml:space="preserve"> ｷｰﾚｽ ﾅﾋﾞ取</t>
    </r>
    <rPh sb="0" eb="2">
      <t>トリセツ</t>
    </rPh>
    <rPh sb="3" eb="5">
      <t>チズ</t>
    </rPh>
    <rPh sb="12" eb="16">
      <t>セイビテチョウ</t>
    </rPh>
    <rPh sb="25" eb="26">
      <t>トリ</t>
    </rPh>
    <phoneticPr fontId="13"/>
  </si>
  <si>
    <t>27-696</t>
  </si>
  <si>
    <t>15/10</t>
    <phoneticPr fontId="13"/>
  </si>
  <si>
    <t>ｼﾞﾑﾆｰ  XC</t>
    <phoneticPr fontId="13"/>
  </si>
  <si>
    <t>京都 582 と 1239</t>
    <rPh sb="0" eb="2">
      <t>キョウト</t>
    </rPh>
    <phoneticPr fontId="13"/>
  </si>
  <si>
    <t xml:space="preserve">ﾅﾝﾊﾞｰ </t>
  </si>
  <si>
    <t>582 い 1377</t>
    <phoneticPr fontId="13"/>
  </si>
  <si>
    <t>JB23W-334711</t>
    <phoneticPr fontId="13"/>
  </si>
  <si>
    <t>塩尻 幸太</t>
    <rPh sb="0" eb="2">
      <t>シオジリ</t>
    </rPh>
    <rPh sb="3" eb="4">
      <t>ユキ</t>
    </rPh>
    <rPh sb="4" eb="5">
      <t>フトシ</t>
    </rPh>
    <phoneticPr fontId="13"/>
  </si>
  <si>
    <t>保証書 ﾅﾋﾞ取 ﾅﾝﾊﾞｰ</t>
    <rPh sb="0" eb="3">
      <t>ホショウショ</t>
    </rPh>
    <rPh sb="7" eb="8">
      <t>トリ</t>
    </rPh>
    <phoneticPr fontId="13"/>
  </si>
  <si>
    <t>27-697</t>
  </si>
  <si>
    <t>ﾌﾟｼﾞｮｰ 5008 ｱﾘｭｰﾙ</t>
    <phoneticPr fontId="13"/>
  </si>
  <si>
    <t>姫路 399 な 2843</t>
    <rPh sb="0" eb="2">
      <t>ヒメジ</t>
    </rPh>
    <phoneticPr fontId="13"/>
  </si>
  <si>
    <t>ｽﾍﾟｱｷｰ ﾐﾆB-CAS 地図SD</t>
  </si>
  <si>
    <t>VF3M45GZWHL054700</t>
    <phoneticPr fontId="13"/>
  </si>
  <si>
    <t>ﾈｯﾂﾄﾖﾀ兵庫株式会社</t>
    <rPh sb="6" eb="8">
      <t>ヒョウゴ</t>
    </rPh>
    <rPh sb="8" eb="12">
      <t>カブシキガイシャ</t>
    </rPh>
    <phoneticPr fontId="13"/>
  </si>
  <si>
    <t>取説 ｷｰﾚｽ 地図SD miniB-CAS</t>
    <rPh sb="0" eb="2">
      <t>トリセツ</t>
    </rPh>
    <rPh sb="8" eb="10">
      <t>チズ</t>
    </rPh>
    <phoneticPr fontId="13"/>
  </si>
  <si>
    <t>27-698</t>
  </si>
  <si>
    <t>ﾒﾙｾﾃﾞｽﾍﾞﾝﾂ CLA180</t>
    <phoneticPr fontId="13"/>
  </si>
  <si>
    <t>神戸 39A せ 3411</t>
    <rPh sb="0" eb="2">
      <t>コウベ</t>
    </rPh>
    <phoneticPr fontId="13"/>
  </si>
  <si>
    <t>ｴﾝｼﾞﾝｽﾀｰﾄﾎﾞﾀﾝ</t>
  </si>
  <si>
    <t>WDD1173422N554046</t>
    <phoneticPr fontId="13"/>
  </si>
  <si>
    <t>ｽﾀｰﾄﾎﾞﾀﾝ ｷｰﾚｽ</t>
    <phoneticPr fontId="13"/>
  </si>
  <si>
    <t>27-699</t>
  </si>
  <si>
    <t>24/5</t>
    <phoneticPr fontId="13"/>
  </si>
  <si>
    <t>MRﾜｺﾞﾝ 10ｱﾆﾊﾞｰｻﾘｰﾘﾐﾃｯﾄﾞ</t>
    <phoneticPr fontId="13"/>
  </si>
  <si>
    <t>7/5/17</t>
    <phoneticPr fontId="13"/>
  </si>
  <si>
    <t>四日市 580 か 2217</t>
    <rPh sb="0" eb="3">
      <t>ヨッカイチ</t>
    </rPh>
    <phoneticPr fontId="13"/>
  </si>
  <si>
    <t>抹消依頼済み</t>
  </si>
  <si>
    <t>MF33S-181939</t>
    <phoneticPr fontId="13"/>
  </si>
  <si>
    <t>SYED SHAH NIAZ HUSSAIN</t>
    <phoneticPr fontId="13"/>
  </si>
  <si>
    <t>27-700</t>
  </si>
  <si>
    <t>ﾀﾝﾄ L</t>
    <phoneticPr fontId="13"/>
  </si>
  <si>
    <t>9/3/29</t>
    <phoneticPr fontId="13"/>
  </si>
  <si>
    <t>富山 581 た 5345</t>
    <rPh sb="0" eb="2">
      <t>トヤマ</t>
    </rPh>
    <phoneticPr fontId="13"/>
  </si>
  <si>
    <t>582 い 944</t>
    <phoneticPr fontId="13"/>
  </si>
  <si>
    <t>LA660S-0057745</t>
    <phoneticPr fontId="13"/>
  </si>
  <si>
    <t>株式会社ｵﾘｺｵｰﾄﾘｰｽ</t>
    <rPh sb="0" eb="4">
      <t>カブシキガイシャ</t>
    </rPh>
    <phoneticPr fontId="13"/>
  </si>
  <si>
    <t>取説 ｽﾍﾟｱｷｰ ﾜﾝｵｰﾅｰ</t>
    <rPh sb="0" eb="2">
      <t>トリセツ</t>
    </rPh>
    <phoneticPr fontId="13"/>
  </si>
  <si>
    <t>27-701</t>
  </si>
  <si>
    <t>ﾀﾝﾄｶｽﾀﾑ X</t>
    <phoneticPr fontId="13"/>
  </si>
  <si>
    <t>8/4/13</t>
    <phoneticPr fontId="13"/>
  </si>
  <si>
    <t>伊豆 580 て 6424</t>
    <rPh sb="0" eb="2">
      <t>イズ</t>
    </rPh>
    <phoneticPr fontId="13"/>
  </si>
  <si>
    <t>582 い 1440</t>
    <phoneticPr fontId="13"/>
  </si>
  <si>
    <t>LA650S-0300018</t>
    <phoneticPr fontId="13"/>
  </si>
  <si>
    <t>三須 舞美</t>
    <rPh sb="0" eb="1">
      <t>サン</t>
    </rPh>
    <rPh sb="1" eb="2">
      <t>ス</t>
    </rPh>
    <rPh sb="3" eb="4">
      <t>マイ</t>
    </rPh>
    <rPh sb="4" eb="5">
      <t>ミ</t>
    </rPh>
    <phoneticPr fontId="13"/>
  </si>
  <si>
    <t>27-702</t>
  </si>
  <si>
    <t>ﾑｰﾌﾞｶｽﾀﾑ RS ﾊｲﾊﾟｰLTD</t>
    <phoneticPr fontId="13"/>
  </si>
  <si>
    <t>大阪 581 ま 9303</t>
    <rPh sb="0" eb="2">
      <t>オオサカ</t>
    </rPh>
    <phoneticPr fontId="13"/>
  </si>
  <si>
    <t>582 い 1439</t>
    <phoneticPr fontId="13"/>
  </si>
  <si>
    <t>LA150S-2020654</t>
    <phoneticPr fontId="13"/>
  </si>
  <si>
    <t>西日本三菱自動車株式会社</t>
    <rPh sb="0" eb="12">
      <t>ニシニホンミツビシジドウシャカブシキガイシャ</t>
    </rPh>
    <phoneticPr fontId="13"/>
  </si>
  <si>
    <t>保証書 ｽﾍﾟｱｷｰ  取説</t>
    <rPh sb="0" eb="3">
      <t>ホショウショ</t>
    </rPh>
    <rPh sb="12" eb="14">
      <t>トリセツ</t>
    </rPh>
    <phoneticPr fontId="13"/>
  </si>
  <si>
    <t>27-703</t>
  </si>
  <si>
    <t>ekｸﾛｽｽﾍﾟｰｽ T</t>
    <phoneticPr fontId="13"/>
  </si>
  <si>
    <t>神戸 594 ろ 1343</t>
    <rPh sb="0" eb="2">
      <t>コウベ</t>
    </rPh>
    <phoneticPr fontId="13"/>
  </si>
  <si>
    <t>保証書 取説 ﾏｲｸﾛSD ﾚﾝﾀｶｰ</t>
  </si>
  <si>
    <t>B35A-0007282</t>
    <phoneticPr fontId="13"/>
  </si>
  <si>
    <t>兵庫三菱自動車販売株式会社</t>
    <rPh sb="0" eb="2">
      <t>ヒョウゴ</t>
    </rPh>
    <rPh sb="2" eb="4">
      <t>ミツビシ</t>
    </rPh>
    <rPh sb="4" eb="7">
      <t>ジドウシャ</t>
    </rPh>
    <rPh sb="7" eb="9">
      <t>ハンバイ</t>
    </rPh>
    <rPh sb="9" eb="13">
      <t>カブシキガイシャ</t>
    </rPh>
    <phoneticPr fontId="13"/>
  </si>
  <si>
    <t>保証書 取説 ﾏｲｸﾛSD ﾅﾋﾞ取  ﾚﾝﾀｶｰ</t>
    <rPh sb="0" eb="3">
      <t>ホショウショ</t>
    </rPh>
    <rPh sb="4" eb="6">
      <t>トリセツ</t>
    </rPh>
    <rPh sb="17" eb="18">
      <t>トリ</t>
    </rPh>
    <phoneticPr fontId="13"/>
  </si>
  <si>
    <t>27-704</t>
  </si>
  <si>
    <t>8/8/31</t>
    <phoneticPr fontId="13"/>
  </si>
  <si>
    <t>名古屋 593 や 8000</t>
    <rPh sb="0" eb="3">
      <t>ナゴヤ</t>
    </rPh>
    <phoneticPr fontId="13"/>
  </si>
  <si>
    <t>保証書 取説 ﾅﾋﾞ ｽﾏｰﾄｷｰ ｷｬﾘｱｷｰ3個</t>
  </si>
  <si>
    <t>582 い 1317</t>
    <phoneticPr fontId="13"/>
  </si>
  <si>
    <t>DA17W-270519</t>
    <phoneticPr fontId="13"/>
  </si>
  <si>
    <t>保証書 取説 ﾅﾋﾞ取 ｷｰﾚｽ その他ｷｰ2個</t>
    <rPh sb="0" eb="3">
      <t>ホショウショ</t>
    </rPh>
    <rPh sb="4" eb="6">
      <t>トリセツ</t>
    </rPh>
    <rPh sb="10" eb="11">
      <t>トリ</t>
    </rPh>
    <rPh sb="19" eb="20">
      <t>タ</t>
    </rPh>
    <rPh sb="23" eb="24">
      <t>コ</t>
    </rPh>
    <phoneticPr fontId="13"/>
  </si>
  <si>
    <t>27-705</t>
  </si>
  <si>
    <t>N-BOXｶｽﾀﾑ L ﾀｰﾎﾞ</t>
    <phoneticPr fontId="13"/>
  </si>
  <si>
    <t>三重 582 そ 928</t>
    <rPh sb="0" eb="2">
      <t>ミエ</t>
    </rPh>
    <phoneticPr fontId="13"/>
  </si>
  <si>
    <t>保証書 ﾄﾞﾗﾚｺSD</t>
  </si>
  <si>
    <t>582 い 1454</t>
    <phoneticPr fontId="13"/>
  </si>
  <si>
    <t>JF3-2335462</t>
    <phoneticPr fontId="13"/>
  </si>
  <si>
    <t>三重日産自動車株式会社</t>
    <rPh sb="0" eb="2">
      <t>ミエ</t>
    </rPh>
    <rPh sb="2" eb="11">
      <t>ニッサンジドウシャカブシキガイシャ</t>
    </rPh>
    <phoneticPr fontId="13"/>
  </si>
  <si>
    <t>保証書 ｷｰﾚｽ ｴﾝﾀﾒSD ﾘﾓｺﾝ ﾏｲｸﾛSD</t>
    <rPh sb="0" eb="3">
      <t>ホショウショ</t>
    </rPh>
    <phoneticPr fontId="13"/>
  </si>
  <si>
    <t>27-706</t>
  </si>
  <si>
    <t>多摩 303 ち 4119</t>
    <rPh sb="0" eb="2">
      <t>タマ</t>
    </rPh>
    <phoneticPr fontId="13"/>
  </si>
  <si>
    <t>WMWXU92040TE41665</t>
    <phoneticPr fontId="13"/>
  </si>
  <si>
    <t>東京ｽﾊﾞﾙ株式会社</t>
    <rPh sb="0" eb="2">
      <t>トウキョウ</t>
    </rPh>
    <rPh sb="6" eb="10">
      <t>カブシキガイシャ</t>
    </rPh>
    <phoneticPr fontId="13"/>
  </si>
  <si>
    <t>27-707</t>
  </si>
  <si>
    <t>ﾙﾉｰﾄｩｲﾝｺﾞ S ﾘﾐﾃｯﾄﾞ</t>
    <phoneticPr fontId="13"/>
  </si>
  <si>
    <t>横浜 505 め 4764</t>
    <rPh sb="0" eb="2">
      <t>ヨコハマ</t>
    </rPh>
    <phoneticPr fontId="13"/>
  </si>
  <si>
    <t>VF1AH0002L0813260</t>
    <phoneticPr fontId="13"/>
  </si>
  <si>
    <t>株式会社ｻﾝｵｰﾀｽ</t>
    <rPh sb="0" eb="4">
      <t>カブシキガイシャ</t>
    </rPh>
    <phoneticPr fontId="13"/>
  </si>
  <si>
    <t>27-708</t>
  </si>
  <si>
    <t>ﾀﾝﾄ Xｾﾚｸｼｮﾝ</t>
    <phoneticPr fontId="13"/>
  </si>
  <si>
    <t>7/11/23</t>
    <phoneticPr fontId="13"/>
  </si>
  <si>
    <t>和泉 595 も 5296</t>
    <rPh sb="0" eb="2">
      <t>イズミ</t>
    </rPh>
    <phoneticPr fontId="13"/>
  </si>
  <si>
    <t>LA650S-0108180</t>
    <phoneticPr fontId="13"/>
  </si>
  <si>
    <t>27-709</t>
  </si>
  <si>
    <t>ﾊｽﾗｰ Jｽﾀｲﾙ</t>
    <phoneticPr fontId="13"/>
  </si>
  <si>
    <t>三重 582 い 51</t>
    <rPh sb="0" eb="2">
      <t>ミエ</t>
    </rPh>
    <phoneticPr fontId="13"/>
  </si>
  <si>
    <t>582 い 1257</t>
    <phoneticPr fontId="13"/>
  </si>
  <si>
    <t>MR92S-197672</t>
    <phoneticPr fontId="13"/>
  </si>
  <si>
    <t>ｴﾌｴﾙｼｰ株式会社</t>
    <rPh sb="6" eb="10">
      <t>カブシキガイシャ</t>
    </rPh>
    <phoneticPr fontId="13"/>
  </si>
  <si>
    <t>27-710</t>
    <phoneticPr fontId="13"/>
  </si>
  <si>
    <t>ｺﾍﾟﾝ ｱﾙﾃｨﾒｯﾄｴﾃﾞｨｼｮﾝS</t>
    <phoneticPr fontId="13"/>
  </si>
  <si>
    <t>なにわ 5P6 ろ 2781</t>
    <phoneticPr fontId="13"/>
  </si>
  <si>
    <t>L880K-0057220</t>
    <phoneticPr fontId="13"/>
  </si>
  <si>
    <t>27-711</t>
  </si>
  <si>
    <t>ﾙﾉｰ ｶﾝｸﾞｰ ｾﾞﾝ</t>
    <phoneticPr fontId="13"/>
  </si>
  <si>
    <t>滋賀 351 に 330</t>
    <rPh sb="0" eb="2">
      <t>シガ</t>
    </rPh>
    <phoneticPr fontId="13"/>
  </si>
  <si>
    <t>301 ね 2500</t>
    <phoneticPr fontId="13"/>
  </si>
  <si>
    <t>VF1KWB2B6K0802435</t>
    <phoneticPr fontId="13"/>
  </si>
  <si>
    <t>27-712</t>
  </si>
  <si>
    <t>ﾌｨｯﾄ eHEV</t>
    <phoneticPr fontId="13"/>
  </si>
  <si>
    <t>7/10/30</t>
    <phoneticPr fontId="13"/>
  </si>
  <si>
    <t>豊田 533 ほ 3588</t>
    <rPh sb="0" eb="2">
      <t>トヨタ</t>
    </rPh>
    <phoneticPr fontId="13"/>
  </si>
  <si>
    <t>A300547</t>
    <phoneticPr fontId="13"/>
  </si>
  <si>
    <t>GR3-1303330</t>
    <phoneticPr fontId="13"/>
  </si>
  <si>
    <t>杉山 智基</t>
    <rPh sb="0" eb="2">
      <t>スギヤマ</t>
    </rPh>
    <rPh sb="3" eb="5">
      <t>トモキ</t>
    </rPh>
    <phoneticPr fontId="13"/>
  </si>
  <si>
    <t>27-713</t>
  </si>
  <si>
    <t>ﾙｰｸｽ ﾊｲｳｪｲｽﾀｰ</t>
    <phoneticPr fontId="13"/>
  </si>
  <si>
    <t>9/6/1</t>
    <phoneticPr fontId="13"/>
  </si>
  <si>
    <t>八王子 581 け 8079</t>
    <rPh sb="0" eb="3">
      <t>ハチオウジ</t>
    </rPh>
    <phoneticPr fontId="13"/>
  </si>
  <si>
    <t>A300015</t>
    <phoneticPr fontId="13"/>
  </si>
  <si>
    <t>ML21S-594219</t>
    <phoneticPr fontId="13"/>
  </si>
  <si>
    <t>小川 隼人</t>
    <rPh sb="0" eb="2">
      <t>オガワ</t>
    </rPh>
    <rPh sb="3" eb="4">
      <t>シュン</t>
    </rPh>
    <rPh sb="4" eb="5">
      <t>ヒト</t>
    </rPh>
    <phoneticPr fontId="13"/>
  </si>
  <si>
    <t>地図SD(車内)保証書 取説 ﾅﾋﾞ取 ｷｰﾚｽ</t>
    <rPh sb="8" eb="11">
      <t>ホショウショ</t>
    </rPh>
    <rPh sb="12" eb="14">
      <t>トリセツ</t>
    </rPh>
    <rPh sb="18" eb="19">
      <t>トリ</t>
    </rPh>
    <phoneticPr fontId="13"/>
  </si>
  <si>
    <t>27-714</t>
  </si>
  <si>
    <t>ｳﾞｫｸｼｰ ﾊｲﾌﾞﾘｯﾄZS 煌 3</t>
    <rPh sb="17" eb="18">
      <t>キラメ</t>
    </rPh>
    <phoneticPr fontId="13"/>
  </si>
  <si>
    <t>7/11/9</t>
    <phoneticPr fontId="13"/>
  </si>
  <si>
    <t>川崎 301 ち 7322</t>
    <rPh sb="0" eb="2">
      <t>カワサキ</t>
    </rPh>
    <phoneticPr fontId="13"/>
  </si>
  <si>
    <t>A298456</t>
    <phoneticPr fontId="13"/>
  </si>
  <si>
    <t>ZWR80-0476467</t>
    <phoneticPr fontId="13"/>
  </si>
  <si>
    <t>齋川　浩一</t>
    <rPh sb="0" eb="2">
      <t>サイカワ</t>
    </rPh>
    <rPh sb="3" eb="5">
      <t>コウイチ</t>
    </rPh>
    <phoneticPr fontId="13"/>
  </si>
  <si>
    <t>27-715</t>
  </si>
  <si>
    <t>柏 586 を 33</t>
    <rPh sb="0" eb="1">
      <t>カシワ</t>
    </rPh>
    <phoneticPr fontId="13"/>
  </si>
  <si>
    <t>LA900S-0056312</t>
    <phoneticPr fontId="13"/>
  </si>
  <si>
    <t>小川 哲也</t>
    <rPh sb="0" eb="2">
      <t>オガワ</t>
    </rPh>
    <rPh sb="3" eb="5">
      <t>テツヤ</t>
    </rPh>
    <phoneticPr fontId="13"/>
  </si>
  <si>
    <t>10/3</t>
    <phoneticPr fontId="13"/>
  </si>
  <si>
    <t>27-716</t>
  </si>
  <si>
    <t>神戸 588 き 501</t>
    <rPh sb="0" eb="2">
      <t>コウベ</t>
    </rPh>
    <phoneticPr fontId="13"/>
  </si>
  <si>
    <t>JF3-1154413</t>
    <phoneticPr fontId="13"/>
  </si>
  <si>
    <t>11/6</t>
    <phoneticPr fontId="13"/>
  </si>
  <si>
    <t>27-717</t>
  </si>
  <si>
    <t xml:space="preserve">ﾊｽﾗｰ </t>
    <phoneticPr fontId="13"/>
  </si>
  <si>
    <t>なにわ 5P3 ろ 5846</t>
    <phoneticPr fontId="13"/>
  </si>
  <si>
    <t>MR31S-119324</t>
    <phoneticPr fontId="13"/>
  </si>
  <si>
    <t>27-718</t>
  </si>
  <si>
    <t>ｽﾃﾗ L ｽﾏｰﾄｱｼｽﾄ</t>
    <phoneticPr fontId="13"/>
  </si>
  <si>
    <t>8/1/29</t>
    <phoneticPr fontId="13"/>
  </si>
  <si>
    <t>広島 582 す 712</t>
    <rPh sb="0" eb="2">
      <t>ヒロシマ</t>
    </rPh>
    <phoneticPr fontId="13"/>
  </si>
  <si>
    <t>582 い 1083</t>
    <phoneticPr fontId="13"/>
  </si>
  <si>
    <t>LA150F-0001989</t>
    <phoneticPr fontId="13"/>
  </si>
  <si>
    <t>新畠 健太</t>
    <rPh sb="0" eb="1">
      <t>シン</t>
    </rPh>
    <rPh sb="1" eb="2">
      <t>ハタケ</t>
    </rPh>
    <rPh sb="3" eb="5">
      <t>ケンタ</t>
    </rPh>
    <phoneticPr fontId="13"/>
  </si>
  <si>
    <t>27-719</t>
  </si>
  <si>
    <t>ﾐﾗｲｰｽ G ﾘﾐﾃｯﾄﾞ</t>
    <phoneticPr fontId="13"/>
  </si>
  <si>
    <t>8/2/18</t>
    <phoneticPr fontId="13"/>
  </si>
  <si>
    <t>倉敷 580 よ 702</t>
    <rPh sb="0" eb="2">
      <t>クラシキ</t>
    </rPh>
    <phoneticPr fontId="13"/>
  </si>
  <si>
    <t>582 い 1438</t>
    <phoneticPr fontId="13"/>
  </si>
  <si>
    <t>LA350S-0139414</t>
    <phoneticPr fontId="13"/>
  </si>
  <si>
    <t>磯部 浩紀</t>
    <rPh sb="0" eb="2">
      <t>イソベ</t>
    </rPh>
    <rPh sb="3" eb="5">
      <t>ヒロキ</t>
    </rPh>
    <phoneticPr fontId="13"/>
  </si>
  <si>
    <t>27-720</t>
  </si>
  <si>
    <t>ｱﾙﾄﾜｰｸｽ</t>
    <phoneticPr fontId="13"/>
  </si>
  <si>
    <t>8/9/3</t>
    <phoneticPr fontId="13"/>
  </si>
  <si>
    <t>福山 580 よ 7019</t>
    <rPh sb="0" eb="2">
      <t>フクヤマ</t>
    </rPh>
    <phoneticPr fontId="13"/>
  </si>
  <si>
    <t>582 い 947</t>
    <phoneticPr fontId="13"/>
  </si>
  <si>
    <t>HA36S-871547</t>
    <phoneticPr fontId="13"/>
  </si>
  <si>
    <t>池口 進一</t>
    <rPh sb="0" eb="2">
      <t>イケグチ</t>
    </rPh>
    <rPh sb="3" eb="5">
      <t>シンイチ</t>
    </rPh>
    <phoneticPr fontId="13"/>
  </si>
  <si>
    <t>27-721</t>
  </si>
  <si>
    <t>ﾎﾞﾙﾎﾞ V90 D4 ﾉﾙﾃﾞｨｯｸｴﾃﾞｨｼｮﾝ</t>
    <phoneticPr fontId="13"/>
  </si>
  <si>
    <t>8/12/25</t>
    <phoneticPr fontId="13"/>
  </si>
  <si>
    <t>岡山 31L も 8</t>
    <rPh sb="0" eb="2">
      <t>オカヤマ</t>
    </rPh>
    <phoneticPr fontId="13"/>
  </si>
  <si>
    <t>YV1PWA8MDK1106272</t>
    <phoneticPr fontId="13"/>
  </si>
  <si>
    <t>株式会社ｶｰｳﾞｨﾚﾁﾞ</t>
    <rPh sb="0" eb="4">
      <t>カブシキガイシャ</t>
    </rPh>
    <phoneticPr fontId="13"/>
  </si>
  <si>
    <t>ｷｰﾚｽ (車内)保証書 取説</t>
    <rPh sb="9" eb="12">
      <t>ホショウショ</t>
    </rPh>
    <rPh sb="13" eb="15">
      <t>トリセツ</t>
    </rPh>
    <phoneticPr fontId="13"/>
  </si>
  <si>
    <t>27-722</t>
  </si>
  <si>
    <t>8/3/26</t>
    <phoneticPr fontId="13"/>
  </si>
  <si>
    <t>大阪 337 ふ 3223</t>
    <rPh sb="0" eb="2">
      <t>オオサカ</t>
    </rPh>
    <phoneticPr fontId="13"/>
  </si>
  <si>
    <t>竹下様</t>
    <rPh sb="0" eb="2">
      <t>タケシタ</t>
    </rPh>
    <rPh sb="2" eb="3">
      <t>サマ</t>
    </rPh>
    <phoneticPr fontId="13"/>
  </si>
  <si>
    <t>WMWXR520X0TV10270</t>
    <phoneticPr fontId="13"/>
  </si>
  <si>
    <t>安田 滉斗</t>
    <rPh sb="0" eb="2">
      <t>ヤスダ</t>
    </rPh>
    <rPh sb="3" eb="4">
      <t>コウ</t>
    </rPh>
    <rPh sb="4" eb="5">
      <t>ト</t>
    </rPh>
    <phoneticPr fontId="13"/>
  </si>
  <si>
    <t>27-723</t>
  </si>
  <si>
    <t>BMW X1</t>
    <phoneticPr fontId="13"/>
  </si>
  <si>
    <t>熊本 366 め 1188</t>
    <rPh sb="0" eb="2">
      <t>クマモト</t>
    </rPh>
    <phoneticPr fontId="13"/>
  </si>
  <si>
    <t>WBAHT920205N32913</t>
    <phoneticPr fontId="13"/>
  </si>
  <si>
    <t>27-724</t>
  </si>
  <si>
    <t>ﾌﾟｼﾞｮｰ 208 GT</t>
    <phoneticPr fontId="13"/>
  </si>
  <si>
    <t>熊本 301 み 8794</t>
    <rPh sb="0" eb="2">
      <t>クマモト</t>
    </rPh>
    <phoneticPr fontId="13"/>
  </si>
  <si>
    <t>VR3UPHNKSNT039347</t>
    <phoneticPr fontId="13"/>
  </si>
  <si>
    <t>株式会社九州ﾕｰﾎﾟｽ</t>
    <rPh sb="0" eb="4">
      <t>カブシキガイシャ</t>
    </rPh>
    <rPh sb="4" eb="6">
      <t>キュウシュウ</t>
    </rPh>
    <phoneticPr fontId="13"/>
  </si>
  <si>
    <t>27-725</t>
  </si>
  <si>
    <t xml:space="preserve">ｱﾊﾞﾙﾄ595 ｺﾝﾍﾟﾃｨﾂｨｵｰﾈ </t>
    <phoneticPr fontId="13"/>
  </si>
  <si>
    <t>品川 59F さ 8182</t>
    <rPh sb="0" eb="2">
      <t>シナガワ</t>
    </rPh>
    <phoneticPr fontId="13"/>
  </si>
  <si>
    <t>ZFA3120000JC23982</t>
    <phoneticPr fontId="13"/>
  </si>
  <si>
    <t>若佐 智治</t>
    <rPh sb="0" eb="1">
      <t>ワカ</t>
    </rPh>
    <rPh sb="1" eb="2">
      <t>タスク</t>
    </rPh>
    <rPh sb="3" eb="5">
      <t>トモハル</t>
    </rPh>
    <phoneticPr fontId="13"/>
  </si>
  <si>
    <t>27-726</t>
  </si>
  <si>
    <t>ｱﾙﾄﾗﾊﾟﾝｼｮｺﾗ X ｵｰﾃﾞｨｵ</t>
    <phoneticPr fontId="13"/>
  </si>
  <si>
    <t>7/12/24</t>
    <phoneticPr fontId="13"/>
  </si>
  <si>
    <t>尾張小牧 581 い 3137</t>
    <rPh sb="0" eb="4">
      <t>オワリコマキ</t>
    </rPh>
    <phoneticPr fontId="13"/>
  </si>
  <si>
    <t>A299959</t>
    <phoneticPr fontId="13"/>
  </si>
  <si>
    <t>HE22S-849281</t>
    <phoneticPr fontId="13"/>
  </si>
  <si>
    <t>中條 悦子</t>
    <rPh sb="0" eb="2">
      <t>ナカジョウ</t>
    </rPh>
    <rPh sb="3" eb="5">
      <t>エツコ</t>
    </rPh>
    <phoneticPr fontId="13"/>
  </si>
  <si>
    <t>27-727</t>
  </si>
  <si>
    <t>20/10</t>
    <phoneticPr fontId="13"/>
  </si>
  <si>
    <t>ﾐﾗｼﾞｰﾉ ﾌﾟﾚﾐｱﾑ X</t>
    <phoneticPr fontId="13"/>
  </si>
  <si>
    <t>奈良 584 ろ 1216</t>
    <rPh sb="0" eb="2">
      <t>ナラ</t>
    </rPh>
    <phoneticPr fontId="13"/>
  </si>
  <si>
    <t>L650S-0075674</t>
    <phoneticPr fontId="13"/>
  </si>
  <si>
    <t>株式会社ﾛｰﾄﾞｶｰ</t>
    <rPh sb="0" eb="4">
      <t>カブシキガイシャ</t>
    </rPh>
    <phoneticPr fontId="13"/>
  </si>
  <si>
    <t>27-728</t>
  </si>
  <si>
    <t xml:space="preserve">N-WGNｶｽﾀﾑ G </t>
    <phoneticPr fontId="13"/>
  </si>
  <si>
    <t>京都 581 と 1912</t>
    <rPh sb="0" eb="2">
      <t>キョウト</t>
    </rPh>
    <phoneticPr fontId="13"/>
  </si>
  <si>
    <t>JH1-1324762</t>
    <phoneticPr fontId="13"/>
  </si>
  <si>
    <t>福嶋 正人</t>
    <rPh sb="0" eb="1">
      <t>フク</t>
    </rPh>
    <rPh sb="1" eb="2">
      <t>シマ</t>
    </rPh>
    <rPh sb="3" eb="5">
      <t>マサト</t>
    </rPh>
    <phoneticPr fontId="13"/>
  </si>
  <si>
    <t>保証書 取説 ﾅﾋﾞ取 ｷｰﾚｽ 地図SD</t>
    <rPh sb="0" eb="3">
      <t>ホショウショ</t>
    </rPh>
    <rPh sb="4" eb="6">
      <t>トリセツ</t>
    </rPh>
    <rPh sb="10" eb="11">
      <t>トリ</t>
    </rPh>
    <rPh sb="17" eb="19">
      <t>チズ</t>
    </rPh>
    <phoneticPr fontId="13"/>
  </si>
  <si>
    <t>品番；CN-RE03D</t>
    <rPh sb="0" eb="2">
      <t>ヒンバン</t>
    </rPh>
    <phoneticPr fontId="13"/>
  </si>
  <si>
    <t>27-729</t>
  </si>
  <si>
    <t>7/12/25</t>
    <phoneticPr fontId="13"/>
  </si>
  <si>
    <t>なにわ 583 よ 322</t>
    <phoneticPr fontId="13"/>
  </si>
  <si>
    <t>582 い 1258</t>
    <phoneticPr fontId="13"/>
  </si>
  <si>
    <t>DA17W-167351</t>
    <phoneticPr fontId="13"/>
  </si>
  <si>
    <t>隅垣 麻里</t>
    <rPh sb="0" eb="1">
      <t>スミ</t>
    </rPh>
    <rPh sb="1" eb="2">
      <t>カキ</t>
    </rPh>
    <rPh sb="3" eb="5">
      <t>マリ</t>
    </rPh>
    <phoneticPr fontId="13"/>
  </si>
  <si>
    <t>保証書 取説 (車内)</t>
    <rPh sb="0" eb="3">
      <t>ホショウショ</t>
    </rPh>
    <rPh sb="4" eb="6">
      <t>トリセツ</t>
    </rPh>
    <rPh sb="8" eb="10">
      <t>シャナイ</t>
    </rPh>
    <phoneticPr fontId="13"/>
  </si>
  <si>
    <t>27-730</t>
  </si>
  <si>
    <t>ｱﾙﾌｧﾛﾒｵ ｳﾞｪﾛｰﾁｪ</t>
    <phoneticPr fontId="13"/>
  </si>
  <si>
    <t>8/4/14</t>
    <phoneticPr fontId="13"/>
  </si>
  <si>
    <t>京都 346 み 228</t>
    <rPh sb="0" eb="2">
      <t>キョウト</t>
    </rPh>
    <phoneticPr fontId="13"/>
  </si>
  <si>
    <t>ZAR94000007551522</t>
    <phoneticPr fontId="13"/>
  </si>
  <si>
    <t>保証書 取説 ｷｰﾚｽ ｺｰﾄﾞｶｰﾄﾞ</t>
    <rPh sb="0" eb="3">
      <t>ホショウショ</t>
    </rPh>
    <rPh sb="4" eb="6">
      <t>トリセツ</t>
    </rPh>
    <phoneticPr fontId="13"/>
  </si>
  <si>
    <t>27-731</t>
  </si>
  <si>
    <t xml:space="preserve">ｴﾌﾞﾘｲﾜｺﾞﾝ PZﾀｰﾎﾞ </t>
    <phoneticPr fontId="13"/>
  </si>
  <si>
    <t>品川 5P9 ろ 9644</t>
    <rPh sb="0" eb="2">
      <t>シナガワ</t>
    </rPh>
    <phoneticPr fontId="13"/>
  </si>
  <si>
    <t>DA17W-351676</t>
    <phoneticPr fontId="13"/>
  </si>
  <si>
    <t>昭和ﾘｰｽ株式会社</t>
    <rPh sb="0" eb="2">
      <t>ショウワ</t>
    </rPh>
    <rPh sb="5" eb="9">
      <t>カブシキガイシャ</t>
    </rPh>
    <phoneticPr fontId="13"/>
  </si>
  <si>
    <t>27-732</t>
  </si>
  <si>
    <t>ｼﾞｰﾌﾟ ﾚﾈｹﾞｰﾄ ﾘﾐﾃｯﾄﾞ</t>
    <phoneticPr fontId="13"/>
  </si>
  <si>
    <t>市川 310 ぬ 5884</t>
    <rPh sb="0" eb="2">
      <t>イチカワ</t>
    </rPh>
    <phoneticPr fontId="13"/>
  </si>
  <si>
    <t>1C4BU0000LP69463</t>
    <phoneticPr fontId="13"/>
  </si>
  <si>
    <t>ﾔﾅｾｵｰﾄﾓｰﾃｨﾌﾞ株式会社</t>
    <rPh sb="12" eb="16">
      <t>カブシキガイシャ</t>
    </rPh>
    <phoneticPr fontId="13"/>
  </si>
  <si>
    <t>27-733</t>
  </si>
  <si>
    <t>ｱｳﾃﾞｨA3 ｽﾎﾟｰﾂﾊﾞｯｸ</t>
    <phoneticPr fontId="13"/>
  </si>
  <si>
    <t>名古屋 307 ゆ 7273</t>
    <rPh sb="0" eb="3">
      <t>ナゴヤ</t>
    </rPh>
    <phoneticPr fontId="13"/>
  </si>
  <si>
    <t>WAUZZZ8V0LA011402</t>
    <phoneticPr fontId="13"/>
  </si>
  <si>
    <t>27-734</t>
  </si>
  <si>
    <t>28/1</t>
    <phoneticPr fontId="13"/>
  </si>
  <si>
    <t>BMWﾐﾆﾜﾝ 5ﾄﾞｱ</t>
    <phoneticPr fontId="13"/>
  </si>
  <si>
    <t>石川 399 せ 6952</t>
    <rPh sb="0" eb="2">
      <t>イシカワ</t>
    </rPh>
    <phoneticPr fontId="13"/>
  </si>
  <si>
    <t>WMWXS120902C74104</t>
    <phoneticPr fontId="13"/>
  </si>
  <si>
    <t>株式会社ｲｰﾋﾟｰｴﾑｺｰﾎﾟﾚｰｼｮﾝ</t>
    <rPh sb="0" eb="4">
      <t>カブシキガイシャ</t>
    </rPh>
    <phoneticPr fontId="1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</si>
</sst>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_);[Red]\(0\)"/>
    <numFmt numFmtId="177" formatCode="#,##0_);[Red]\(#,##0\)"/>
    <numFmt numFmtId="178" formatCode="&quot;姫路 &quot;@\ "/>
    <numFmt numFmtId="179" formatCode="###&quot;回&quot;"/>
    <numFmt numFmtId="180" formatCode="[Blue]General"/>
    <numFmt numFmtId="181" formatCode="####&quot;回&quot;"/>
    <numFmt numFmtId="182" formatCode="m&quot;月&quot;d&quot;日&quot;;@"/>
    <numFmt numFmtId="183" formatCode="#,##0_ "/>
  </numFmts>
  <fonts count="48">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i/>
      <sz val="11"/>
      <color rgb="FF0000FF"/>
      <name val="游ゴシック"/>
      <family val="3"/>
      <charset val="128"/>
    </font>
    <font>
      <b/>
      <i/>
      <sz val="11"/>
      <color rgb="FFFF0000"/>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sz val="11"/>
      <color theme="1"/>
      <name val="游ゴシック"/>
      <family val="2"/>
      <charset val="128"/>
      <scheme val="minor"/>
    </font>
    <font>
      <b/>
      <sz val="11"/>
      <color rgb="FF0070C0"/>
      <name val="游ゴシック"/>
      <family val="3"/>
      <charset val="128"/>
      <scheme val="minor"/>
    </font>
    <font>
      <sz val="12"/>
      <color theme="1"/>
      <name val="游ゴシック"/>
      <family val="3"/>
      <charset val="128"/>
      <scheme val="minor"/>
    </font>
    <font>
      <b/>
      <sz val="10"/>
      <color theme="1"/>
      <name val="游ゴシック"/>
      <family val="3"/>
      <charset val="128"/>
      <scheme val="minor"/>
    </font>
    <font>
      <sz val="11"/>
      <name val="游ゴシック"/>
      <family val="3"/>
      <charset val="128"/>
      <scheme val="minor"/>
    </font>
    <font>
      <b/>
      <sz val="12"/>
      <color rgb="FFFF0000"/>
      <name val="游ゴシック"/>
      <family val="3"/>
      <charset val="128"/>
      <scheme val="minor"/>
    </font>
    <font>
      <sz val="11"/>
      <color theme="4" tint="-0.499984740745262"/>
      <name val="游ゴシック"/>
      <family val="3"/>
      <charset val="128"/>
      <scheme val="minor"/>
    </font>
    <font>
      <sz val="9"/>
      <color indexed="81"/>
      <name val="MS P ゴシック"/>
      <family val="3"/>
      <charset val="128"/>
    </font>
    <font>
      <b/>
      <sz val="11"/>
      <color theme="4" tint="-0.499984740745262"/>
      <name val="游ゴシック"/>
      <family val="3"/>
      <charset val="128"/>
      <scheme val="minor"/>
    </font>
    <font>
      <b/>
      <sz val="11"/>
      <color rgb="FF0000FF"/>
      <name val="游ゴシック"/>
      <family val="3"/>
      <charset val="128"/>
    </font>
    <font>
      <b/>
      <i/>
      <sz val="11"/>
      <color rgb="FF008000"/>
      <name val="游ゴシック"/>
      <family val="3"/>
      <charset val="128"/>
    </font>
    <font>
      <b/>
      <i/>
      <sz val="11"/>
      <color rgb="FF993366"/>
      <name val="游ゴシック"/>
      <family val="3"/>
      <charset val="128"/>
    </font>
    <font>
      <sz val="10"/>
      <color theme="1"/>
      <name val="游ゴシック"/>
      <family val="3"/>
      <charset val="128"/>
      <scheme val="minor"/>
    </font>
    <font>
      <sz val="11"/>
      <color rgb="FFC00000"/>
      <name val="游ゴシック"/>
      <family val="3"/>
      <charset val="128"/>
      <scheme val="minor"/>
    </font>
    <font>
      <sz val="11"/>
      <color theme="1" tint="4.9989318521683403E-2"/>
      <name val="游ゴシック"/>
      <family val="3"/>
      <charset val="128"/>
      <scheme val="minor"/>
    </font>
    <font>
      <sz val="11"/>
      <color theme="4" tint="-0.499984740745262"/>
      <name val="ＭＳ Ｐゴシック"/>
      <family val="3"/>
      <charset val="128"/>
    </font>
    <font>
      <sz val="11"/>
      <color theme="4" tint="-0.249977111117893"/>
      <name val="ＭＳ Ｐゴシック"/>
      <family val="3"/>
      <charset val="128"/>
    </font>
    <font>
      <sz val="11"/>
      <color theme="9" tint="-0.249977111117893"/>
      <name val="游ゴシック"/>
      <family val="3"/>
      <charset val="128"/>
      <scheme val="minor"/>
    </font>
    <font>
      <sz val="11"/>
      <color theme="9"/>
      <name val="游ゴシック"/>
      <family val="3"/>
      <charset val="128"/>
      <scheme val="minor"/>
    </font>
    <font>
      <sz val="9"/>
      <color theme="1"/>
      <name val="游ゴシック"/>
      <family val="3"/>
      <charset val="128"/>
      <scheme val="minor"/>
    </font>
    <font>
      <sz val="11"/>
      <color theme="8"/>
      <name val="游ゴシック"/>
      <family val="3"/>
      <charset val="128"/>
      <scheme val="minor"/>
    </font>
    <font>
      <sz val="9"/>
      <name val="游ゴシック"/>
      <family val="3"/>
      <charset val="128"/>
      <scheme val="minor"/>
    </font>
    <font>
      <sz val="11"/>
      <color theme="3"/>
      <name val="游ゴシック"/>
      <family val="3"/>
      <charset val="128"/>
      <scheme val="minor"/>
    </font>
    <font>
      <sz val="11"/>
      <color theme="4" tint="-0.249977111117893"/>
      <name val="游ゴシック"/>
      <family val="3"/>
      <charset val="128"/>
      <scheme val="minor"/>
    </font>
    <font>
      <sz val="8"/>
      <color theme="1"/>
      <name val="游ゴシック"/>
      <family val="3"/>
      <charset val="128"/>
      <scheme val="minor"/>
    </font>
    <font>
      <sz val="10"/>
      <color theme="4" tint="-0.499984740745262"/>
      <name val="游ゴシック"/>
      <family val="3"/>
      <charset val="128"/>
      <scheme val="minor"/>
    </font>
    <font>
      <sz val="9"/>
      <color theme="4" tint="-0.499984740745262"/>
      <name val="游ゴシック"/>
      <family val="3"/>
      <charset val="128"/>
      <scheme val="minor"/>
    </font>
  </fonts>
  <fills count="15">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
      <patternFill patternType="solid">
        <fgColor rgb="FFFFF2CC"/>
        <bgColor indexed="64"/>
      </patternFill>
    </fill>
    <fill>
      <patternFill patternType="solid">
        <fgColor theme="6" tint="0.79995117038483843"/>
        <bgColor indexed="64"/>
      </patternFill>
    </fill>
    <fill>
      <patternFill patternType="solid">
        <fgColor theme="5" tint="0.79995117038483843"/>
        <bgColor indexed="64"/>
      </patternFill>
    </fill>
    <fill>
      <patternFill patternType="solid">
        <fgColor theme="6"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BFFF"/>
        <bgColor indexed="64"/>
      </patternFill>
    </fill>
    <fill>
      <patternFill patternType="solid">
        <fgColor rgb="FFFF6347"/>
        <bgColor indexed="64"/>
      </patternFill>
    </fill>
  </fills>
  <borders count="61">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diagonal/>
    </border>
    <border>
      <left style="thin">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thin">
        <color auto="1"/>
      </left>
      <right/>
      <top/>
      <bottom/>
      <diagonal/>
    </border>
    <border>
      <left style="thin">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medium">
        <color auto="1"/>
      </bottom>
      <diagonal/>
    </border>
    <border>
      <left style="thin">
        <color auto="1"/>
      </left>
      <right style="double">
        <color auto="1"/>
      </right>
      <top style="thin">
        <color auto="1"/>
      </top>
      <bottom style="medium">
        <color auto="1"/>
      </bottom>
      <diagonal/>
    </border>
    <border>
      <left style="double">
        <color auto="1"/>
      </left>
      <right style="thin">
        <color auto="1"/>
      </right>
      <top style="thin">
        <color auto="1"/>
      </top>
      <bottom style="medium">
        <color auto="1"/>
      </bottom>
      <diagonal/>
    </border>
    <border>
      <left style="thin">
        <color auto="1"/>
      </left>
      <right/>
      <top/>
      <bottom style="thin">
        <color auto="1"/>
      </bottom>
      <diagonal/>
    </border>
    <border>
      <left style="double">
        <color auto="1"/>
      </left>
      <right/>
      <top style="medium">
        <color auto="1"/>
      </top>
      <bottom style="thin">
        <color auto="1"/>
      </bottom>
      <diagonal/>
    </border>
    <border>
      <left style="double">
        <color auto="1"/>
      </left>
      <right/>
      <top style="thin">
        <color auto="1"/>
      </top>
      <bottom style="medium">
        <color auto="1"/>
      </bottom>
      <diagonal/>
    </border>
    <border>
      <left style="thin">
        <color auto="1"/>
      </left>
      <right/>
      <top style="thick">
        <color auto="1"/>
      </top>
      <bottom style="thin">
        <color auto="1"/>
      </bottom>
      <diagonal/>
    </border>
    <border>
      <left style="medium">
        <color auto="1"/>
      </left>
      <right style="thin">
        <color auto="1"/>
      </right>
      <top style="thick">
        <color auto="1"/>
      </top>
      <bottom/>
      <diagonal/>
    </border>
    <border>
      <left style="thin">
        <color auto="1"/>
      </left>
      <right/>
      <top style="thick">
        <color auto="1"/>
      </top>
      <bottom/>
      <diagonal/>
    </border>
    <border>
      <left style="medium">
        <color auto="1"/>
      </left>
      <right style="medium">
        <color auto="1"/>
      </right>
      <top style="thick">
        <color auto="1"/>
      </top>
      <bottom/>
      <diagonal/>
    </border>
    <border>
      <left/>
      <right/>
      <top style="thick">
        <color auto="1"/>
      </top>
      <bottom style="thin">
        <color auto="1"/>
      </bottom>
      <diagonal/>
    </border>
    <border>
      <left style="thin">
        <color auto="1"/>
      </left>
      <right style="double">
        <color auto="1"/>
      </right>
      <top/>
      <bottom style="thin">
        <color auto="1"/>
      </bottom>
      <diagonal/>
    </border>
    <border>
      <left style="double">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ck">
        <color auto="1"/>
      </bottom>
      <diagonal/>
    </border>
    <border>
      <left style="thin">
        <color auto="1"/>
      </left>
      <right style="thin">
        <color auto="1"/>
      </right>
      <top style="thin">
        <color auto="1"/>
      </top>
      <bottom/>
      <diagonal/>
    </border>
    <border>
      <left style="thin">
        <color auto="1"/>
      </left>
      <right style="double">
        <color auto="1"/>
      </right>
      <top style="thin">
        <color auto="1"/>
      </top>
      <bottom/>
      <diagonal/>
    </border>
    <border>
      <left style="double">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diagonal/>
    </border>
    <border>
      <left/>
      <right/>
      <top style="medium">
        <color auto="1"/>
      </top>
      <bottom/>
      <diagonal/>
    </border>
    <border>
      <left/>
      <right/>
      <top/>
      <bottom style="medium">
        <color auto="1"/>
      </bottom>
      <diagonal/>
    </border>
    <border>
      <left style="thin">
        <color auto="1"/>
      </left>
      <right/>
      <top style="thin">
        <color auto="1"/>
      </top>
      <bottom/>
      <diagonal/>
    </border>
    <border>
      <left style="medium">
        <color auto="1"/>
      </left>
      <right style="thin">
        <color auto="1"/>
      </right>
      <top style="thin">
        <color indexed="64"/>
      </top>
      <bottom style="medium">
        <color indexed="64"/>
      </bottom>
      <diagonal/>
    </border>
    <border>
      <left style="medium">
        <color auto="1"/>
      </left>
      <right style="thin">
        <color auto="1"/>
      </right>
      <top/>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bottom style="thin">
        <color auto="1"/>
      </bottom>
      <diagonal/>
    </border>
    <border>
      <left style="medium">
        <color auto="1"/>
      </left>
      <right/>
      <top style="medium">
        <color auto="1"/>
      </top>
      <bottom style="thin">
        <color auto="1"/>
      </bottom>
      <diagonal/>
    </border>
    <border>
      <left style="thin">
        <color auto="1"/>
      </left>
      <right style="medium">
        <color auto="1"/>
      </right>
      <top style="medium">
        <color auto="1"/>
      </top>
      <bottom/>
      <diagonal/>
    </border>
    <border>
      <left style="medium">
        <color auto="1"/>
      </left>
      <right/>
      <top style="thin">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diagonal/>
    </border>
  </borders>
  <cellStyleXfs count="2">
    <xf numFmtId="0" fontId="0" fillId="0" borderId="0">
      <alignment vertical="center"/>
    </xf>
    <xf numFmtId="38" fontId="21" fillId="0" borderId="0" applyFont="0" applyFill="0" applyBorder="0" applyAlignment="0" applyProtection="0">
      <alignment vertical="center"/>
    </xf>
  </cellStyleXfs>
  <cellXfs count="251">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176" fontId="10" fillId="2" borderId="2" xfId="0" applyNumberFormat="1" applyFont="1" applyFill="1" applyBorder="1" applyAlignment="1">
      <alignment horizontal="center" vertical="center"/>
    </xf>
    <xf numFmtId="0" fontId="10" fillId="2" borderId="7" xfId="0" applyFont="1" applyFill="1" applyBorder="1" applyAlignment="1">
      <alignment horizontal="center" vertical="center"/>
    </xf>
    <xf numFmtId="0" fontId="11" fillId="6" borderId="0" xfId="0" applyFont="1" applyFill="1">
      <alignment vertical="center"/>
    </xf>
    <xf numFmtId="0" fontId="12" fillId="0" borderId="0" xfId="0" applyFont="1" applyProtection="1">
      <alignment vertical="center"/>
      <protection locked="0"/>
    </xf>
    <xf numFmtId="0" fontId="0" fillId="4" borderId="0" xfId="0" applyFill="1" applyProtection="1">
      <alignment vertical="center"/>
      <protection locked="0"/>
    </xf>
    <xf numFmtId="0" fontId="12"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15" fillId="0" borderId="0" xfId="0" applyFont="1" applyProtection="1">
      <alignment vertical="center"/>
      <protection locked="0"/>
    </xf>
    <xf numFmtId="0" fontId="16" fillId="0" borderId="0" xfId="0" applyFont="1" applyProtection="1">
      <alignment vertical="center"/>
      <protection locked="0"/>
    </xf>
    <xf numFmtId="0" fontId="0" fillId="0" borderId="0" xfId="0" applyAlignment="1" applyProtection="1">
      <alignment horizontal="left" vertical="center" indent="1"/>
      <protection locked="0"/>
    </xf>
    <xf numFmtId="0" fontId="17" fillId="0" borderId="0" xfId="0" applyFont="1" applyAlignment="1" applyProtection="1">
      <alignment horizontal="left" vertical="center" indent="1"/>
      <protection locked="0"/>
    </xf>
    <xf numFmtId="0" fontId="18" fillId="0" borderId="0" xfId="0" applyFont="1" applyProtection="1">
      <alignment vertical="center"/>
      <protection locked="0"/>
    </xf>
    <xf numFmtId="0" fontId="17" fillId="0" borderId="0" xfId="0" applyFont="1" applyProtection="1">
      <alignment vertical="center"/>
      <protection locked="0"/>
    </xf>
    <xf numFmtId="0" fontId="15" fillId="0" borderId="0" xfId="0" applyFont="1">
      <alignment vertical="center"/>
    </xf>
    <xf numFmtId="0" fontId="14" fillId="0" borderId="0" xfId="0" applyFont="1">
      <alignment vertical="center"/>
    </xf>
    <xf numFmtId="0" fontId="16" fillId="0" borderId="0" xfId="0" applyFont="1">
      <alignment vertical="center"/>
    </xf>
    <xf numFmtId="14" fontId="2" fillId="0" borderId="9" xfId="0" applyNumberFormat="1" applyFont="1" applyBorder="1" applyAlignment="1">
      <alignment horizontal="center" vertical="center"/>
    </xf>
    <xf numFmtId="0" fontId="2" fillId="0" borderId="9" xfId="0" applyFont="1" applyBorder="1" applyAlignment="1">
      <alignment horizontal="center" vertical="center"/>
    </xf>
    <xf numFmtId="49" fontId="2" fillId="0" borderId="10" xfId="0" applyNumberFormat="1" applyFont="1" applyBorder="1" applyAlignment="1">
      <alignment horizontal="center" vertical="center"/>
    </xf>
    <xf numFmtId="0" fontId="24" fillId="9" borderId="9" xfId="0" applyFont="1" applyFill="1" applyBorder="1" applyAlignment="1">
      <alignment horizontal="center" vertical="center"/>
    </xf>
    <xf numFmtId="178" fontId="25" fillId="0" borderId="18" xfId="0" applyNumberFormat="1" applyFont="1" applyBorder="1" applyAlignment="1">
      <alignment horizontal="center" vertical="center"/>
    </xf>
    <xf numFmtId="0" fontId="2" fillId="0" borderId="22" xfId="0" applyFont="1" applyBorder="1" applyAlignment="1">
      <alignment horizontal="center" vertical="center"/>
    </xf>
    <xf numFmtId="177" fontId="2" fillId="0" borderId="22" xfId="0" applyNumberFormat="1" applyFont="1" applyBorder="1" applyAlignment="1">
      <alignment horizontal="center" vertical="center"/>
    </xf>
    <xf numFmtId="0" fontId="24" fillId="9" borderId="22" xfId="0" applyFont="1" applyFill="1" applyBorder="1" applyAlignment="1">
      <alignment horizontal="center" vertical="center"/>
    </xf>
    <xf numFmtId="49" fontId="20" fillId="6" borderId="23" xfId="0" applyNumberFormat="1" applyFont="1" applyFill="1" applyBorder="1" applyAlignment="1">
      <alignment horizontal="center" vertical="center"/>
    </xf>
    <xf numFmtId="180" fontId="19" fillId="0" borderId="29" xfId="0" applyNumberFormat="1" applyFont="1" applyBorder="1" applyAlignment="1">
      <alignment horizontal="center" vertical="center"/>
    </xf>
    <xf numFmtId="181" fontId="2" fillId="0" borderId="9" xfId="0" applyNumberFormat="1" applyFont="1" applyBorder="1" applyAlignment="1">
      <alignment horizontal="center" vertical="center"/>
    </xf>
    <xf numFmtId="49" fontId="2" fillId="0" borderId="31" xfId="0" applyNumberFormat="1" applyFont="1" applyBorder="1" applyAlignment="1">
      <alignment horizontal="center" vertical="center"/>
    </xf>
    <xf numFmtId="177" fontId="2" fillId="0" borderId="23" xfId="0" applyNumberFormat="1" applyFont="1" applyBorder="1" applyAlignment="1">
      <alignment horizontal="center" vertical="center"/>
    </xf>
    <xf numFmtId="49" fontId="29" fillId="6" borderId="23" xfId="0" applyNumberFormat="1" applyFont="1" applyFill="1" applyBorder="1" applyAlignment="1">
      <alignment horizontal="center" vertical="center"/>
    </xf>
    <xf numFmtId="0" fontId="0" fillId="8" borderId="12" xfId="0" applyFill="1" applyBorder="1" applyAlignment="1">
      <alignment horizontal="center" vertical="center"/>
    </xf>
    <xf numFmtId="0" fontId="10" fillId="2" borderId="4" xfId="0" applyFont="1" applyFill="1" applyBorder="1" applyAlignment="1">
      <alignment horizontal="center" vertical="center"/>
    </xf>
    <xf numFmtId="0" fontId="10" fillId="2" borderId="5" xfId="0" applyFont="1" applyFill="1" applyBorder="1" applyAlignment="1">
      <alignment horizontal="center" vertical="center"/>
    </xf>
    <xf numFmtId="0" fontId="2" fillId="8" borderId="23" xfId="0" applyFont="1" applyFill="1" applyBorder="1" applyAlignment="1">
      <alignment horizontal="center" vertical="center"/>
    </xf>
    <xf numFmtId="0" fontId="27" fillId="0" borderId="23" xfId="0" applyFont="1" applyBorder="1" applyAlignment="1">
      <alignment horizontal="center" vertical="center"/>
    </xf>
    <xf numFmtId="0" fontId="2" fillId="0" borderId="25" xfId="0" applyFont="1" applyBorder="1" applyAlignment="1">
      <alignment horizontal="center" vertical="center"/>
    </xf>
    <xf numFmtId="0" fontId="2" fillId="0" borderId="23" xfId="0" applyFont="1" applyBorder="1" applyAlignment="1">
      <alignment horizontal="center" vertical="center"/>
    </xf>
    <xf numFmtId="0" fontId="2" fillId="0" borderId="30" xfId="0" applyFont="1" applyBorder="1" applyAlignment="1">
      <alignment horizontal="center" vertical="center"/>
    </xf>
    <xf numFmtId="0" fontId="25" fillId="6" borderId="13" xfId="0" applyFont="1" applyFill="1" applyBorder="1" applyAlignment="1">
      <alignment horizontal="center" vertical="center"/>
    </xf>
    <xf numFmtId="0" fontId="2" fillId="0" borderId="14" xfId="0" applyFont="1" applyBorder="1" applyAlignment="1">
      <alignment horizontal="center" vertical="center"/>
    </xf>
    <xf numFmtId="0" fontId="2" fillId="0" borderId="12" xfId="0" applyFont="1" applyBorder="1" applyAlignment="1">
      <alignment horizontal="center" vertical="center"/>
    </xf>
    <xf numFmtId="14" fontId="2" fillId="0" borderId="19" xfId="0" applyNumberFormat="1" applyFont="1" applyBorder="1" applyAlignment="1">
      <alignment horizontal="center" vertical="center"/>
    </xf>
    <xf numFmtId="179" fontId="2" fillId="0" borderId="12" xfId="0" applyNumberFormat="1" applyFont="1" applyBorder="1" applyAlignment="1">
      <alignment horizontal="center" vertical="center"/>
    </xf>
    <xf numFmtId="0" fontId="0" fillId="0" borderId="9" xfId="0" applyBorder="1" applyAlignment="1">
      <alignment horizontal="center" vertical="center"/>
    </xf>
    <xf numFmtId="0" fontId="2" fillId="8" borderId="12" xfId="0" applyFont="1" applyFill="1" applyBorder="1" applyAlignment="1">
      <alignment horizontal="center" vertical="center"/>
    </xf>
    <xf numFmtId="0" fontId="2" fillId="0" borderId="24" xfId="0" applyFont="1" applyBorder="1" applyAlignment="1">
      <alignment horizontal="center" vertical="center"/>
    </xf>
    <xf numFmtId="0" fontId="2" fillId="0" borderId="33" xfId="0" applyFont="1" applyBorder="1" applyAlignment="1">
      <alignment horizontal="center" vertical="center"/>
    </xf>
    <xf numFmtId="0" fontId="2" fillId="0" borderId="13" xfId="0" applyFont="1" applyBorder="1" applyAlignment="1">
      <alignment horizontal="center" vertical="center"/>
    </xf>
    <xf numFmtId="14" fontId="2" fillId="0" borderId="32" xfId="0" applyNumberFormat="1"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7" fillId="6" borderId="13" xfId="0" applyFont="1" applyFill="1" applyBorder="1" applyAlignment="1">
      <alignment horizontal="center" vertical="center"/>
    </xf>
    <xf numFmtId="0" fontId="0" fillId="3" borderId="0" xfId="0" applyFill="1" applyAlignment="1">
      <alignment horizontal="center" vertical="center"/>
    </xf>
    <xf numFmtId="14" fontId="2" fillId="0" borderId="10" xfId="0" applyNumberFormat="1" applyFont="1" applyBorder="1" applyAlignment="1">
      <alignment horizontal="center" vertical="center"/>
    </xf>
    <xf numFmtId="0" fontId="2" fillId="0" borderId="10" xfId="0" applyFont="1" applyBorder="1" applyAlignment="1">
      <alignment horizontal="center" vertical="center"/>
    </xf>
    <xf numFmtId="0" fontId="33" fillId="8" borderId="34" xfId="0" applyFont="1" applyFill="1" applyBorder="1" applyAlignment="1">
      <alignment horizontal="center" vertical="center"/>
    </xf>
    <xf numFmtId="177" fontId="2" fillId="0" borderId="34" xfId="0" applyNumberFormat="1" applyFont="1" applyBorder="1" applyAlignment="1">
      <alignment horizontal="center" vertical="center"/>
    </xf>
    <xf numFmtId="0" fontId="2" fillId="0" borderId="38" xfId="0" applyFont="1" applyBorder="1" applyAlignment="1">
      <alignment horizontal="center" vertical="center"/>
    </xf>
    <xf numFmtId="0" fontId="24" fillId="9" borderId="10" xfId="0" applyFont="1" applyFill="1" applyBorder="1" applyAlignment="1">
      <alignment horizontal="center" vertical="center"/>
    </xf>
    <xf numFmtId="0" fontId="25" fillId="0" borderId="34" xfId="0" applyFont="1" applyBorder="1">
      <alignment vertical="center"/>
    </xf>
    <xf numFmtId="0" fontId="25" fillId="0" borderId="38" xfId="0" applyFont="1" applyBorder="1" applyAlignment="1">
      <alignment horizontal="center" vertical="center"/>
    </xf>
    <xf numFmtId="3" fontId="2" fillId="0" borderId="34" xfId="0" applyNumberFormat="1" applyFont="1" applyBorder="1" applyAlignment="1">
      <alignment horizontal="center" vertical="center"/>
    </xf>
    <xf numFmtId="178" fontId="25" fillId="0" borderId="39" xfId="0" applyNumberFormat="1" applyFont="1" applyBorder="1" applyAlignment="1">
      <alignment horizontal="center" vertical="center"/>
    </xf>
    <xf numFmtId="0" fontId="2" fillId="0" borderId="40" xfId="0" applyFont="1" applyBorder="1" applyAlignment="1">
      <alignment horizontal="center" vertical="center"/>
    </xf>
    <xf numFmtId="0" fontId="2" fillId="0" borderId="43" xfId="0" applyFont="1" applyBorder="1" applyAlignment="1">
      <alignment horizontal="center" vertical="center"/>
    </xf>
    <xf numFmtId="0" fontId="24" fillId="9" borderId="43" xfId="0" applyFont="1" applyFill="1" applyBorder="1" applyAlignment="1">
      <alignment horizontal="center" vertical="center"/>
    </xf>
    <xf numFmtId="49" fontId="17" fillId="0" borderId="22" xfId="0" applyNumberFormat="1" applyFont="1" applyBorder="1" applyAlignment="1">
      <alignment horizontal="center" vertical="center"/>
    </xf>
    <xf numFmtId="0" fontId="34" fillId="0" borderId="23" xfId="0" applyFont="1" applyBorder="1" applyAlignment="1">
      <alignment horizontal="center" vertical="center"/>
    </xf>
    <xf numFmtId="180" fontId="19" fillId="0" borderId="44" xfId="0" applyNumberFormat="1" applyFont="1" applyBorder="1" applyAlignment="1">
      <alignment horizontal="center" vertical="center"/>
    </xf>
    <xf numFmtId="0" fontId="2" fillId="0" borderId="45" xfId="0" applyFont="1" applyBorder="1" applyAlignment="1">
      <alignment horizontal="center" vertical="center"/>
    </xf>
    <xf numFmtId="177" fontId="2" fillId="0" borderId="9" xfId="0" applyNumberFormat="1" applyFont="1" applyBorder="1" applyAlignment="1">
      <alignment horizontal="center" vertical="center"/>
    </xf>
    <xf numFmtId="0" fontId="25" fillId="6" borderId="12" xfId="0" applyFont="1" applyFill="1" applyBorder="1">
      <alignment vertical="center"/>
    </xf>
    <xf numFmtId="3" fontId="2" fillId="0" borderId="12" xfId="0" applyNumberFormat="1" applyFont="1" applyBorder="1" applyAlignment="1">
      <alignment horizontal="center" vertical="center"/>
    </xf>
    <xf numFmtId="56" fontId="2" fillId="0" borderId="19" xfId="0" applyNumberFormat="1" applyFont="1" applyBorder="1" applyAlignment="1">
      <alignment horizontal="center" vertical="center"/>
    </xf>
    <xf numFmtId="49" fontId="17" fillId="6" borderId="22" xfId="0" applyNumberFormat="1" applyFont="1" applyFill="1" applyBorder="1" applyAlignment="1">
      <alignment horizontal="center" vertical="center"/>
    </xf>
    <xf numFmtId="0" fontId="34" fillId="0" borderId="22" xfId="0" applyFont="1" applyBorder="1" applyAlignment="1">
      <alignment horizontal="center" vertical="center"/>
    </xf>
    <xf numFmtId="0" fontId="2" fillId="0" borderId="31" xfId="0" applyFont="1" applyBorder="1" applyAlignment="1">
      <alignment horizontal="center" vertical="center"/>
    </xf>
    <xf numFmtId="177" fontId="2" fillId="0" borderId="10" xfId="0" applyNumberFormat="1" applyFont="1" applyBorder="1" applyAlignment="1">
      <alignment horizontal="center" vertical="center"/>
    </xf>
    <xf numFmtId="0" fontId="2" fillId="0" borderId="46" xfId="0" applyFont="1" applyBorder="1" applyAlignment="1">
      <alignment horizontal="center" vertical="center"/>
    </xf>
    <xf numFmtId="0" fontId="2" fillId="6" borderId="12" xfId="0" applyFont="1" applyFill="1" applyBorder="1">
      <alignment vertical="center"/>
    </xf>
    <xf numFmtId="0" fontId="2" fillId="6" borderId="13" xfId="0" applyFont="1" applyFill="1" applyBorder="1" applyAlignment="1">
      <alignment horizontal="center" vertical="center"/>
    </xf>
    <xf numFmtId="0" fontId="2" fillId="0" borderId="47" xfId="0" applyFont="1" applyBorder="1" applyAlignment="1">
      <alignment horizontal="center" vertical="center"/>
    </xf>
    <xf numFmtId="49" fontId="17" fillId="6" borderId="43" xfId="0" applyNumberFormat="1" applyFont="1" applyFill="1" applyBorder="1" applyAlignment="1">
      <alignment horizontal="center" vertical="center"/>
    </xf>
    <xf numFmtId="0" fontId="34" fillId="0" borderId="43" xfId="0" applyFont="1" applyBorder="1" applyAlignment="1">
      <alignment horizontal="center" vertical="center"/>
    </xf>
    <xf numFmtId="0" fontId="2" fillId="0" borderId="19" xfId="0" applyFont="1" applyBorder="1" applyAlignment="1">
      <alignment horizontal="center" vertical="center"/>
    </xf>
    <xf numFmtId="0" fontId="27" fillId="0" borderId="22" xfId="0" applyFont="1" applyBorder="1" applyAlignment="1">
      <alignment horizontal="center" vertical="center"/>
    </xf>
    <xf numFmtId="0" fontId="27" fillId="0" borderId="43" xfId="0" applyFont="1" applyBorder="1" applyAlignment="1">
      <alignment horizontal="center" vertical="center"/>
    </xf>
    <xf numFmtId="177" fontId="2" fillId="0" borderId="12" xfId="0" applyNumberFormat="1" applyFont="1" applyBorder="1" applyAlignment="1">
      <alignment horizontal="center" vertical="center"/>
    </xf>
    <xf numFmtId="0" fontId="2" fillId="0" borderId="25" xfId="0" applyFont="1" applyBorder="1">
      <alignment vertical="center"/>
    </xf>
    <xf numFmtId="0" fontId="17" fillId="6" borderId="50" xfId="0" applyFont="1" applyFill="1" applyBorder="1" applyAlignment="1">
      <alignment horizontal="center" vertical="center"/>
    </xf>
    <xf numFmtId="0" fontId="27" fillId="0" borderId="50" xfId="0" applyFont="1" applyBorder="1" applyAlignment="1">
      <alignment horizontal="center" vertical="center"/>
    </xf>
    <xf numFmtId="0" fontId="17" fillId="6" borderId="22" xfId="0" applyFont="1" applyFill="1" applyBorder="1" applyAlignment="1">
      <alignment horizontal="center" vertical="center"/>
    </xf>
    <xf numFmtId="177" fontId="2" fillId="0" borderId="11" xfId="0" applyNumberFormat="1" applyFont="1" applyBorder="1" applyAlignment="1">
      <alignment horizontal="center" vertical="center"/>
    </xf>
    <xf numFmtId="0" fontId="2" fillId="0" borderId="23" xfId="0" applyFont="1" applyBorder="1">
      <alignment vertical="center"/>
    </xf>
    <xf numFmtId="0" fontId="2" fillId="0" borderId="24" xfId="0" applyFont="1" applyBorder="1">
      <alignment vertical="center"/>
    </xf>
    <xf numFmtId="0" fontId="34" fillId="0" borderId="50" xfId="0" applyFont="1" applyBorder="1" applyAlignment="1">
      <alignment horizontal="center" vertical="center"/>
    </xf>
    <xf numFmtId="0" fontId="17" fillId="6" borderId="43" xfId="0" applyFont="1" applyFill="1" applyBorder="1" applyAlignment="1">
      <alignment horizontal="center" vertical="center"/>
    </xf>
    <xf numFmtId="0" fontId="2" fillId="0" borderId="51" xfId="0" applyFont="1" applyBorder="1" applyAlignment="1">
      <alignment horizontal="center" vertical="center"/>
    </xf>
    <xf numFmtId="49" fontId="2" fillId="0" borderId="12" xfId="0" applyNumberFormat="1" applyFont="1" applyBorder="1" applyAlignment="1">
      <alignment horizontal="center" vertical="center"/>
    </xf>
    <xf numFmtId="0" fontId="17" fillId="6" borderId="12" xfId="0" applyFont="1" applyFill="1" applyBorder="1">
      <alignment vertical="center"/>
    </xf>
    <xf numFmtId="0" fontId="17" fillId="6" borderId="13" xfId="0" applyFont="1" applyFill="1" applyBorder="1" applyAlignment="1">
      <alignment horizontal="center" vertical="center"/>
    </xf>
    <xf numFmtId="49" fontId="2" fillId="0" borderId="9" xfId="0" applyNumberFormat="1" applyFont="1" applyBorder="1" applyAlignment="1">
      <alignment horizontal="center" vertical="center"/>
    </xf>
    <xf numFmtId="177" fontId="2" fillId="0" borderId="53" xfId="0" applyNumberFormat="1" applyFont="1" applyBorder="1" applyAlignment="1">
      <alignment horizontal="center" vertical="center"/>
    </xf>
    <xf numFmtId="0" fontId="17" fillId="6" borderId="23" xfId="0" applyFont="1" applyFill="1" applyBorder="1" applyAlignment="1">
      <alignment horizontal="center" vertical="center"/>
    </xf>
    <xf numFmtId="0" fontId="29" fillId="6" borderId="23" xfId="0" applyFont="1" applyFill="1" applyBorder="1" applyAlignment="1">
      <alignment horizontal="center" vertical="center"/>
    </xf>
    <xf numFmtId="0" fontId="27" fillId="6" borderId="12" xfId="0" applyFont="1" applyFill="1" applyBorder="1">
      <alignment vertical="center"/>
    </xf>
    <xf numFmtId="56" fontId="2" fillId="0" borderId="9" xfId="0" applyNumberFormat="1" applyFont="1" applyBorder="1" applyAlignment="1">
      <alignment horizontal="center" vertical="center"/>
    </xf>
    <xf numFmtId="49" fontId="2" fillId="0" borderId="54" xfId="0" applyNumberFormat="1" applyFont="1" applyBorder="1" applyAlignment="1">
      <alignment horizontal="center" vertical="center"/>
    </xf>
    <xf numFmtId="178" fontId="25" fillId="0" borderId="29" xfId="0" applyNumberFormat="1" applyFont="1" applyBorder="1">
      <alignment vertical="center"/>
    </xf>
    <xf numFmtId="0" fontId="27" fillId="0" borderId="12" xfId="0" applyFont="1" applyBorder="1">
      <alignment vertical="center"/>
    </xf>
    <xf numFmtId="0" fontId="27" fillId="0" borderId="13" xfId="0" applyFont="1" applyBorder="1" applyAlignment="1">
      <alignment horizontal="center" vertical="center"/>
    </xf>
    <xf numFmtId="14" fontId="0" fillId="0" borderId="9" xfId="0" applyNumberFormat="1" applyBorder="1" applyAlignment="1">
      <alignment horizontal="center" vertical="center"/>
    </xf>
    <xf numFmtId="14" fontId="0" fillId="0" borderId="9" xfId="0" applyNumberFormat="1" applyBorder="1">
      <alignment vertical="center"/>
    </xf>
    <xf numFmtId="49" fontId="0" fillId="0" borderId="9" xfId="0" applyNumberFormat="1" applyBorder="1" applyAlignment="1">
      <alignment horizontal="center" vertical="center"/>
    </xf>
    <xf numFmtId="0" fontId="25" fillId="8" borderId="12" xfId="0" applyFont="1" applyFill="1" applyBorder="1" applyAlignment="1">
      <alignment horizontal="center" vertical="center"/>
    </xf>
    <xf numFmtId="49" fontId="0" fillId="0" borderId="54" xfId="0" applyNumberFormat="1" applyBorder="1" applyAlignment="1">
      <alignment horizontal="center" vertical="center"/>
    </xf>
    <xf numFmtId="0" fontId="0" fillId="0" borderId="22" xfId="0" applyBorder="1" applyAlignment="1">
      <alignment horizontal="center" vertical="center"/>
    </xf>
    <xf numFmtId="0" fontId="25" fillId="8" borderId="23" xfId="0" applyFont="1" applyFill="1" applyBorder="1" applyAlignment="1">
      <alignment horizontal="center" vertical="center"/>
    </xf>
    <xf numFmtId="183" fontId="0" fillId="0" borderId="53" xfId="0" applyNumberFormat="1" applyBorder="1" applyAlignment="1">
      <alignment horizontal="center" vertical="center"/>
    </xf>
    <xf numFmtId="0" fontId="2" fillId="12" borderId="23" xfId="0" applyFont="1" applyFill="1" applyBorder="1" applyAlignment="1">
      <alignment horizontal="center" vertical="center"/>
    </xf>
    <xf numFmtId="49" fontId="2" fillId="0" borderId="55" xfId="0" applyNumberFormat="1" applyFont="1" applyBorder="1" applyAlignment="1">
      <alignment horizontal="center" vertical="center"/>
    </xf>
    <xf numFmtId="178" fontId="25" fillId="0" borderId="18" xfId="0" applyNumberFormat="1" applyFont="1" applyBorder="1">
      <alignment vertical="center"/>
    </xf>
    <xf numFmtId="0" fontId="25" fillId="0" borderId="29" xfId="0" applyFont="1" applyBorder="1" applyAlignment="1">
      <alignment horizontal="center" vertical="center"/>
    </xf>
    <xf numFmtId="0" fontId="25" fillId="0" borderId="25" xfId="0" applyFont="1" applyBorder="1" applyAlignment="1">
      <alignment horizontal="center" vertical="center"/>
    </xf>
    <xf numFmtId="177" fontId="0" fillId="0" borderId="22" xfId="0" applyNumberFormat="1" applyBorder="1" applyAlignment="1">
      <alignment horizontal="center" vertical="center"/>
    </xf>
    <xf numFmtId="49" fontId="0" fillId="0" borderId="31" xfId="0" applyNumberFormat="1" applyBorder="1" applyAlignment="1">
      <alignment horizontal="center" vertical="center"/>
    </xf>
    <xf numFmtId="0" fontId="35" fillId="0" borderId="13" xfId="0" applyFont="1" applyBorder="1" applyAlignment="1">
      <alignment horizontal="center" vertical="center"/>
    </xf>
    <xf numFmtId="0" fontId="0" fillId="0" borderId="12" xfId="0" applyBorder="1" applyAlignment="1">
      <alignment horizontal="center" vertical="center"/>
    </xf>
    <xf numFmtId="0" fontId="34" fillId="0" borderId="12" xfId="0" applyFont="1" applyBorder="1" applyAlignment="1">
      <alignment horizontal="center" vertical="center"/>
    </xf>
    <xf numFmtId="0" fontId="38" fillId="0" borderId="23" xfId="0" applyFont="1" applyBorder="1" applyAlignment="1">
      <alignment horizontal="center" vertical="center"/>
    </xf>
    <xf numFmtId="0" fontId="39" fillId="0" borderId="12" xfId="0" applyFont="1" applyBorder="1" applyAlignment="1">
      <alignment horizontal="center" vertical="center"/>
    </xf>
    <xf numFmtId="177" fontId="40" fillId="0" borderId="22" xfId="0" applyNumberFormat="1" applyFont="1" applyBorder="1" applyAlignment="1">
      <alignment horizontal="center" vertical="center"/>
    </xf>
    <xf numFmtId="180" fontId="41" fillId="0" borderId="29" xfId="0" applyNumberFormat="1" applyFont="1" applyBorder="1" applyAlignment="1">
      <alignment horizontal="center" vertical="center"/>
    </xf>
    <xf numFmtId="0" fontId="42" fillId="6" borderId="12" xfId="0" applyFont="1" applyFill="1" applyBorder="1">
      <alignment vertical="center"/>
    </xf>
    <xf numFmtId="0" fontId="42" fillId="6" borderId="13" xfId="0" applyFont="1" applyFill="1" applyBorder="1" applyAlignment="1">
      <alignment horizontal="center" vertical="center"/>
    </xf>
    <xf numFmtId="0" fontId="43" fillId="0" borderId="23" xfId="0" applyFont="1" applyBorder="1" applyAlignment="1">
      <alignment horizontal="center" vertical="center"/>
    </xf>
    <xf numFmtId="0" fontId="25" fillId="0" borderId="23" xfId="0" applyFont="1" applyBorder="1" applyAlignment="1">
      <alignment horizontal="center" vertical="center"/>
    </xf>
    <xf numFmtId="0" fontId="2" fillId="0" borderId="56" xfId="0" applyFont="1" applyBorder="1" applyAlignment="1">
      <alignment horizontal="center" vertical="center"/>
    </xf>
    <xf numFmtId="0" fontId="2" fillId="0" borderId="58" xfId="0" applyFont="1" applyBorder="1" applyAlignment="1">
      <alignment horizontal="center" vertical="center"/>
    </xf>
    <xf numFmtId="14" fontId="0" fillId="0" borderId="10" xfId="0" applyNumberFormat="1" applyBorder="1" applyAlignment="1">
      <alignment horizontal="center" vertical="center"/>
    </xf>
    <xf numFmtId="14" fontId="0" fillId="0" borderId="46" xfId="0" applyNumberFormat="1" applyBorder="1">
      <alignment vertical="center"/>
    </xf>
    <xf numFmtId="49" fontId="0" fillId="0" borderId="10" xfId="0" applyNumberFormat="1" applyBorder="1" applyAlignment="1">
      <alignment horizontal="center" vertical="center"/>
    </xf>
    <xf numFmtId="49" fontId="0" fillId="0" borderId="55" xfId="0" applyNumberFormat="1" applyBorder="1" applyAlignment="1">
      <alignment horizontal="center" vertical="center"/>
    </xf>
    <xf numFmtId="0" fontId="0" fillId="0" borderId="10" xfId="0" applyBorder="1" applyAlignment="1">
      <alignment horizontal="center" vertical="center"/>
    </xf>
    <xf numFmtId="0" fontId="0" fillId="0" borderId="10" xfId="0" applyBorder="1">
      <alignment vertical="center"/>
    </xf>
    <xf numFmtId="0" fontId="44" fillId="0" borderId="20" xfId="0" applyFont="1" applyBorder="1" applyAlignment="1">
      <alignment horizontal="center" vertical="center"/>
    </xf>
    <xf numFmtId="0" fontId="0" fillId="0" borderId="20" xfId="0" applyBorder="1" applyAlignment="1">
      <alignment horizontal="center" vertical="center"/>
    </xf>
    <xf numFmtId="14" fontId="0" fillId="0" borderId="46" xfId="0" applyNumberFormat="1" applyBorder="1" applyAlignment="1">
      <alignment horizontal="center" vertical="center"/>
    </xf>
    <xf numFmtId="179" fontId="2" fillId="0" borderId="31" xfId="0" applyNumberFormat="1" applyFont="1" applyBorder="1" applyAlignment="1">
      <alignment horizontal="center" vertical="center"/>
    </xf>
    <xf numFmtId="0" fontId="0" fillId="0" borderId="43" xfId="0" applyBorder="1" applyAlignment="1">
      <alignment horizontal="center" vertical="center"/>
    </xf>
    <xf numFmtId="0" fontId="0" fillId="0" borderId="47" xfId="0" applyBorder="1">
      <alignment vertical="center"/>
    </xf>
    <xf numFmtId="177" fontId="0" fillId="0" borderId="60" xfId="0" applyNumberFormat="1" applyBorder="1" applyAlignment="1">
      <alignment horizontal="center" vertical="center"/>
    </xf>
    <xf numFmtId="0" fontId="0" fillId="0" borderId="43" xfId="0" applyBorder="1">
      <alignment vertical="center"/>
    </xf>
    <xf numFmtId="0" fontId="44" fillId="0" borderId="27" xfId="0" applyFont="1" applyBorder="1" applyAlignment="1">
      <alignment horizontal="center" vertical="center"/>
    </xf>
    <xf numFmtId="0" fontId="0" fillId="0" borderId="23" xfId="0" applyBorder="1" applyAlignment="1">
      <alignment horizontal="center" vertical="center"/>
    </xf>
    <xf numFmtId="14" fontId="0" fillId="0" borderId="47" xfId="0" applyNumberFormat="1" applyBorder="1" applyAlignment="1">
      <alignment horizontal="center" vertical="center"/>
    </xf>
    <xf numFmtId="14" fontId="0" fillId="0" borderId="14" xfId="0" applyNumberFormat="1" applyBorder="1">
      <alignment vertical="center"/>
    </xf>
    <xf numFmtId="0" fontId="0" fillId="0" borderId="9" xfId="0" applyBorder="1">
      <alignment vertical="center"/>
    </xf>
    <xf numFmtId="0" fontId="27" fillId="0" borderId="16" xfId="0" applyFont="1" applyBorder="1" applyAlignment="1">
      <alignment horizontal="center" vertical="center"/>
    </xf>
    <xf numFmtId="14" fontId="0" fillId="0" borderId="14" xfId="0" applyNumberFormat="1" applyBorder="1" applyAlignment="1">
      <alignment horizontal="center" vertical="center"/>
    </xf>
    <xf numFmtId="0" fontId="0" fillId="0" borderId="25" xfId="0" applyBorder="1">
      <alignment vertical="center"/>
    </xf>
    <xf numFmtId="0" fontId="0" fillId="0" borderId="22" xfId="0" applyBorder="1">
      <alignment vertical="center"/>
    </xf>
    <xf numFmtId="0" fontId="27" fillId="0" borderId="27" xfId="0" applyFont="1" applyBorder="1" applyAlignment="1">
      <alignment horizontal="center" vertical="center"/>
    </xf>
    <xf numFmtId="14" fontId="0" fillId="0" borderId="25" xfId="0" applyNumberFormat="1" applyBorder="1" applyAlignment="1">
      <alignment horizontal="center" vertical="center"/>
    </xf>
    <xf numFmtId="0" fontId="44" fillId="0" borderId="16" xfId="0" applyFont="1" applyBorder="1" applyAlignment="1">
      <alignment horizontal="center" vertical="center"/>
    </xf>
    <xf numFmtId="0" fontId="27" fillId="0" borderId="20" xfId="0" applyFont="1" applyBorder="1" applyAlignment="1">
      <alignment horizontal="center" vertical="center"/>
    </xf>
    <xf numFmtId="14" fontId="0" fillId="0" borderId="32" xfId="0" applyNumberFormat="1" applyBorder="1" applyAlignment="1">
      <alignment horizontal="center" vertical="center"/>
    </xf>
    <xf numFmtId="177" fontId="0" fillId="0" borderId="25" xfId="0" applyNumberFormat="1" applyBorder="1">
      <alignment vertical="center"/>
    </xf>
    <xf numFmtId="14" fontId="0" fillId="0" borderId="33" xfId="0" applyNumberFormat="1" applyBorder="1" applyAlignment="1">
      <alignment horizontal="center" vertical="center"/>
    </xf>
    <xf numFmtId="0" fontId="45" fillId="0" borderId="22" xfId="0" applyFont="1" applyBorder="1" applyAlignment="1">
      <alignment horizontal="center" vertical="center"/>
    </xf>
    <xf numFmtId="0" fontId="33" fillId="0" borderId="22" xfId="0" applyFont="1" applyBorder="1" applyAlignment="1">
      <alignment horizontal="center" vertical="center"/>
    </xf>
    <xf numFmtId="0" fontId="27" fillId="0" borderId="12" xfId="0" applyFont="1" applyBorder="1" applyAlignment="1">
      <alignment horizontal="center" vertical="center"/>
    </xf>
    <xf numFmtId="0" fontId="45" fillId="0" borderId="33" xfId="0" applyFont="1" applyBorder="1" applyAlignment="1">
      <alignment horizontal="center" vertical="center"/>
    </xf>
    <xf numFmtId="0" fontId="33" fillId="8" borderId="12" xfId="0" applyFont="1" applyFill="1" applyBorder="1" applyAlignment="1">
      <alignment horizontal="center" vertical="center"/>
    </xf>
    <xf numFmtId="0" fontId="45" fillId="0" borderId="12" xfId="0" applyFont="1" applyBorder="1" applyAlignment="1">
      <alignment horizontal="center" vertical="center"/>
    </xf>
    <xf numFmtId="180" fontId="43" fillId="0" borderId="29" xfId="0" applyNumberFormat="1" applyFont="1" applyBorder="1" applyAlignment="1">
      <alignment horizontal="center" vertical="center"/>
    </xf>
    <xf numFmtId="0" fontId="40" fillId="0" borderId="23" xfId="0" applyFont="1" applyBorder="1" applyAlignment="1">
      <alignment horizontal="center" vertical="center"/>
    </xf>
    <xf numFmtId="0" fontId="33" fillId="0" borderId="12" xfId="0" applyFont="1" applyBorder="1" applyAlignment="1">
      <alignment horizontal="center" vertical="center"/>
    </xf>
    <xf numFmtId="0" fontId="19" fillId="0" borderId="23" xfId="0" applyFont="1" applyBorder="1" applyAlignment="1">
      <alignment horizontal="center" vertical="center"/>
    </xf>
    <xf numFmtId="0" fontId="25" fillId="0" borderId="18" xfId="0" applyFont="1" applyBorder="1" applyAlignment="1">
      <alignment horizontal="center" vertical="center"/>
    </xf>
    <xf numFmtId="0" fontId="40" fillId="0" borderId="12" xfId="0" applyFont="1" applyBorder="1" applyAlignment="1">
      <alignment horizontal="center" vertical="center"/>
    </xf>
    <xf numFmtId="38" fontId="23" fillId="0" borderId="17" xfId="1" applyFont="1" applyBorder="1" applyAlignment="1">
      <alignment horizontal="center" vertical="center"/>
    </xf>
    <xf numFmtId="38" fontId="23" fillId="0" borderId="28" xfId="1" applyFont="1" applyBorder="1" applyAlignment="1">
      <alignment horizontal="center" vertical="center"/>
    </xf>
    <xf numFmtId="177" fontId="23" fillId="0" borderId="16" xfId="0" applyNumberFormat="1" applyFont="1" applyBorder="1" applyAlignment="1">
      <alignment horizontal="center" vertical="center"/>
    </xf>
    <xf numFmtId="177" fontId="23" fillId="0" borderId="27" xfId="0" applyNumberFormat="1" applyFont="1" applyBorder="1" applyAlignment="1">
      <alignment horizontal="center" vertical="center"/>
    </xf>
    <xf numFmtId="182" fontId="26" fillId="0" borderId="57" xfId="0" applyNumberFormat="1" applyFont="1" applyBorder="1" applyAlignment="1">
      <alignment horizontal="center" vertical="center"/>
    </xf>
    <xf numFmtId="182" fontId="26" fillId="0" borderId="59" xfId="0" applyNumberFormat="1" applyFont="1" applyBorder="1" applyAlignment="1">
      <alignment horizontal="center" vertical="center"/>
    </xf>
    <xf numFmtId="0" fontId="22" fillId="7" borderId="8" xfId="0" applyFont="1" applyFill="1" applyBorder="1" applyAlignment="1">
      <alignment horizontal="center" vertical="center"/>
    </xf>
    <xf numFmtId="0" fontId="22" fillId="7" borderId="42" xfId="0" applyFont="1" applyFill="1" applyBorder="1" applyAlignment="1">
      <alignment horizontal="center" vertical="center"/>
    </xf>
    <xf numFmtId="49" fontId="2" fillId="8" borderId="11" xfId="0" applyNumberFormat="1" applyFont="1" applyFill="1" applyBorder="1" applyAlignment="1">
      <alignment horizontal="center" vertical="center"/>
    </xf>
    <xf numFmtId="49" fontId="2" fillId="8" borderId="21" xfId="0" applyNumberFormat="1" applyFont="1" applyFill="1" applyBorder="1" applyAlignment="1">
      <alignment horizontal="center" vertical="center"/>
    </xf>
    <xf numFmtId="0" fontId="0" fillId="0" borderId="15" xfId="0" applyBorder="1" applyAlignment="1">
      <alignment horizontal="center" vertical="center"/>
    </xf>
    <xf numFmtId="0" fontId="0" fillId="0" borderId="26" xfId="0" applyBorder="1" applyAlignment="1">
      <alignment horizontal="center" vertical="center"/>
    </xf>
    <xf numFmtId="0" fontId="22" fillId="11" borderId="8" xfId="0" applyFont="1" applyFill="1" applyBorder="1" applyAlignment="1">
      <alignment horizontal="center" vertical="center"/>
    </xf>
    <xf numFmtId="0" fontId="22" fillId="11" borderId="42" xfId="0" applyFont="1" applyFill="1" applyBorder="1" applyAlignment="1">
      <alignment horizontal="center" vertical="center"/>
    </xf>
    <xf numFmtId="0" fontId="2" fillId="0" borderId="15" xfId="0" applyFont="1" applyBorder="1" applyAlignment="1">
      <alignment horizontal="center" vertical="center"/>
    </xf>
    <xf numFmtId="177" fontId="23" fillId="0" borderId="20" xfId="0" applyNumberFormat="1" applyFont="1" applyBorder="1" applyAlignment="1">
      <alignment horizontal="center" vertical="center"/>
    </xf>
    <xf numFmtId="183" fontId="23" fillId="0" borderId="16" xfId="0" applyNumberFormat="1" applyFont="1" applyBorder="1" applyAlignment="1">
      <alignment horizontal="center" vertical="center"/>
    </xf>
    <xf numFmtId="183" fontId="23" fillId="0" borderId="27" xfId="0" applyNumberFormat="1" applyFont="1" applyBorder="1" applyAlignment="1">
      <alignment horizontal="center" vertical="center"/>
    </xf>
    <xf numFmtId="183" fontId="23" fillId="0" borderId="9" xfId="0" applyNumberFormat="1" applyFont="1" applyBorder="1" applyAlignment="1">
      <alignment horizontal="center" vertical="center"/>
    </xf>
    <xf numFmtId="183" fontId="23" fillId="0" borderId="22" xfId="0" applyNumberFormat="1" applyFont="1" applyBorder="1" applyAlignment="1">
      <alignment horizontal="center" vertical="center"/>
    </xf>
    <xf numFmtId="0" fontId="26" fillId="0" borderId="11" xfId="0" applyFont="1" applyBorder="1" applyAlignment="1">
      <alignment horizontal="center" vertical="center"/>
    </xf>
    <xf numFmtId="0" fontId="26" fillId="0" borderId="21" xfId="0" applyFont="1" applyBorder="1" applyAlignment="1">
      <alignment horizontal="center" vertical="center"/>
    </xf>
    <xf numFmtId="0" fontId="2" fillId="10" borderId="11" xfId="0" applyFont="1" applyFill="1" applyBorder="1" applyAlignment="1">
      <alignment horizontal="center" vertical="center"/>
    </xf>
    <xf numFmtId="0" fontId="0" fillId="10" borderId="21" xfId="0" applyFill="1" applyBorder="1" applyAlignment="1">
      <alignment horizontal="center" vertical="center"/>
    </xf>
    <xf numFmtId="177" fontId="23" fillId="0" borderId="48" xfId="0" applyNumberFormat="1" applyFont="1" applyBorder="1" applyAlignment="1">
      <alignment horizontal="center" vertical="center"/>
    </xf>
    <xf numFmtId="177" fontId="23" fillId="0" borderId="49" xfId="0" applyNumberFormat="1" applyFont="1" applyBorder="1" applyAlignment="1">
      <alignment horizontal="center" vertical="center"/>
    </xf>
    <xf numFmtId="177" fontId="23" fillId="0" borderId="9" xfId="0" applyNumberFormat="1" applyFont="1" applyBorder="1" applyAlignment="1">
      <alignment horizontal="center" vertical="center"/>
    </xf>
    <xf numFmtId="177" fontId="23" fillId="0" borderId="22" xfId="0" applyNumberFormat="1" applyFont="1" applyBorder="1" applyAlignment="1">
      <alignment horizontal="center" vertical="center"/>
    </xf>
    <xf numFmtId="182" fontId="26" fillId="0" borderId="11" xfId="0" applyNumberFormat="1" applyFont="1" applyBorder="1" applyAlignment="1">
      <alignment horizontal="center" vertical="center"/>
    </xf>
    <xf numFmtId="182" fontId="26" fillId="0" borderId="21" xfId="0" applyNumberFormat="1" applyFont="1" applyBorder="1" applyAlignment="1">
      <alignment horizontal="center" vertical="center"/>
    </xf>
    <xf numFmtId="0" fontId="0" fillId="10" borderId="11" xfId="0" applyFill="1" applyBorder="1" applyAlignment="1">
      <alignment horizontal="center" vertical="center"/>
    </xf>
    <xf numFmtId="38" fontId="23" fillId="0" borderId="6" xfId="1" applyFont="1" applyBorder="1" applyAlignment="1">
      <alignment horizontal="center" vertical="center"/>
    </xf>
    <xf numFmtId="0" fontId="2" fillId="10" borderId="41" xfId="0" applyFont="1" applyFill="1" applyBorder="1" applyAlignment="1">
      <alignment horizontal="center" vertical="center"/>
    </xf>
    <xf numFmtId="0" fontId="0" fillId="10" borderId="41" xfId="0" applyFill="1" applyBorder="1" applyAlignment="1">
      <alignment horizontal="center" vertical="center"/>
    </xf>
    <xf numFmtId="0" fontId="0" fillId="0" borderId="52" xfId="0" applyBorder="1" applyAlignment="1">
      <alignment horizontal="center" vertical="center"/>
    </xf>
    <xf numFmtId="177" fontId="23" fillId="0" borderId="0" xfId="0" applyNumberFormat="1" applyFont="1" applyAlignment="1">
      <alignment horizontal="center" vertical="center"/>
    </xf>
    <xf numFmtId="177" fontId="23" fillId="0" borderId="10" xfId="0" applyNumberFormat="1" applyFont="1" applyBorder="1" applyAlignment="1">
      <alignment horizontal="center" vertical="center"/>
    </xf>
    <xf numFmtId="177" fontId="23" fillId="0" borderId="43" xfId="0" applyNumberFormat="1" applyFont="1" applyBorder="1" applyAlignment="1">
      <alignment horizontal="center" vertical="center"/>
    </xf>
    <xf numFmtId="183" fontId="23" fillId="0" borderId="20" xfId="0" applyNumberFormat="1" applyFont="1" applyBorder="1" applyAlignment="1">
      <alignment horizontal="center" vertical="center"/>
    </xf>
    <xf numFmtId="183" fontId="23" fillId="0" borderId="10" xfId="0" applyNumberFormat="1" applyFont="1" applyBorder="1" applyAlignment="1">
      <alignment horizontal="center" vertical="center"/>
    </xf>
    <xf numFmtId="183" fontId="23" fillId="0" borderId="43" xfId="0" applyNumberFormat="1" applyFont="1" applyBorder="1" applyAlignment="1">
      <alignment horizontal="center" vertical="center"/>
    </xf>
    <xf numFmtId="182" fontId="26" fillId="0" borderId="10" xfId="0" applyNumberFormat="1" applyFont="1" applyBorder="1" applyAlignment="1">
      <alignment horizontal="center" vertical="center"/>
    </xf>
    <xf numFmtId="182" fontId="26" fillId="0" borderId="43" xfId="0" applyNumberFormat="1" applyFont="1" applyBorder="1" applyAlignment="1">
      <alignment horizontal="center" vertical="center"/>
    </xf>
    <xf numFmtId="182" fontId="26" fillId="0" borderId="41" xfId="0" applyNumberFormat="1" applyFont="1" applyBorder="1" applyAlignment="1">
      <alignment horizontal="center" vertical="center"/>
    </xf>
    <xf numFmtId="0" fontId="2" fillId="0" borderId="52" xfId="0" applyFont="1" applyBorder="1" applyAlignment="1">
      <alignment horizontal="center" vertical="center"/>
    </xf>
    <xf numFmtId="0" fontId="2" fillId="0" borderId="26" xfId="0" applyFont="1" applyBorder="1" applyAlignment="1">
      <alignment horizontal="center" vertical="center"/>
    </xf>
    <xf numFmtId="0" fontId="2" fillId="0" borderId="23" xfId="0" applyFont="1" applyBorder="1" applyAlignment="1">
      <alignment horizontal="center" vertical="center"/>
    </xf>
    <xf numFmtId="0" fontId="2" fillId="0" borderId="24" xfId="0" applyFont="1" applyBorder="1" applyAlignment="1">
      <alignment horizontal="center" vertical="center"/>
    </xf>
    <xf numFmtId="49" fontId="2" fillId="8" borderId="41" xfId="0" applyNumberFormat="1" applyFont="1" applyFill="1" applyBorder="1" applyAlignment="1">
      <alignment horizontal="center" vertical="center"/>
    </xf>
    <xf numFmtId="177" fontId="23" fillId="0" borderId="36" xfId="0" applyNumberFormat="1" applyFont="1" applyBorder="1" applyAlignment="1">
      <alignment horizontal="center" vertical="center"/>
    </xf>
    <xf numFmtId="38" fontId="23" fillId="0" borderId="37" xfId="1" applyFont="1" applyBorder="1" applyAlignment="1">
      <alignment horizontal="center" vertical="center"/>
    </xf>
    <xf numFmtId="49" fontId="2" fillId="8" borderId="8" xfId="0" applyNumberFormat="1" applyFont="1" applyFill="1" applyBorder="1" applyAlignment="1">
      <alignment horizontal="center" vertical="center"/>
    </xf>
    <xf numFmtId="0" fontId="2" fillId="0" borderId="35" xfId="0" applyFont="1" applyBorder="1" applyAlignment="1">
      <alignment horizontal="center" vertical="center"/>
    </xf>
    <xf numFmtId="0" fontId="10" fillId="2" borderId="1" xfId="0" applyFont="1" applyFill="1" applyBorder="1" applyAlignment="1">
      <alignment horizontal="center" vertical="center"/>
    </xf>
    <xf numFmtId="0" fontId="10" fillId="2" borderId="4" xfId="0" applyFont="1" applyFill="1" applyBorder="1" applyAlignment="1">
      <alignment horizontal="center" vertical="center"/>
    </xf>
    <xf numFmtId="0" fontId="0" fillId="3" borderId="0" xfId="0" applyFill="1" applyAlignment="1">
      <alignment horizontal="center" vertical="center"/>
    </xf>
    <xf numFmtId="0" fontId="22" fillId="13" borderId="8" xfId="0" applyFont="1" applyFill="1" applyBorder="1" applyAlignment="1">
      <alignment horizontal="center" vertical="center"/>
    </xf>
    <xf numFmtId="0" fontId="22" fillId="13" borderId="42" xfId="0" applyFont="1" applyFill="1" applyBorder="1" applyAlignment="1">
      <alignment horizontal="center" vertical="center"/>
    </xf>
    <xf numFmtId="0" fontId="22" fillId="14" borderId="8" xfId="0" applyFont="1" applyFill="1" applyBorder="1" applyAlignment="1">
      <alignment horizontal="center" vertical="center"/>
    </xf>
    <xf numFmtId="0" fontId="22" fillId="14" borderId="42" xfId="0" applyFont="1" applyFill="1" applyBorder="1" applyAlignment="1">
      <alignment horizontal="center" vertical="center"/>
    </xf>
  </cellXfs>
  <cellStyles count="2">
    <cellStyle name="桁区切り" xfId="1" builtinId="6"/>
    <cellStyle name="標準" xfId="0" builtinId="0"/>
  </cellStyles>
  <dxfs count="23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223837</xdr:rowOff>
    </xdr:from>
    <xdr:to>
      <xdr:col>19</xdr:col>
      <xdr:colOff>485775</xdr:colOff>
      <xdr:row>27</xdr:row>
      <xdr:rowOff>176212</xdr:rowOff>
    </xdr:to>
    <xdr:sp macro="" textlink="">
      <xdr:nvSpPr>
        <xdr:cNvPr id="3" name="テキスト ボックス 2">
          <a:extLst>
            <a:ext uri="{FF2B5EF4-FFF2-40B4-BE49-F238E27FC236}">
              <a16:creationId xmlns:a16="http://schemas.microsoft.com/office/drawing/2014/main" id="{3E3626B2-C909-4F7F-A121-FB052C75C0BB}"/>
            </a:ext>
          </a:extLst>
        </xdr:cNvPr>
        <xdr:cNvSpPr txBox="1"/>
      </xdr:nvSpPr>
      <xdr:spPr>
        <a:xfrm>
          <a:off x="6858000" y="500062"/>
          <a:ext cx="6657975" cy="6124575"/>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ja-JP" altLang="en-US" sz="1400" b="1"/>
            <a:t>メモの管理方法</a:t>
          </a:r>
          <a:endParaRPr lang="en-US" altLang="ja-JP" sz="1400" b="1"/>
        </a:p>
        <a:p>
          <a:endParaRPr lang="en-US" altLang="ja-JP" sz="1000" b="1"/>
        </a:p>
        <a:p>
          <a:r>
            <a:rPr lang="ja-JP" altLang="ja-JP" sz="1000" b="1"/>
            <a:t>① 前期No.履歴の引き継ぎ（必要時）</a:t>
          </a:r>
        </a:p>
        <a:p>
          <a:r>
            <a:rPr lang="ja-JP" altLang="ja-JP" sz="1000"/>
            <a:t>前年データや過去在庫番号の履歴を引き継ぐ場合は、最初に以下を実行します。</a:t>
          </a:r>
        </a:p>
        <a:p>
          <a:r>
            <a:rPr lang="ja-JP" altLang="ja-JP" sz="1000" b="1"/>
            <a:t>コメントを書き出す</a:t>
          </a:r>
        </a:p>
        <a:p>
          <a:r>
            <a:rPr lang="ja-JP" altLang="ja-JP" sz="1000"/>
            <a:t>A列セルのコメント欄に保存されている </a:t>
          </a:r>
          <a:r>
            <a:rPr lang="ja-JP" altLang="ja-JP" sz="1000" b="1"/>
            <a:t>過去の在庫番号履歴（前期No.）</a:t>
          </a:r>
          <a:r>
            <a:rPr lang="ja-JP" altLang="ja-JP" sz="1000"/>
            <a:t> を、BA列「前期のNo.」へ書き出します。</a:t>
          </a:r>
        </a:p>
        <a:p>
          <a:r>
            <a:rPr lang="ja-JP" altLang="ja-JP" sz="1000" b="1"/>
            <a:t>目的</a:t>
          </a:r>
        </a:p>
        <a:p>
          <a:r>
            <a:rPr lang="ja-JP" altLang="ja-JP" sz="1000"/>
            <a:t>コメント内の過去No.を見える化 </a:t>
          </a:r>
        </a:p>
        <a:p>
          <a:r>
            <a:rPr lang="ja-JP" altLang="ja-JP" sz="1000"/>
            <a:t>前期No.を一覧管理 </a:t>
          </a:r>
        </a:p>
        <a:p>
          <a:r>
            <a:rPr lang="ja-JP" altLang="ja-JP" sz="1000"/>
            <a:t>今期No.追加前の準備 </a:t>
          </a:r>
        </a:p>
        <a:p>
          <a:br>
            <a:rPr lang="ja-JP" altLang="ja-JP" sz="1000"/>
          </a:br>
          <a:endParaRPr lang="ja-JP" altLang="ja-JP" sz="1000"/>
        </a:p>
        <a:p>
          <a:r>
            <a:rPr lang="ja-JP" altLang="ja-JP" sz="1000" b="1"/>
            <a:t>今期のNoを追加</a:t>
          </a:r>
        </a:p>
        <a:p>
          <a:r>
            <a:rPr lang="ja-JP" altLang="ja-JP" sz="1000"/>
            <a:t>現在の在庫番号（A列）を、BA列の前期No.履歴に追加し、</a:t>
          </a:r>
          <a:br>
            <a:rPr lang="ja-JP" altLang="ja-JP" sz="1000"/>
          </a:br>
          <a:r>
            <a:rPr lang="ja-JP" altLang="ja-JP" sz="1000" b="1"/>
            <a:t>前期No. + 今期No. の履歴</a:t>
          </a:r>
          <a:r>
            <a:rPr lang="ja-JP" altLang="ja-JP" sz="1000"/>
            <a:t> を新しいコメントとしてA列へ再登録します。</a:t>
          </a:r>
        </a:p>
        <a:p>
          <a:endParaRPr lang="en-US" altLang="ja-JP" sz="1000" b="1"/>
        </a:p>
        <a:p>
          <a:r>
            <a:rPr lang="ja-JP" altLang="ja-JP" sz="1000" b="1"/>
            <a:t>目的</a:t>
          </a:r>
        </a:p>
        <a:p>
          <a:r>
            <a:rPr lang="ja-JP" altLang="ja-JP" sz="1000"/>
            <a:t>過去No. + 現在No. の履歴統合 </a:t>
          </a:r>
        </a:p>
        <a:p>
          <a:r>
            <a:rPr lang="ja-JP" altLang="ja-JP" sz="1000"/>
            <a:t>次年度以降も追跡可能 </a:t>
          </a:r>
        </a:p>
        <a:p>
          <a:r>
            <a:rPr lang="ja-JP" altLang="ja-JP" sz="1000"/>
            <a:t>同一商品の番号変遷管理 </a:t>
          </a:r>
        </a:p>
        <a:p>
          <a:br>
            <a:rPr lang="ja-JP" altLang="ja-JP" sz="1000"/>
          </a:br>
          <a:endParaRPr lang="ja-JP" altLang="ja-JP" sz="1000"/>
        </a:p>
        <a:p>
          <a:r>
            <a:rPr lang="ja-JP" altLang="ja-JP" sz="1000" b="1"/>
            <a:t>実行順</a:t>
          </a:r>
        </a:p>
        <a:p>
          <a:r>
            <a:rPr lang="ja-JP" altLang="en-US" sz="1000" b="0"/>
            <a:t>①</a:t>
          </a:r>
          <a:r>
            <a:rPr lang="ja-JP" altLang="ja-JP" sz="1000" b="0"/>
            <a:t>コメントを書き出す </a:t>
          </a:r>
        </a:p>
        <a:p>
          <a:r>
            <a:rPr lang="ja-JP" altLang="en-US" sz="1000" b="0"/>
            <a:t>②</a:t>
          </a:r>
          <a:r>
            <a:rPr lang="ja-JP" altLang="ja-JP" sz="1000" b="0"/>
            <a:t>今期のNoを追加 </a:t>
          </a:r>
        </a:p>
        <a:p>
          <a:br>
            <a:rPr lang="ja-JP" altLang="ja-JP" sz="1000"/>
          </a:br>
          <a:endParaRPr lang="ja-JP" altLang="ja-JP" sz="1000"/>
        </a:p>
        <a:p>
          <a:r>
            <a:rPr lang="ja-JP" altLang="ja-JP" sz="1000" b="1"/>
            <a:t>結果</a:t>
          </a:r>
        </a:p>
        <a:p>
          <a:r>
            <a:rPr lang="ja-JP" altLang="ja-JP" sz="1000"/>
            <a:t>BA列：前期No. + 今期No. </a:t>
          </a:r>
        </a:p>
        <a:p>
          <a:r>
            <a:rPr lang="ja-JP" altLang="ja-JP" sz="1000"/>
            <a:t>A列コメント：履歴統合済みNo.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139700</xdr:colOff>
      <xdr:row>0</xdr:row>
      <xdr:rowOff>146050</xdr:rowOff>
    </xdr:from>
    <xdr:to>
      <xdr:col>5</xdr:col>
      <xdr:colOff>31750</xdr:colOff>
      <xdr:row>2</xdr:row>
      <xdr:rowOff>95249</xdr:rowOff>
    </xdr:to>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2006600" y="146050"/>
          <a:ext cx="1863725" cy="425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残った仕入れ番号のリスト</a:t>
          </a:r>
          <a:endParaRPr kumimoji="1" lang="en-US" altLang="ja-JP" sz="1100"/>
        </a:p>
      </xdr:txBody>
    </xdr:sp>
    <xdr:clientData/>
  </xdr:twoCellAnchor>
  <xdr:twoCellAnchor>
    <xdr:from>
      <xdr:col>0</xdr:col>
      <xdr:colOff>76199</xdr:colOff>
      <xdr:row>7</xdr:row>
      <xdr:rowOff>158751</xdr:rowOff>
    </xdr:from>
    <xdr:to>
      <xdr:col>8</xdr:col>
      <xdr:colOff>61912</xdr:colOff>
      <xdr:row>9</xdr:row>
      <xdr:rowOff>9526</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76199" y="1725614"/>
          <a:ext cx="5795963" cy="2984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chemeClr val="accent1">
                  <a:lumMod val="75000"/>
                </a:schemeClr>
              </a:solidFill>
            </a:rPr>
            <a:t>↓</a:t>
          </a:r>
          <a:r>
            <a:rPr kumimoji="1" lang="ja-JP" altLang="en-US" sz="1400" b="1" i="0" u="none" strike="noStrike" kern="0" cap="none" spc="0" normalizeH="0" baseline="0" noProof="0">
              <a:ln>
                <a:noFill/>
              </a:ln>
              <a:solidFill>
                <a:srgbClr val="4472C4">
                  <a:lumMod val="75000"/>
                </a:srgbClr>
              </a:solidFill>
              <a:effectLst/>
              <a:uLnTx/>
              <a:uFillTx/>
              <a:latin typeface="+mn-lt"/>
              <a:ea typeface="+mn-ea"/>
              <a:cs typeface="+mn-cs"/>
            </a:rPr>
            <a:t>↓↓　ファイルの仕入番号リストを貼り付けてください</a:t>
          </a:r>
          <a:endParaRPr kumimoji="1" lang="ja-JP" altLang="en-US" sz="1400" b="1">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0</xdr:col>
      <xdr:colOff>0</xdr:colOff>
      <xdr:row>0</xdr:row>
      <xdr:rowOff>0</xdr:rowOff>
    </xdr:from>
    <xdr:to>
      <xdr:col>1</xdr:col>
      <xdr:colOff>590550</xdr:colOff>
      <xdr:row>2</xdr:row>
      <xdr:rowOff>76200</xdr:rowOff>
    </xdr:to>
    <xdr:sp macro="" textlink="">
      <xdr:nvSpPr>
        <xdr:cNvPr id="4" name="テキスト ボックス 3">
          <a:extLst>
            <a:ext uri="{FF2B5EF4-FFF2-40B4-BE49-F238E27FC236}">
              <a16:creationId xmlns:a16="http://schemas.microsoft.com/office/drawing/2014/main" id="{6EFE6D00-B5BC-42CD-B694-4878D7B8B5AA}"/>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731520</xdr:colOff>
      <xdr:row>0</xdr:row>
      <xdr:rowOff>111443</xdr:rowOff>
    </xdr:from>
    <xdr:to>
      <xdr:col>2</xdr:col>
      <xdr:colOff>549593</xdr:colOff>
      <xdr:row>2</xdr:row>
      <xdr:rowOff>130493</xdr:rowOff>
    </xdr:to>
    <xdr:pic>
      <xdr:nvPicPr>
        <xdr:cNvPr id="2" name="テキスト ボックス 16">
          <a:extLst>
            <a:ext uri="{FF2B5EF4-FFF2-40B4-BE49-F238E27FC236}">
              <a16:creationId xmlns:a16="http://schemas.microsoft.com/office/drawing/2014/main" id="{DAA062BC-EDA8-62D5-472A-34A55D18DF25}"/>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5895" y="111443"/>
          <a:ext cx="1361123"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704850</xdr:colOff>
      <xdr:row>2</xdr:row>
      <xdr:rowOff>76200</xdr:rowOff>
    </xdr:to>
    <xdr:pic>
      <xdr:nvPicPr>
        <xdr:cNvPr id="3" name="テキスト ボックス 4659">
          <a:extLst>
            <a:ext uri="{FF2B5EF4-FFF2-40B4-BE49-F238E27FC236}">
              <a16:creationId xmlns:a16="http://schemas.microsoft.com/office/drawing/2014/main" id="{BD3D7DC9-9CE0-44A2-4EEA-1CD59F045F15}"/>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097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464820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472440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xdr:from>
      <xdr:col>1</xdr:col>
      <xdr:colOff>1082675</xdr:colOff>
      <xdr:row>0</xdr:row>
      <xdr:rowOff>136525</xdr:rowOff>
    </xdr:from>
    <xdr:to>
      <xdr:col>3</xdr:col>
      <xdr:colOff>219075</xdr:colOff>
      <xdr:row>2</xdr:row>
      <xdr:rowOff>39498</xdr:rowOff>
    </xdr:to>
    <xdr:sp macro="" textlink="">
      <xdr:nvSpPr>
        <xdr:cNvPr id="23" name="テキスト ボックス 22">
          <a:extLst>
            <a:ext uri="{FF2B5EF4-FFF2-40B4-BE49-F238E27FC236}">
              <a16:creationId xmlns:a16="http://schemas.microsoft.com/office/drawing/2014/main" id="{00000000-0008-0000-0200-000017000000}"/>
            </a:ext>
          </a:extLst>
        </xdr:cNvPr>
        <xdr:cNvSpPr txBox="1"/>
      </xdr:nvSpPr>
      <xdr:spPr>
        <a:xfrm>
          <a:off x="1892300" y="136525"/>
          <a:ext cx="1365250" cy="3792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売約済リスト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0B95F3F5-0714-4D4F-9408-F11A65816058}"/>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9145348D-F981-42F6-846C-DA3B04B02F9C}"/>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E61A00C4-6140-403A-A245-610F731DE198}"/>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B465EE8B-0AFA-48B2-AC60-0575883196A0}"/>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AD3C351F-0E00-4C77-B0E5-61216A71E22E}"/>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2" name="テキスト ボックス 1">
          <a:extLst>
            <a:ext uri="{FF2B5EF4-FFF2-40B4-BE49-F238E27FC236}">
              <a16:creationId xmlns:a16="http://schemas.microsoft.com/office/drawing/2014/main" id="{13149B2A-18D2-472D-A38A-1D1B4BC3A9B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1303BF3B-E573-4EE0-97B1-42D6BFD8071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613514F5-2E06-4E6E-8483-82B0F4324F31}"/>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911D88B7-E987-49D4-A7D4-8473269F05B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CC4B49F0-ED2C-46F2-B105-E290767B4E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B4F519FF-24A7-49F1-9E68-FA2590D7202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614CD8FB-C048-4B1F-A3C7-8653F497758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1471BB34-899E-4687-8D2A-1468D69F4C4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05640B59-8F1C-486F-A242-B0AE2038FF2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6" name="テキスト ボックス 15">
          <a:extLst>
            <a:ext uri="{FF2B5EF4-FFF2-40B4-BE49-F238E27FC236}">
              <a16:creationId xmlns:a16="http://schemas.microsoft.com/office/drawing/2014/main" id="{84C2B6EB-D1DD-4FE4-9200-0BF364F03270}"/>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7" name="テキスト ボックス 16">
          <a:extLst>
            <a:ext uri="{FF2B5EF4-FFF2-40B4-BE49-F238E27FC236}">
              <a16:creationId xmlns:a16="http://schemas.microsoft.com/office/drawing/2014/main" id="{C88D5584-AC79-421A-8D9D-0D3629ED75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8" name="テキスト ボックス 17">
          <a:extLst>
            <a:ext uri="{FF2B5EF4-FFF2-40B4-BE49-F238E27FC236}">
              <a16:creationId xmlns:a16="http://schemas.microsoft.com/office/drawing/2014/main" id="{F53991C8-78D6-4D4F-B3E3-289815BAF78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xdr:twoCellAnchor>
    <xdr:from>
      <xdr:col>1</xdr:col>
      <xdr:colOff>1209675</xdr:colOff>
      <xdr:row>0</xdr:row>
      <xdr:rowOff>146051</xdr:rowOff>
    </xdr:from>
    <xdr:to>
      <xdr:col>3</xdr:col>
      <xdr:colOff>47625</xdr:colOff>
      <xdr:row>2</xdr:row>
      <xdr:rowOff>85725</xdr:rowOff>
    </xdr:to>
    <xdr:sp macro="" textlink="">
      <xdr:nvSpPr>
        <xdr:cNvPr id="2" name="テキスト ボックス 1">
          <a:extLst>
            <a:ext uri="{FF2B5EF4-FFF2-40B4-BE49-F238E27FC236}">
              <a16:creationId xmlns:a16="http://schemas.microsoft.com/office/drawing/2014/main" id="{D0AABC94-19F2-43C8-A049-94AADF9AC767}"/>
            </a:ext>
          </a:extLst>
        </xdr:cNvPr>
        <xdr:cNvSpPr txBox="1"/>
      </xdr:nvSpPr>
      <xdr:spPr>
        <a:xfrm>
          <a:off x="2019300" y="146051"/>
          <a:ext cx="1066800" cy="387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入力ミス</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3D379064-6DED-4CBD-8D59-DB0A3C863396}"/>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FB8DC2FF-6A65-43F5-B995-DE023A54A2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A7DBA9A0-EC96-4F65-967F-304592B98B7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A246D972-06EA-4DC6-8C15-524D4EBB52E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DCF41C3D-4367-4BA5-AF6C-C7D3DE78342F}"/>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B448A682-A7CA-48CD-A6A6-03199823DAF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4396558C-5D42-4792-828B-1C9D060C8E3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43A75383-2712-47E8-93C7-8BC812B91AC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BBD2BCD0-2E54-4229-87E4-9304CE58591E}"/>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1835B161-441F-4A6C-9F79-C9B2C054C0E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27DDADC2-EE2E-4069-84B4-833DC567C0A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ECD7E5FE-F93C-4CAC-8BC1-E2C86D2FB4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404DAC9C-22F9-4C9B-8F13-72D3F94438E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1</xdr:col>
      <xdr:colOff>1168400</xdr:colOff>
      <xdr:row>0</xdr:row>
      <xdr:rowOff>174625</xdr:rowOff>
    </xdr:from>
    <xdr:to>
      <xdr:col>3</xdr:col>
      <xdr:colOff>352425</xdr:colOff>
      <xdr:row>2</xdr:row>
      <xdr:rowOff>104775</xdr:rowOff>
    </xdr:to>
    <xdr:sp macro="" textlink="">
      <xdr:nvSpPr>
        <xdr:cNvPr id="2" name="テキスト ボックス 1">
          <a:extLst>
            <a:ext uri="{FF2B5EF4-FFF2-40B4-BE49-F238E27FC236}">
              <a16:creationId xmlns:a16="http://schemas.microsoft.com/office/drawing/2014/main" id="{27E4FEEF-65E1-4984-8001-0024F567F53D}"/>
            </a:ext>
          </a:extLst>
        </xdr:cNvPr>
        <xdr:cNvSpPr txBox="1"/>
      </xdr:nvSpPr>
      <xdr:spPr>
        <a:xfrm>
          <a:off x="1854200" y="174625"/>
          <a:ext cx="1389063"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a:t>
          </a:r>
          <a:r>
            <a:rPr kumimoji="1" lang="en-US" altLang="ja-JP" sz="1100"/>
            <a:t>(</a:t>
          </a:r>
          <a:r>
            <a:rPr kumimoji="1" lang="ja-JP" altLang="en-US" sz="1100"/>
            <a:t>仮</a:t>
          </a:r>
          <a:r>
            <a:rPr kumimoji="1" lang="en-US" altLang="ja-JP" sz="1100"/>
            <a:t>)</a:t>
          </a:r>
          <a:r>
            <a:rPr kumimoji="1" lang="ja-JP" altLang="en-US" sz="1100"/>
            <a:t>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937260</xdr:colOff>
          <xdr:row>0</xdr:row>
          <xdr:rowOff>152400</xdr:rowOff>
        </xdr:from>
        <xdr:to>
          <xdr:col>5</xdr:col>
          <xdr:colOff>1836420</xdr:colOff>
          <xdr:row>2</xdr:row>
          <xdr:rowOff>152400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6600"/>
                  </a:solidFill>
                  <a:latin typeface="游ゴシック"/>
                  <a:ea typeface="游ゴシック"/>
                </a:rPr>
                <a:t>赤</a:t>
              </a:r>
            </a:p>
            <a:p>
              <a:pPr algn="ctr" rtl="0">
                <a:defRPr sz="1000"/>
              </a:pPr>
              <a:endParaRPr lang="ja-JP" altLang="en-US" sz="1100" b="1" i="1" u="none" strike="noStrike" baseline="0">
                <a:solidFill>
                  <a:srgbClr val="FF66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723900</xdr:colOff>
      <xdr:row>2</xdr:row>
      <xdr:rowOff>76200</xdr:rowOff>
    </xdr:to>
    <xdr:sp macro="" textlink="">
      <xdr:nvSpPr>
        <xdr:cNvPr id="3" name="テキスト ボックス 2">
          <a:extLst>
            <a:ext uri="{FF2B5EF4-FFF2-40B4-BE49-F238E27FC236}">
              <a16:creationId xmlns:a16="http://schemas.microsoft.com/office/drawing/2014/main" id="{F157EA60-1F11-4C4B-B749-073FEE932937}"/>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xdr:twoCellAnchor>
    <xdr:from>
      <xdr:col>1</xdr:col>
      <xdr:colOff>1104900</xdr:colOff>
      <xdr:row>0</xdr:row>
      <xdr:rowOff>184150</xdr:rowOff>
    </xdr:from>
    <xdr:to>
      <xdr:col>3</xdr:col>
      <xdr:colOff>581025</xdr:colOff>
      <xdr:row>2</xdr:row>
      <xdr:rowOff>87123</xdr:rowOff>
    </xdr:to>
    <xdr:sp macro="" textlink="">
      <xdr:nvSpPr>
        <xdr:cNvPr id="2" name="テキスト ボックス 1">
          <a:extLst>
            <a:ext uri="{FF2B5EF4-FFF2-40B4-BE49-F238E27FC236}">
              <a16:creationId xmlns:a16="http://schemas.microsoft.com/office/drawing/2014/main" id="{4D3784AC-D4BB-40F1-A6D0-44024B945F52}"/>
            </a:ext>
          </a:extLst>
        </xdr:cNvPr>
        <xdr:cNvSpPr txBox="1"/>
      </xdr:nvSpPr>
      <xdr:spPr>
        <a:xfrm>
          <a:off x="1714500" y="184150"/>
          <a:ext cx="1647826" cy="350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在庫有リスト完成版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666B9B10-D9D2-4E01-8833-E706C25469B6}"/>
            </a:ext>
          </a:extLst>
        </xdr:cNvPr>
        <xdr:cNvSpPr txBox="1"/>
      </xdr:nvSpPr>
      <xdr:spPr>
        <a:xfrm>
          <a:off x="0" y="0"/>
          <a:ext cx="1209675"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mc:AlternateContent xmlns:mc="http://schemas.openxmlformats.org/markup-compatibility/2006">
    <mc:Choice xmlns:a14="http://schemas.microsoft.com/office/drawing/2010/main" Requires="a14">
      <xdr:twoCellAnchor>
        <xdr:from>
          <xdr:col>5</xdr:col>
          <xdr:colOff>1104900</xdr:colOff>
          <xdr:row>3</xdr:row>
          <xdr:rowOff>220980</xdr:rowOff>
        </xdr:from>
        <xdr:to>
          <xdr:col>6</xdr:col>
          <xdr:colOff>259080</xdr:colOff>
          <xdr:row>6</xdr:row>
          <xdr:rowOff>30480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B6D5-3ABA-4F9A-82E5-7C0C7A12DAD5}">
  <sheetPr codeName="操作手順">
    <tabColor theme="6" tint="-0.249977111117893"/>
  </sheetPr>
  <dimension ref="A1:A111"/>
  <sheetViews>
    <sheetView workbookViewId="0">
      <selection activeCell="E14" sqref="E14"/>
    </sheetView>
  </sheetViews>
  <sheetFormatPr defaultColWidth="9" defaultRowHeight="18"/>
  <cols>
    <col min="1" max="16384" width="9" style="1"/>
  </cols>
  <sheetData>
    <row r="1" spans="1:1" customFormat="1" ht="22.2">
      <c r="A1" s="23" t="s">
        <v>24</v>
      </c>
    </row>
    <row r="2" spans="1:1" customFormat="1">
      <c r="A2" s="24" t="s">
        <v>79</v>
      </c>
    </row>
    <row r="3" spans="1:1" customFormat="1"/>
    <row r="4" spans="1:1" customFormat="1" ht="39">
      <c r="A4" s="25" t="s">
        <v>25</v>
      </c>
    </row>
    <row r="5" spans="1:1" customFormat="1"/>
    <row r="6" spans="1:1" customFormat="1">
      <c r="A6" t="s">
        <v>26</v>
      </c>
    </row>
    <row r="7" spans="1:1" customFormat="1">
      <c r="A7" t="s">
        <v>27</v>
      </c>
    </row>
    <row r="8" spans="1:1" customFormat="1"/>
    <row r="9" spans="1:1" customFormat="1" ht="22.2">
      <c r="A9" s="23" t="s">
        <v>28</v>
      </c>
    </row>
    <row r="10" spans="1:1">
      <c r="A10" s="19"/>
    </row>
    <row r="11" spans="1:1">
      <c r="A11" s="20" t="s">
        <v>29</v>
      </c>
    </row>
    <row r="12" spans="1:1">
      <c r="A12" s="19" t="s">
        <v>30</v>
      </c>
    </row>
    <row r="13" spans="1:1">
      <c r="A13" s="19"/>
    </row>
    <row r="14" spans="1:1">
      <c r="A14" s="20" t="s">
        <v>31</v>
      </c>
    </row>
    <row r="15" spans="1:1">
      <c r="A15" s="19" t="s">
        <v>32</v>
      </c>
    </row>
    <row r="16" spans="1:1">
      <c r="A16" s="19"/>
    </row>
    <row r="17" spans="1:1">
      <c r="A17" s="20" t="s">
        <v>33</v>
      </c>
    </row>
    <row r="18" spans="1:1">
      <c r="A18" s="19" t="s">
        <v>34</v>
      </c>
    </row>
    <row r="19" spans="1:1">
      <c r="A19" s="19"/>
    </row>
    <row r="20" spans="1:1">
      <c r="A20" s="20" t="s">
        <v>35</v>
      </c>
    </row>
    <row r="21" spans="1:1">
      <c r="A21" s="19" t="s">
        <v>32</v>
      </c>
    </row>
    <row r="25" spans="1:1" ht="39">
      <c r="A25" s="18" t="s">
        <v>36</v>
      </c>
    </row>
    <row r="27" spans="1:1">
      <c r="A27" s="1" t="s">
        <v>37</v>
      </c>
    </row>
    <row r="28" spans="1:1">
      <c r="A28" s="1" t="s">
        <v>126</v>
      </c>
    </row>
    <row r="30" spans="1:1" ht="28.8">
      <c r="A30" s="21" t="s">
        <v>38</v>
      </c>
    </row>
    <row r="32" spans="1:1">
      <c r="A32" s="1" t="s">
        <v>39</v>
      </c>
    </row>
    <row r="33" spans="1:1">
      <c r="A33" s="1" t="s">
        <v>125</v>
      </c>
    </row>
    <row r="34" spans="1:1">
      <c r="A34" s="19"/>
    </row>
    <row r="35" spans="1:1">
      <c r="A35" s="20" t="s">
        <v>123</v>
      </c>
    </row>
    <row r="36" spans="1:1">
      <c r="A36" s="19" t="s">
        <v>41</v>
      </c>
    </row>
    <row r="37" spans="1:1">
      <c r="A37" s="19"/>
    </row>
    <row r="38" spans="1:1">
      <c r="A38" s="20" t="s">
        <v>42</v>
      </c>
    </row>
    <row r="39" spans="1:1">
      <c r="A39" s="19" t="s">
        <v>43</v>
      </c>
    </row>
    <row r="40" spans="1:1">
      <c r="A40" s="19"/>
    </row>
    <row r="41" spans="1:1">
      <c r="A41" s="20" t="s">
        <v>44</v>
      </c>
    </row>
    <row r="42" spans="1:1">
      <c r="A42" s="19" t="s">
        <v>45</v>
      </c>
    </row>
    <row r="45" spans="1:1" ht="28.8">
      <c r="A45" s="21" t="s">
        <v>46</v>
      </c>
    </row>
    <row r="47" spans="1:1">
      <c r="A47" s="1" t="s">
        <v>47</v>
      </c>
    </row>
    <row r="48" spans="1:1">
      <c r="A48" s="1" t="s">
        <v>124</v>
      </c>
    </row>
    <row r="49" spans="1:1">
      <c r="A49" s="19"/>
    </row>
    <row r="50" spans="1:1">
      <c r="A50" s="20" t="s">
        <v>40</v>
      </c>
    </row>
    <row r="51" spans="1:1">
      <c r="A51" s="19" t="s">
        <v>41</v>
      </c>
    </row>
    <row r="52" spans="1:1">
      <c r="A52" s="19"/>
    </row>
    <row r="53" spans="1:1">
      <c r="A53" s="20" t="s">
        <v>42</v>
      </c>
    </row>
    <row r="54" spans="1:1">
      <c r="A54" s="19" t="s">
        <v>43</v>
      </c>
    </row>
    <row r="55" spans="1:1">
      <c r="A55" s="19"/>
    </row>
    <row r="56" spans="1:1">
      <c r="A56" s="20" t="s">
        <v>48</v>
      </c>
    </row>
    <row r="57" spans="1:1">
      <c r="A57" s="19" t="s">
        <v>49</v>
      </c>
    </row>
    <row r="60" spans="1:1" ht="28.8">
      <c r="A60" s="21" t="s">
        <v>50</v>
      </c>
    </row>
    <row r="61" spans="1:1">
      <c r="A61" s="19"/>
    </row>
    <row r="62" spans="1:1">
      <c r="A62" s="20" t="s">
        <v>40</v>
      </c>
    </row>
    <row r="63" spans="1:1">
      <c r="A63" s="19" t="s">
        <v>51</v>
      </c>
    </row>
    <row r="64" spans="1:1">
      <c r="A64" s="19"/>
    </row>
    <row r="65" spans="1:1">
      <c r="A65" s="20" t="s">
        <v>42</v>
      </c>
    </row>
    <row r="66" spans="1:1">
      <c r="A66" s="19" t="s">
        <v>52</v>
      </c>
    </row>
    <row r="70" spans="1:1" ht="39">
      <c r="A70" s="18" t="s">
        <v>53</v>
      </c>
    </row>
    <row r="72" spans="1:1">
      <c r="A72" s="1" t="s">
        <v>54</v>
      </c>
    </row>
    <row r="74" spans="1:1" ht="22.2">
      <c r="A74" s="17" t="s">
        <v>55</v>
      </c>
    </row>
    <row r="75" spans="1:1">
      <c r="A75" s="19"/>
    </row>
    <row r="76" spans="1:1">
      <c r="A76" s="19" t="s">
        <v>56</v>
      </c>
    </row>
    <row r="77" spans="1:1">
      <c r="A77" s="19" t="s">
        <v>57</v>
      </c>
    </row>
    <row r="78" spans="1:1">
      <c r="A78" s="19" t="s">
        <v>58</v>
      </c>
    </row>
    <row r="80" spans="1:1" ht="22.2">
      <c r="A80" s="17" t="s">
        <v>59</v>
      </c>
    </row>
    <row r="81" spans="1:1">
      <c r="A81" s="19"/>
    </row>
    <row r="82" spans="1:1">
      <c r="A82" s="19" t="s">
        <v>60</v>
      </c>
    </row>
    <row r="83" spans="1:1">
      <c r="A83" s="19" t="s">
        <v>61</v>
      </c>
    </row>
    <row r="87" spans="1:1" ht="39">
      <c r="A87" s="18" t="s">
        <v>62</v>
      </c>
    </row>
    <row r="88" spans="1:1">
      <c r="A88" s="19"/>
    </row>
    <row r="89" spans="1:1">
      <c r="A89" s="20" t="s">
        <v>63</v>
      </c>
    </row>
    <row r="90" spans="1:1">
      <c r="A90" s="20" t="s">
        <v>64</v>
      </c>
    </row>
    <row r="91" spans="1:1">
      <c r="A91" s="20" t="s">
        <v>65</v>
      </c>
    </row>
    <row r="92" spans="1:1">
      <c r="A92" s="20" t="s">
        <v>66</v>
      </c>
    </row>
    <row r="96" spans="1:1" ht="39">
      <c r="A96" s="18" t="s">
        <v>67</v>
      </c>
    </row>
    <row r="97" spans="1:1">
      <c r="A97" s="19"/>
    </row>
    <row r="98" spans="1:1">
      <c r="A98" s="19" t="s">
        <v>68</v>
      </c>
    </row>
    <row r="99" spans="1:1">
      <c r="A99" s="20" t="s">
        <v>69</v>
      </c>
    </row>
    <row r="100" spans="1:1">
      <c r="A100" s="19" t="s">
        <v>70</v>
      </c>
    </row>
    <row r="101" spans="1:1">
      <c r="A101" s="19" t="s">
        <v>71</v>
      </c>
    </row>
    <row r="105" spans="1:1" ht="39">
      <c r="A105" s="18" t="s">
        <v>72</v>
      </c>
    </row>
    <row r="107" spans="1:1">
      <c r="A107" s="22" t="s">
        <v>73</v>
      </c>
    </row>
    <row r="108" spans="1:1">
      <c r="A108" s="1" t="s">
        <v>74</v>
      </c>
    </row>
    <row r="109" spans="1:1">
      <c r="A109" s="1" t="s">
        <v>75</v>
      </c>
    </row>
    <row r="110" spans="1:1">
      <c r="A110" s="1" t="s">
        <v>76</v>
      </c>
    </row>
    <row r="111" spans="1:1">
      <c r="A111" s="1" t="s">
        <v>77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A58F-8D67-4120-A6AC-3ACAFBA492E3}">
  <sheetPr codeName="残った仕入番号"/>
  <dimension ref="A1:L16"/>
  <sheetViews>
    <sheetView workbookViewId="0">
      <pane ySplit="9" topLeftCell="A10" activePane="bottomLeft" state="frozen"/>
      <selection pane="bottomLeft" activeCell="E21" sqref="E21"/>
    </sheetView>
  </sheetViews>
  <sheetFormatPr defaultColWidth="8.59765625" defaultRowHeight="18"/>
  <cols>
    <col min="1" max="1" width="10.69921875" style="12" customWidth="1"/>
    <col min="2" max="2" width="13.69921875" style="11" customWidth="1"/>
    <col min="3" max="16384" width="8.59765625" style="11"/>
  </cols>
  <sheetData>
    <row r="1" spans="1:12">
      <c r="A1" s="2"/>
      <c r="B1" s="2"/>
      <c r="C1" s="2"/>
      <c r="D1" s="2"/>
      <c r="E1" s="2"/>
      <c r="F1" s="2"/>
      <c r="G1" s="2"/>
      <c r="H1" s="2"/>
      <c r="I1" s="2"/>
      <c r="J1" s="2"/>
      <c r="K1" s="2"/>
      <c r="L1" s="2"/>
    </row>
    <row r="2" spans="1:12">
      <c r="A2" s="2"/>
      <c r="B2" s="13"/>
      <c r="C2" s="14"/>
      <c r="D2" s="15"/>
      <c r="E2" s="2"/>
      <c r="F2" s="246"/>
      <c r="G2" s="246"/>
      <c r="H2" s="246"/>
      <c r="I2" s="15"/>
      <c r="J2" s="2"/>
      <c r="K2" s="2"/>
      <c r="L2" s="2"/>
    </row>
    <row r="3" spans="1:12">
      <c r="A3" s="2"/>
      <c r="B3" s="2"/>
      <c r="C3" s="2"/>
      <c r="D3" s="2"/>
      <c r="E3" s="2"/>
      <c r="F3" s="2"/>
      <c r="G3" s="2"/>
      <c r="H3" s="2"/>
      <c r="I3" s="2"/>
      <c r="J3" s="2"/>
      <c r="K3" s="2"/>
      <c r="L3" s="2"/>
    </row>
    <row r="4" spans="1:12">
      <c r="A4" s="2"/>
      <c r="B4" s="2"/>
      <c r="C4" s="2"/>
      <c r="D4" s="2"/>
      <c r="E4" s="2"/>
      <c r="F4" s="2"/>
      <c r="G4" s="2"/>
      <c r="H4" s="2"/>
      <c r="I4" s="2"/>
      <c r="J4" s="2"/>
      <c r="K4" s="2"/>
      <c r="L4" s="2"/>
    </row>
    <row r="5" spans="1:12">
      <c r="A5" s="2"/>
      <c r="B5" s="3"/>
      <c r="C5" s="2"/>
      <c r="D5" s="2"/>
      <c r="E5" s="2"/>
      <c r="F5" s="2"/>
      <c r="G5" s="2"/>
      <c r="H5" s="2"/>
      <c r="I5" s="2"/>
      <c r="J5" s="2"/>
      <c r="K5" s="2"/>
      <c r="L5" s="2"/>
    </row>
    <row r="6" spans="1:12">
      <c r="A6" s="2"/>
      <c r="B6" s="2"/>
      <c r="C6" s="2"/>
      <c r="D6" s="2"/>
      <c r="E6" s="2"/>
      <c r="F6" s="2"/>
      <c r="G6" s="2"/>
      <c r="H6" s="2"/>
      <c r="I6" s="2"/>
      <c r="J6" s="2"/>
      <c r="K6" s="2"/>
      <c r="L6" s="2"/>
    </row>
    <row r="7" spans="1:12">
      <c r="A7" s="2"/>
      <c r="B7" s="2"/>
      <c r="C7" s="2"/>
      <c r="D7" s="2"/>
      <c r="E7" s="2"/>
      <c r="F7" s="2"/>
      <c r="G7" s="2"/>
      <c r="H7" s="2"/>
      <c r="I7" s="2"/>
      <c r="J7" s="2"/>
      <c r="K7" s="2"/>
      <c r="L7" s="2"/>
    </row>
    <row r="8" spans="1:12">
      <c r="A8" s="2"/>
      <c r="B8" s="2"/>
      <c r="C8" s="2"/>
      <c r="D8" s="2"/>
      <c r="E8" s="2"/>
      <c r="F8" s="2"/>
      <c r="G8" s="2"/>
      <c r="H8" s="2"/>
      <c r="I8" s="2"/>
      <c r="J8" s="2"/>
      <c r="K8" s="2"/>
      <c r="L8" s="2"/>
    </row>
    <row r="9" spans="1:12">
      <c r="A9" s="2"/>
      <c r="B9" s="2"/>
      <c r="C9" s="2"/>
      <c r="D9" s="2"/>
      <c r="E9" s="2"/>
      <c r="F9" s="2"/>
      <c r="G9" s="2"/>
      <c r="H9" s="2"/>
      <c r="I9" s="2"/>
      <c r="J9" s="2"/>
      <c r="K9" s="2"/>
      <c r="L9" s="2"/>
    </row>
    <row r="10" spans="1:12">
      <c r="A10" s="12" t="s">
        <v>97</v>
      </c>
    </row>
    <row r="11" spans="1:12">
      <c r="A11" s="12" t="s">
        <v>88</v>
      </c>
    </row>
    <row r="12" spans="1:12">
      <c r="A12" s="12" t="s">
        <v>93</v>
      </c>
    </row>
    <row r="13" spans="1:12">
      <c r="A13" s="12" t="s">
        <v>98</v>
      </c>
    </row>
    <row r="14" spans="1:12">
      <c r="A14" s="12" t="s">
        <v>105</v>
      </c>
    </row>
    <row r="15" spans="1:12">
      <c r="A15" s="12" t="s">
        <v>111</v>
      </c>
    </row>
    <row r="16" spans="1:12">
      <c r="A16" s="12" t="s">
        <v>116</v>
      </c>
    </row>
  </sheetData>
  <sheetProtection selectLockedCells="1"/>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C7735-FC47-40E7-BA91-D13A27A7A39E}">
  <sheetPr codeName="在庫管理表の本体"/>
  <dimension ref="A1:AC1471"/>
  <sheetViews>
    <sheetView tabSelected="1" workbookViewId="0">
      <pane xSplit="7" ySplit="9" topLeftCell="H10" activePane="bottomRight" state="frozen"/>
      <selection pane="topRight" activeCell="J1" sqref="J1"/>
      <selection pane="bottomLeft" activeCell="A10" sqref="A10"/>
      <selection pane="bottomRight" activeCell="D16" sqref="D16"/>
    </sheetView>
  </sheetViews>
  <sheetFormatPr defaultRowHeight="18"/>
  <cols>
    <col min="1" max="1" width="9.3984375" bestFit="1" customWidth="1"/>
    <col min="2" max="2" width="20.19921875" bestFit="1" customWidth="1"/>
    <col min="3" max="3" width="13.5" bestFit="1" customWidth="1"/>
    <col min="4" max="4" width="7.796875" bestFit="1" customWidth="1"/>
    <col min="5" max="5" width="3.3984375" bestFit="1" customWidth="1"/>
    <col min="6" max="6" width="29.59765625" bestFit="1" customWidth="1"/>
    <col min="7" max="7" width="9.59765625" bestFit="1" customWidth="1"/>
    <col min="8" max="8" width="6.796875" bestFit="1" customWidth="1"/>
    <col min="9" max="9" width="11.5" bestFit="1" customWidth="1"/>
    <col min="10" max="10" width="9.69921875" bestFit="1" customWidth="1"/>
    <col min="11" max="11" width="8.59765625" bestFit="1" customWidth="1"/>
    <col min="12" max="12" width="9.296875" bestFit="1" customWidth="1"/>
    <col min="13" max="13" width="8.59765625" bestFit="1" customWidth="1"/>
    <col min="14" max="14" width="11.5" bestFit="1" customWidth="1"/>
    <col min="15" max="15" width="10.59765625" bestFit="1" customWidth="1"/>
    <col min="16" max="16" width="21.3984375" bestFit="1" customWidth="1"/>
    <col min="17" max="17" width="4.796875" bestFit="1" customWidth="1"/>
    <col min="18" max="18" width="7.19921875" bestFit="1" customWidth="1"/>
    <col min="19" max="19" width="47.8984375" bestFit="1" customWidth="1"/>
    <col min="20" max="20" width="27.69921875" bestFit="1" customWidth="1"/>
    <col min="21" max="21" width="16.69921875" bestFit="1" customWidth="1"/>
    <col min="22" max="23" width="13.5" bestFit="1" customWidth="1"/>
    <col min="24" max="24" width="9.69921875" bestFit="1" customWidth="1"/>
    <col min="25" max="25" width="8.59765625" bestFit="1" customWidth="1"/>
    <col min="26" max="26" width="9.296875" bestFit="1" customWidth="1"/>
    <col min="27" max="27" width="7.5" bestFit="1" customWidth="1"/>
    <col min="28" max="28" width="10.19921875" bestFit="1" customWidth="1"/>
    <col min="29" max="29" width="8.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3"/>
      <c r="C2" s="3"/>
      <c r="D2" s="2"/>
      <c r="E2" s="2"/>
      <c r="F2" s="2"/>
      <c r="G2" s="2"/>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127</v>
      </c>
      <c r="E9" s="4"/>
      <c r="F9" s="41" t="s">
        <v>5</v>
      </c>
      <c r="G9" s="4" t="s">
        <v>6</v>
      </c>
      <c r="H9" s="5" t="s">
        <v>7</v>
      </c>
      <c r="I9" s="4" t="s">
        <v>22</v>
      </c>
      <c r="J9" s="4" t="s">
        <v>23</v>
      </c>
      <c r="K9" s="4" t="s">
        <v>10</v>
      </c>
      <c r="L9" s="4" t="s">
        <v>11</v>
      </c>
      <c r="M9" s="4" t="s">
        <v>12</v>
      </c>
      <c r="N9" s="4" t="s">
        <v>13</v>
      </c>
      <c r="O9" s="7" t="s">
        <v>20</v>
      </c>
      <c r="P9" s="4" t="s">
        <v>14</v>
      </c>
      <c r="Q9" s="244" t="s">
        <v>15</v>
      </c>
      <c r="R9" s="245"/>
      <c r="S9" s="245"/>
      <c r="T9" s="4" t="s">
        <v>16</v>
      </c>
      <c r="U9" s="8" t="s">
        <v>17</v>
      </c>
      <c r="V9" s="42" t="s">
        <v>18</v>
      </c>
      <c r="W9" s="4" t="s">
        <v>3</v>
      </c>
      <c r="X9" s="4" t="s">
        <v>8</v>
      </c>
      <c r="Y9" s="4" t="s">
        <v>9</v>
      </c>
      <c r="Z9" s="4" t="s">
        <v>11</v>
      </c>
      <c r="AA9" s="4" t="s">
        <v>13</v>
      </c>
      <c r="AB9" s="5" t="s">
        <v>19</v>
      </c>
      <c r="AC9" s="5" t="s">
        <v>78</v>
      </c>
    </row>
    <row r="10" spans="1:29" ht="17.100000000000001" customHeight="1" thickTop="1"/>
    <row r="11" spans="1:29" ht="17.100000000000001" customHeight="1"/>
    <row r="12" spans="1:29" ht="17.100000000000001" customHeight="1"/>
    <row r="13" spans="1:29" ht="17.100000000000001" customHeight="1"/>
    <row r="14" spans="1:29" ht="17.100000000000001" customHeight="1"/>
    <row r="15" spans="1:29" ht="17.100000000000001" customHeight="1"/>
    <row r="16" spans="1:29" ht="17.100000000000001" customHeight="1"/>
    <row r="17" ht="17.100000000000001" customHeight="1"/>
    <row r="18" ht="17.100000000000001" customHeight="1"/>
    <row r="19" ht="17.100000000000001" customHeight="1"/>
    <row r="20" ht="17.100000000000001" customHeight="1"/>
    <row r="21" ht="17.100000000000001" customHeight="1"/>
    <row r="22" ht="17.100000000000001" customHeight="1"/>
    <row r="23" ht="17.100000000000001" customHeight="1"/>
    <row r="24" ht="17.100000000000001" customHeight="1"/>
    <row r="25" ht="17.100000000000001" customHeight="1"/>
    <row r="26" ht="17.100000000000001" customHeight="1"/>
    <row r="27" ht="17.100000000000001" customHeight="1"/>
    <row r="28" ht="17.100000000000001" customHeight="1"/>
    <row r="29" ht="17.100000000000001" customHeight="1"/>
    <row r="30" ht="17.100000000000001" customHeight="1"/>
    <row r="31" ht="17.100000000000001" customHeight="1"/>
    <row r="32" ht="17.100000000000001" customHeight="1"/>
    <row r="33" ht="17.100000000000001" customHeight="1"/>
    <row r="34" ht="17.100000000000001" customHeight="1"/>
    <row r="35" ht="17.100000000000001" customHeight="1"/>
    <row r="36" ht="17.100000000000001" customHeight="1"/>
    <row r="37" ht="17.100000000000001" customHeight="1"/>
    <row r="38" ht="17.100000000000001" customHeight="1"/>
    <row r="39" ht="17.100000000000001" customHeight="1"/>
    <row r="40" ht="17.100000000000001" customHeight="1"/>
    <row r="41" ht="17.100000000000001" customHeight="1"/>
    <row r="42" ht="17.100000000000001" customHeight="1"/>
    <row r="43" ht="17.100000000000001" customHeight="1"/>
    <row r="44" ht="17.100000000000001" customHeight="1"/>
    <row r="45" ht="17.100000000000001" customHeight="1"/>
    <row r="46" ht="17.100000000000001" customHeight="1"/>
    <row r="47" ht="17.100000000000001" customHeight="1"/>
    <row r="48" ht="17.100000000000001" customHeight="1"/>
    <row r="49" ht="17.100000000000001" customHeight="1"/>
    <row r="50" ht="17.100000000000001" customHeight="1"/>
    <row r="51" ht="17.100000000000001" customHeight="1"/>
    <row r="52" ht="17.100000000000001" customHeight="1"/>
    <row r="53" ht="17.100000000000001" customHeight="1"/>
    <row r="54" ht="17.100000000000001" customHeight="1"/>
    <row r="55" ht="17.100000000000001" customHeight="1"/>
    <row r="56" ht="17.100000000000001" customHeight="1"/>
    <row r="57" ht="17.100000000000001" customHeight="1"/>
    <row r="58" ht="17.100000000000001" customHeight="1"/>
    <row r="59" ht="17.100000000000001" customHeight="1"/>
    <row r="60" ht="17.100000000000001" customHeight="1"/>
    <row r="61" ht="17.100000000000001" customHeight="1"/>
    <row r="62" ht="17.100000000000001" customHeight="1"/>
    <row r="63" ht="17.100000000000001" customHeight="1"/>
    <row r="64" ht="17.100000000000001" customHeight="1"/>
    <row r="65" ht="17.100000000000001" customHeight="1"/>
    <row r="66" ht="17.100000000000001" customHeight="1"/>
    <row r="67" ht="17.100000000000001" customHeight="1"/>
    <row r="68" ht="17.100000000000001" customHeight="1"/>
    <row r="69" ht="17.100000000000001" customHeight="1"/>
    <row r="70" ht="17.100000000000001" customHeight="1"/>
    <row r="71" ht="17.100000000000001" customHeight="1"/>
    <row r="72" ht="17.100000000000001" customHeight="1"/>
    <row r="73" ht="17.100000000000001" customHeight="1"/>
    <row r="74" ht="17.100000000000001" customHeight="1"/>
    <row r="75" ht="17.100000000000001" customHeight="1"/>
    <row r="76" ht="17.100000000000001" customHeight="1"/>
    <row r="77" ht="17.100000000000001" customHeight="1"/>
    <row r="78" ht="17.100000000000001" customHeight="1"/>
    <row r="79" ht="17.100000000000001" customHeight="1"/>
    <row r="80" ht="17.100000000000001" customHeight="1"/>
    <row r="81" ht="17.100000000000001" customHeight="1"/>
    <row r="82" ht="17.100000000000001" customHeight="1"/>
    <row r="83" ht="17.100000000000001" customHeight="1"/>
    <row r="84" ht="17.100000000000001" customHeight="1"/>
    <row r="85" ht="17.100000000000001" customHeight="1"/>
    <row r="86" ht="17.100000000000001" customHeight="1"/>
    <row r="87" ht="17.100000000000001" customHeight="1"/>
    <row r="88" ht="17.100000000000001" customHeight="1"/>
    <row r="89" ht="17.100000000000001" customHeight="1"/>
    <row r="90" ht="17.100000000000001" customHeight="1"/>
    <row r="91" ht="17.100000000000001" customHeight="1"/>
    <row r="92" ht="17.100000000000001" customHeight="1"/>
    <row r="93" ht="17.100000000000001" customHeight="1"/>
    <row r="94" ht="17.100000000000001" customHeight="1"/>
    <row r="95" ht="17.100000000000001" customHeight="1"/>
    <row r="96" ht="17.100000000000001" customHeight="1"/>
    <row r="97" ht="17.100000000000001" customHeight="1"/>
    <row r="98" ht="17.100000000000001" customHeight="1"/>
    <row r="99" ht="17.100000000000001" customHeight="1"/>
    <row r="100" ht="17.100000000000001" customHeight="1"/>
    <row r="101" ht="17.100000000000001" customHeight="1"/>
    <row r="102" ht="17.100000000000001" customHeight="1"/>
    <row r="103" ht="17.100000000000001" customHeight="1"/>
    <row r="104" ht="17.100000000000001" customHeight="1"/>
    <row r="105" ht="17.100000000000001" customHeight="1"/>
    <row r="106" ht="17.100000000000001" customHeight="1"/>
    <row r="107" ht="17.100000000000001" customHeight="1"/>
    <row r="108" ht="17.100000000000001" customHeight="1"/>
    <row r="109" ht="17.100000000000001" customHeight="1"/>
    <row r="110" ht="17.100000000000001" customHeight="1"/>
    <row r="111" ht="17.100000000000001" customHeight="1"/>
    <row r="112" ht="17.100000000000001" customHeight="1"/>
    <row r="113" ht="17.100000000000001" customHeight="1"/>
    <row r="114" ht="17.100000000000001" customHeight="1"/>
    <row r="115" ht="17.100000000000001" customHeight="1"/>
    <row r="116" ht="17.100000000000001" customHeight="1"/>
    <row r="117" ht="17.100000000000001" customHeight="1"/>
    <row r="118" ht="17.100000000000001" customHeight="1"/>
    <row r="119" ht="17.100000000000001" customHeight="1"/>
    <row r="120" ht="17.100000000000001" customHeight="1"/>
    <row r="121" ht="17.100000000000001" customHeight="1"/>
    <row r="122" ht="17.100000000000001" customHeight="1"/>
    <row r="123" ht="17.100000000000001" customHeight="1"/>
    <row r="124" ht="17.100000000000001" customHeight="1"/>
    <row r="125" ht="17.100000000000001" customHeight="1"/>
    <row r="126" ht="17.100000000000001" customHeight="1"/>
    <row r="127" ht="17.100000000000001" customHeight="1"/>
    <row r="128" ht="17.100000000000001" customHeight="1"/>
    <row r="129" ht="17.100000000000001" customHeight="1"/>
    <row r="130" ht="17.100000000000001" customHeight="1"/>
    <row r="131" ht="17.100000000000001" customHeight="1"/>
    <row r="132" ht="17.100000000000001" customHeight="1"/>
    <row r="133" ht="17.100000000000001" customHeight="1"/>
    <row r="134" ht="17.100000000000001" customHeight="1"/>
    <row r="135" ht="17.100000000000001" customHeight="1"/>
    <row r="136" ht="17.100000000000001" customHeight="1"/>
    <row r="137" ht="17.100000000000001" customHeight="1"/>
    <row r="138" ht="17.100000000000001" customHeight="1"/>
    <row r="139" ht="17.100000000000001" customHeight="1"/>
    <row r="140" ht="17.100000000000001" customHeight="1"/>
    <row r="141" ht="17.100000000000001" customHeight="1"/>
    <row r="142" ht="17.100000000000001" customHeight="1"/>
    <row r="143" ht="17.100000000000001" customHeight="1"/>
    <row r="144" ht="17.100000000000001" customHeight="1"/>
    <row r="145" ht="17.100000000000001" customHeight="1"/>
    <row r="146" ht="17.100000000000001" customHeight="1"/>
    <row r="147" ht="17.100000000000001" customHeight="1"/>
    <row r="148" ht="17.100000000000001" customHeight="1"/>
    <row r="149" ht="17.100000000000001" customHeight="1"/>
    <row r="150" ht="17.100000000000001" customHeight="1"/>
    <row r="151" ht="17.100000000000001" customHeight="1"/>
    <row r="152" ht="17.100000000000001" customHeight="1"/>
    <row r="153" ht="17.100000000000001" customHeight="1"/>
    <row r="154" ht="17.100000000000001" customHeight="1"/>
    <row r="155" ht="17.100000000000001" customHeight="1"/>
    <row r="156" ht="17.100000000000001" customHeight="1"/>
    <row r="157" ht="17.100000000000001" customHeight="1"/>
    <row r="158" ht="17.100000000000001" customHeight="1"/>
    <row r="159" ht="17.100000000000001" customHeight="1"/>
    <row r="160" ht="17.100000000000001" customHeight="1"/>
    <row r="161" ht="17.100000000000001" customHeight="1"/>
    <row r="162" ht="17.100000000000001" customHeight="1"/>
    <row r="163" ht="17.100000000000001" customHeight="1"/>
    <row r="164" ht="17.100000000000001" customHeight="1"/>
    <row r="165" ht="17.100000000000001" customHeight="1"/>
    <row r="166" ht="17.100000000000001" customHeight="1"/>
    <row r="167" ht="17.100000000000001" customHeight="1"/>
    <row r="168" ht="17.100000000000001" customHeight="1"/>
    <row r="169" ht="17.100000000000001" customHeight="1"/>
    <row r="170" ht="17.100000000000001" customHeight="1"/>
    <row r="171" ht="17.100000000000001" customHeight="1"/>
    <row r="172" ht="17.100000000000001" customHeight="1"/>
    <row r="173" ht="17.100000000000001" customHeight="1"/>
    <row r="174" ht="17.100000000000001" customHeight="1"/>
    <row r="175" ht="17.100000000000001" customHeight="1"/>
    <row r="176" ht="17.100000000000001" customHeight="1"/>
    <row r="177" ht="17.100000000000001" customHeight="1"/>
    <row r="178" ht="17.100000000000001" customHeight="1"/>
    <row r="179" ht="17.100000000000001" customHeight="1"/>
    <row r="180" ht="17.100000000000001" customHeight="1"/>
    <row r="181" ht="17.100000000000001" customHeight="1"/>
    <row r="182" ht="17.100000000000001" customHeight="1"/>
    <row r="183" ht="17.100000000000001" customHeight="1"/>
    <row r="184" ht="17.100000000000001" customHeight="1"/>
    <row r="185" ht="17.100000000000001" customHeight="1"/>
    <row r="186" ht="17.100000000000001" customHeight="1"/>
    <row r="187" ht="17.100000000000001" customHeight="1"/>
    <row r="188" ht="17.100000000000001" customHeight="1"/>
    <row r="189" ht="17.100000000000001" customHeight="1"/>
    <row r="190" ht="17.100000000000001" customHeight="1"/>
    <row r="191" ht="17.100000000000001" customHeight="1"/>
    <row r="192" ht="17.100000000000001" customHeight="1"/>
    <row r="193" ht="17.100000000000001" customHeight="1"/>
    <row r="194" ht="17.100000000000001" customHeight="1"/>
    <row r="195" ht="17.100000000000001" customHeight="1"/>
    <row r="196" ht="17.100000000000001" customHeight="1"/>
    <row r="197" ht="17.100000000000001" customHeight="1"/>
    <row r="198" ht="17.100000000000001" customHeight="1"/>
    <row r="199" ht="17.100000000000001" customHeight="1"/>
    <row r="200" ht="17.100000000000001" customHeight="1"/>
    <row r="201" ht="17.100000000000001" customHeight="1"/>
    <row r="202" ht="17.100000000000001" customHeight="1"/>
    <row r="203" ht="17.100000000000001" customHeight="1"/>
    <row r="204" ht="17.100000000000001" customHeight="1"/>
    <row r="205" ht="17.100000000000001" customHeight="1"/>
    <row r="206" ht="17.100000000000001" customHeight="1"/>
    <row r="207" ht="17.100000000000001" customHeight="1"/>
    <row r="208" ht="17.100000000000001" customHeight="1"/>
    <row r="209" ht="17.100000000000001" customHeight="1"/>
    <row r="210" ht="17.100000000000001" customHeight="1"/>
    <row r="211" ht="17.100000000000001" customHeight="1"/>
    <row r="212" ht="17.100000000000001" customHeight="1"/>
    <row r="213" ht="17.100000000000001" customHeight="1"/>
    <row r="214" ht="17.100000000000001" customHeight="1"/>
    <row r="215" ht="17.100000000000001" customHeight="1"/>
    <row r="216" ht="17.100000000000001" customHeight="1"/>
    <row r="217" ht="17.100000000000001" customHeight="1"/>
    <row r="218" ht="17.100000000000001" customHeight="1"/>
    <row r="219" ht="17.100000000000001" customHeight="1"/>
    <row r="220" ht="17.100000000000001" customHeight="1"/>
    <row r="221" ht="17.100000000000001" customHeight="1"/>
    <row r="222" ht="17.100000000000001" customHeight="1"/>
    <row r="223" ht="17.100000000000001" customHeight="1"/>
    <row r="224" ht="17.100000000000001" customHeight="1"/>
    <row r="225" ht="17.100000000000001" customHeight="1"/>
    <row r="226" ht="17.100000000000001" customHeight="1"/>
    <row r="227" ht="17.100000000000001" customHeight="1"/>
    <row r="228" ht="17.100000000000001" customHeight="1"/>
    <row r="229" ht="17.100000000000001" customHeight="1"/>
    <row r="230" ht="17.100000000000001" customHeight="1"/>
    <row r="231" ht="17.100000000000001" customHeight="1"/>
    <row r="232" ht="17.100000000000001" customHeight="1"/>
    <row r="233" ht="17.100000000000001" customHeight="1"/>
    <row r="234" ht="17.100000000000001" customHeight="1"/>
    <row r="235" ht="17.100000000000001" customHeight="1"/>
    <row r="236" ht="17.100000000000001" customHeight="1"/>
    <row r="237" ht="17.100000000000001" customHeight="1"/>
    <row r="238" ht="17.100000000000001" customHeight="1"/>
    <row r="239" ht="17.100000000000001" customHeight="1"/>
    <row r="240" ht="17.100000000000001" customHeight="1"/>
    <row r="241" ht="17.100000000000001" customHeight="1"/>
    <row r="242" ht="17.100000000000001" customHeight="1"/>
    <row r="243" ht="17.100000000000001" customHeight="1"/>
    <row r="244" ht="17.100000000000001" customHeight="1"/>
    <row r="245" ht="17.100000000000001" customHeight="1"/>
    <row r="246" ht="17.100000000000001" customHeight="1"/>
    <row r="247" ht="17.100000000000001" customHeight="1"/>
    <row r="248" ht="17.100000000000001" customHeight="1"/>
    <row r="249" ht="17.100000000000001" customHeight="1"/>
    <row r="250" ht="17.100000000000001" customHeight="1"/>
    <row r="251" ht="17.100000000000001" customHeight="1"/>
    <row r="252" ht="17.100000000000001" customHeight="1"/>
    <row r="253" ht="17.100000000000001" customHeight="1"/>
    <row r="254" ht="17.100000000000001" customHeight="1"/>
    <row r="255" ht="17.100000000000001" customHeight="1"/>
    <row r="256" ht="17.100000000000001" customHeight="1"/>
    <row r="257" ht="17.100000000000001" customHeight="1"/>
    <row r="258" ht="17.100000000000001" customHeight="1"/>
    <row r="259" ht="17.100000000000001" customHeight="1"/>
    <row r="260" ht="17.100000000000001" customHeight="1"/>
    <row r="261" ht="17.100000000000001" customHeight="1"/>
    <row r="262" ht="17.100000000000001" customHeight="1"/>
    <row r="263" ht="17.100000000000001" customHeight="1"/>
    <row r="264" ht="17.100000000000001" customHeight="1"/>
    <row r="265" ht="17.100000000000001" customHeight="1"/>
    <row r="266" ht="17.100000000000001" customHeight="1"/>
    <row r="267" ht="17.100000000000001" customHeight="1"/>
    <row r="268" ht="17.100000000000001" customHeight="1"/>
    <row r="269" ht="17.100000000000001" customHeight="1"/>
    <row r="270" ht="17.100000000000001" customHeight="1"/>
    <row r="271" ht="17.100000000000001" customHeight="1"/>
    <row r="272" ht="17.100000000000001" customHeight="1"/>
    <row r="273" ht="17.100000000000001" customHeight="1"/>
    <row r="274" ht="17.100000000000001" customHeight="1"/>
    <row r="275" ht="17.100000000000001" customHeight="1"/>
    <row r="276" ht="17.100000000000001" customHeight="1"/>
    <row r="277" ht="17.100000000000001" customHeight="1"/>
    <row r="278" ht="17.100000000000001" customHeight="1"/>
    <row r="279" ht="17.100000000000001" customHeight="1"/>
    <row r="280" ht="17.100000000000001" customHeight="1"/>
    <row r="281" ht="17.100000000000001" customHeight="1"/>
    <row r="282" ht="17.100000000000001" customHeight="1"/>
    <row r="283" ht="17.100000000000001" customHeight="1"/>
    <row r="284" ht="17.100000000000001" customHeight="1"/>
    <row r="285" ht="17.100000000000001" customHeight="1"/>
    <row r="286" ht="17.100000000000001" customHeight="1"/>
    <row r="287" ht="17.100000000000001" customHeight="1"/>
    <row r="288" ht="17.100000000000001" customHeight="1"/>
    <row r="289" ht="17.100000000000001" customHeight="1"/>
    <row r="290" ht="17.100000000000001" customHeight="1"/>
    <row r="291" ht="17.100000000000001" customHeight="1"/>
    <row r="292" ht="17.100000000000001" customHeight="1"/>
    <row r="293" ht="17.100000000000001" customHeight="1"/>
    <row r="294" ht="17.100000000000001" customHeight="1"/>
    <row r="295" ht="17.100000000000001" customHeight="1"/>
    <row r="296" ht="17.100000000000001" customHeight="1"/>
    <row r="297" ht="17.100000000000001" customHeight="1"/>
    <row r="298" ht="17.100000000000001" customHeight="1"/>
    <row r="299" ht="17.100000000000001" customHeight="1"/>
    <row r="300" ht="17.100000000000001" customHeight="1"/>
    <row r="301" ht="17.100000000000001" customHeight="1"/>
    <row r="302" ht="17.100000000000001" customHeight="1"/>
    <row r="303" ht="17.100000000000001" customHeight="1"/>
    <row r="304" ht="17.100000000000001" customHeight="1"/>
    <row r="305" ht="17.100000000000001" customHeight="1"/>
    <row r="306" ht="17.100000000000001" customHeight="1"/>
    <row r="307" ht="17.100000000000001" customHeight="1"/>
    <row r="308" ht="17.100000000000001" customHeight="1"/>
    <row r="309" ht="17.100000000000001" customHeight="1"/>
    <row r="310" ht="17.100000000000001" customHeight="1"/>
    <row r="311" ht="17.100000000000001" customHeight="1"/>
    <row r="312" ht="17.100000000000001" customHeight="1"/>
    <row r="313" ht="17.100000000000001" customHeight="1"/>
    <row r="314" ht="17.100000000000001" customHeight="1"/>
    <row r="315" ht="17.100000000000001" customHeight="1"/>
    <row r="316" ht="17.100000000000001" customHeight="1"/>
    <row r="317" ht="17.100000000000001" customHeight="1"/>
    <row r="318" ht="17.100000000000001" customHeight="1"/>
    <row r="319" ht="17.100000000000001" customHeight="1"/>
    <row r="320" ht="17.100000000000001" customHeight="1"/>
    <row r="321" ht="17.100000000000001" customHeight="1"/>
    <row r="322" ht="17.100000000000001" customHeight="1"/>
    <row r="323" ht="17.100000000000001" customHeight="1"/>
    <row r="324" ht="17.100000000000001" customHeight="1"/>
    <row r="325" ht="17.100000000000001" customHeight="1"/>
    <row r="326" ht="17.100000000000001" customHeight="1"/>
    <row r="327" ht="17.100000000000001" customHeight="1"/>
    <row r="328" ht="17.100000000000001" customHeight="1"/>
    <row r="329" ht="17.100000000000001" customHeight="1"/>
    <row r="330" ht="17.100000000000001" customHeight="1"/>
    <row r="331" ht="17.100000000000001" customHeight="1"/>
    <row r="332" ht="17.100000000000001" customHeight="1"/>
    <row r="333" ht="17.100000000000001" customHeight="1"/>
    <row r="334" ht="17.100000000000001" customHeight="1"/>
    <row r="335" ht="17.100000000000001" customHeight="1"/>
    <row r="336" ht="17.100000000000001" customHeight="1"/>
    <row r="337" ht="17.100000000000001" customHeight="1"/>
    <row r="338" ht="17.100000000000001" customHeight="1"/>
    <row r="339" ht="17.100000000000001" customHeight="1"/>
    <row r="340" ht="17.100000000000001" customHeight="1"/>
    <row r="341" ht="17.100000000000001" customHeight="1"/>
    <row r="342" ht="17.100000000000001" customHeight="1"/>
    <row r="343" ht="17.100000000000001" customHeight="1"/>
    <row r="344" ht="17.100000000000001" customHeight="1"/>
    <row r="345" ht="17.100000000000001" customHeight="1"/>
    <row r="346" ht="17.100000000000001" customHeight="1"/>
    <row r="347" ht="17.100000000000001" customHeight="1"/>
    <row r="348" ht="17.100000000000001" customHeight="1"/>
    <row r="349" ht="17.100000000000001" customHeight="1"/>
    <row r="350" ht="17.100000000000001" customHeight="1"/>
    <row r="351" ht="17.100000000000001" customHeight="1"/>
    <row r="352" ht="17.100000000000001" customHeight="1"/>
    <row r="353" ht="17.100000000000001" customHeight="1"/>
    <row r="354" ht="17.100000000000001" customHeight="1"/>
    <row r="355" ht="17.100000000000001" customHeight="1"/>
    <row r="356" ht="17.100000000000001" customHeight="1"/>
    <row r="357" ht="17.100000000000001" customHeight="1"/>
    <row r="358" ht="17.100000000000001" customHeight="1"/>
    <row r="359" ht="17.100000000000001" customHeight="1"/>
    <row r="360" ht="17.100000000000001" customHeight="1"/>
    <row r="361" ht="17.100000000000001" customHeight="1"/>
    <row r="362" ht="17.100000000000001" customHeight="1"/>
    <row r="363" ht="17.100000000000001" customHeight="1"/>
    <row r="364" ht="17.100000000000001" customHeight="1"/>
    <row r="365" ht="17.100000000000001" customHeight="1"/>
    <row r="366" ht="17.100000000000001" customHeight="1"/>
    <row r="367" ht="17.100000000000001" customHeight="1"/>
    <row r="368" ht="17.100000000000001" customHeight="1"/>
    <row r="369" ht="17.100000000000001" customHeight="1"/>
    <row r="370" ht="17.100000000000001" customHeight="1"/>
    <row r="371" ht="17.100000000000001" customHeight="1"/>
    <row r="372" ht="17.100000000000001" customHeight="1"/>
    <row r="373" ht="17.100000000000001" customHeight="1"/>
    <row r="374" ht="17.100000000000001" customHeight="1"/>
    <row r="375" ht="17.100000000000001" customHeight="1"/>
    <row r="376" ht="17.100000000000001" customHeight="1"/>
    <row r="377" ht="17.100000000000001" customHeight="1"/>
    <row r="378" ht="17.100000000000001" customHeight="1"/>
    <row r="379" ht="17.100000000000001" customHeight="1"/>
    <row r="380" ht="17.100000000000001" customHeight="1"/>
    <row r="381" ht="17.100000000000001" customHeight="1"/>
    <row r="382" ht="17.100000000000001" customHeight="1"/>
    <row r="383" ht="17.100000000000001" customHeight="1"/>
    <row r="384" ht="17.100000000000001" customHeight="1"/>
    <row r="385" ht="17.100000000000001" customHeight="1"/>
    <row r="386" ht="17.100000000000001" customHeight="1"/>
    <row r="387" ht="17.100000000000001" customHeight="1"/>
    <row r="388" ht="17.100000000000001" customHeight="1"/>
    <row r="389" ht="17.100000000000001" customHeight="1"/>
    <row r="390" ht="17.100000000000001" customHeight="1"/>
    <row r="391" ht="17.100000000000001" customHeight="1"/>
    <row r="392" ht="17.100000000000001" customHeight="1"/>
    <row r="393" ht="17.100000000000001" customHeight="1"/>
    <row r="394" ht="17.100000000000001" customHeight="1"/>
    <row r="395" ht="17.100000000000001" customHeight="1"/>
    <row r="396" ht="17.100000000000001" customHeight="1"/>
    <row r="397" ht="17.100000000000001" customHeight="1"/>
    <row r="398" ht="17.100000000000001" customHeight="1"/>
    <row r="399" ht="17.100000000000001" customHeight="1"/>
    <row r="400" ht="17.100000000000001" customHeight="1"/>
    <row r="401" ht="17.100000000000001" customHeight="1"/>
    <row r="402" ht="17.100000000000001" customHeight="1"/>
    <row r="403" ht="17.100000000000001" customHeight="1"/>
    <row r="404" ht="17.100000000000001" customHeight="1"/>
    <row r="405" ht="17.100000000000001" customHeight="1"/>
    <row r="406" ht="17.100000000000001" customHeight="1"/>
    <row r="407" ht="17.100000000000001" customHeight="1"/>
    <row r="408" ht="17.100000000000001" customHeight="1"/>
    <row r="409" ht="17.100000000000001" customHeight="1"/>
    <row r="410" ht="17.100000000000001" customHeight="1"/>
    <row r="411" ht="17.100000000000001" customHeight="1"/>
    <row r="412" ht="17.100000000000001" customHeight="1"/>
    <row r="413" ht="17.100000000000001" customHeight="1"/>
    <row r="414" ht="17.100000000000001" customHeight="1"/>
    <row r="415" ht="17.100000000000001" customHeight="1"/>
    <row r="416" ht="17.100000000000001" customHeight="1"/>
    <row r="417" ht="17.100000000000001" customHeight="1"/>
    <row r="418" ht="17.100000000000001" customHeight="1"/>
    <row r="419" ht="17.100000000000001" customHeight="1"/>
    <row r="420" ht="17.100000000000001" customHeight="1"/>
    <row r="421" ht="17.100000000000001" customHeight="1"/>
    <row r="422" ht="17.100000000000001" customHeight="1"/>
    <row r="423" ht="17.100000000000001" customHeight="1"/>
    <row r="424" ht="17.100000000000001" customHeight="1"/>
    <row r="425" ht="17.100000000000001" customHeight="1"/>
    <row r="426" ht="17.100000000000001" customHeight="1"/>
    <row r="427" ht="17.100000000000001" customHeight="1"/>
    <row r="428" ht="17.100000000000001" customHeight="1"/>
    <row r="429" ht="17.100000000000001" customHeight="1"/>
    <row r="430" ht="17.100000000000001" customHeight="1"/>
    <row r="431" ht="17.100000000000001" customHeight="1"/>
    <row r="432" ht="17.100000000000001" customHeight="1"/>
    <row r="433" ht="17.100000000000001" customHeight="1"/>
    <row r="434" ht="17.100000000000001" customHeight="1"/>
    <row r="435" ht="17.100000000000001" customHeight="1"/>
    <row r="436" ht="17.100000000000001" customHeight="1"/>
    <row r="437" ht="17.100000000000001" customHeight="1"/>
    <row r="438" ht="17.100000000000001" customHeight="1"/>
    <row r="439" ht="17.100000000000001" customHeight="1"/>
    <row r="440" ht="17.100000000000001" customHeight="1"/>
    <row r="441" ht="17.100000000000001" customHeight="1"/>
    <row r="442" ht="17.100000000000001" customHeight="1"/>
    <row r="443" ht="17.100000000000001" customHeight="1"/>
    <row r="444" ht="17.100000000000001" customHeight="1"/>
    <row r="445" ht="17.100000000000001" customHeight="1"/>
    <row r="446" ht="17.100000000000001" customHeight="1"/>
    <row r="447" ht="17.100000000000001" customHeight="1"/>
    <row r="448" ht="17.100000000000001" customHeight="1"/>
    <row r="449" ht="17.100000000000001" customHeight="1"/>
    <row r="450" ht="17.100000000000001" customHeight="1"/>
    <row r="451" ht="17.100000000000001" customHeight="1"/>
    <row r="452" ht="17.100000000000001" customHeight="1"/>
    <row r="453" ht="17.100000000000001" customHeight="1"/>
    <row r="454" ht="17.100000000000001" customHeight="1"/>
    <row r="455" ht="17.100000000000001" customHeight="1"/>
    <row r="456" ht="17.100000000000001" customHeight="1"/>
    <row r="457" ht="17.100000000000001" customHeight="1"/>
    <row r="458" ht="17.100000000000001" customHeight="1"/>
    <row r="459" ht="17.100000000000001" customHeight="1"/>
    <row r="460" ht="17.100000000000001" customHeight="1"/>
    <row r="461" ht="17.100000000000001" customHeight="1"/>
    <row r="462" ht="17.100000000000001" customHeight="1"/>
    <row r="463" ht="17.100000000000001" customHeight="1"/>
    <row r="464" ht="17.100000000000001" customHeight="1"/>
    <row r="465" ht="17.100000000000001" customHeight="1"/>
    <row r="466" ht="17.100000000000001" customHeight="1"/>
    <row r="467" ht="17.100000000000001" customHeight="1"/>
    <row r="468" ht="17.100000000000001" customHeight="1"/>
    <row r="469" ht="17.100000000000001" customHeight="1"/>
    <row r="470" ht="17.100000000000001" customHeight="1"/>
    <row r="471" ht="17.100000000000001" customHeight="1"/>
    <row r="472" ht="17.100000000000001" customHeight="1"/>
    <row r="473" ht="17.100000000000001" customHeight="1"/>
    <row r="474" ht="17.100000000000001" customHeight="1"/>
    <row r="475" ht="17.100000000000001" customHeight="1"/>
    <row r="476" ht="17.100000000000001" customHeight="1"/>
    <row r="477" ht="17.100000000000001" customHeight="1"/>
    <row r="478" ht="17.100000000000001" customHeight="1"/>
    <row r="479" ht="17.100000000000001" customHeight="1"/>
    <row r="480" ht="17.100000000000001" customHeight="1"/>
    <row r="481" ht="17.100000000000001" customHeight="1"/>
    <row r="482" ht="17.100000000000001" customHeight="1"/>
    <row r="483" ht="17.100000000000001" customHeight="1"/>
    <row r="484" ht="17.100000000000001" customHeight="1"/>
    <row r="485" ht="17.100000000000001" customHeight="1"/>
    <row r="486" ht="17.100000000000001" customHeight="1"/>
    <row r="487" ht="17.100000000000001" customHeight="1"/>
    <row r="488" ht="17.100000000000001" customHeight="1"/>
    <row r="489" ht="17.100000000000001" customHeight="1"/>
    <row r="490" ht="17.100000000000001" customHeight="1"/>
    <row r="491" ht="17.100000000000001" customHeight="1"/>
    <row r="492" ht="17.100000000000001" customHeight="1"/>
    <row r="493" ht="17.100000000000001" customHeight="1"/>
    <row r="494" ht="17.100000000000001" customHeight="1"/>
    <row r="495" ht="17.100000000000001" customHeight="1"/>
    <row r="496" ht="17.100000000000001" customHeight="1"/>
    <row r="497" ht="17.100000000000001" customHeight="1"/>
    <row r="498" ht="17.100000000000001" customHeight="1"/>
    <row r="499" ht="17.100000000000001" customHeight="1"/>
    <row r="500" ht="17.100000000000001" customHeight="1"/>
    <row r="501" ht="17.100000000000001" customHeight="1"/>
    <row r="502" ht="17.100000000000001" customHeight="1"/>
    <row r="503" ht="17.100000000000001" customHeight="1"/>
    <row r="504" ht="17.100000000000001" customHeight="1"/>
    <row r="505" ht="17.100000000000001" customHeight="1"/>
    <row r="506" ht="17.100000000000001" customHeight="1"/>
    <row r="507" ht="17.100000000000001" customHeight="1"/>
    <row r="508" ht="17.100000000000001" customHeight="1"/>
    <row r="509" ht="17.100000000000001" customHeight="1"/>
    <row r="510" ht="17.100000000000001" customHeight="1"/>
    <row r="511" ht="17.100000000000001" customHeight="1"/>
    <row r="512" ht="17.100000000000001" customHeight="1"/>
    <row r="513" ht="17.100000000000001" customHeight="1"/>
    <row r="514" ht="17.100000000000001" customHeight="1"/>
    <row r="515" ht="17.100000000000001" customHeight="1"/>
    <row r="516" ht="17.100000000000001" customHeight="1"/>
    <row r="517" ht="17.100000000000001" customHeight="1"/>
    <row r="518" ht="17.100000000000001" customHeight="1"/>
    <row r="519" ht="17.100000000000001" customHeight="1"/>
    <row r="520" ht="17.100000000000001" customHeight="1"/>
    <row r="521" ht="17.100000000000001" customHeight="1"/>
    <row r="522" ht="17.100000000000001" customHeight="1"/>
    <row r="523" ht="17.100000000000001" customHeight="1"/>
    <row r="524" ht="17.100000000000001" customHeight="1"/>
    <row r="525" ht="17.100000000000001" customHeight="1"/>
    <row r="526" ht="17.100000000000001" customHeight="1"/>
    <row r="527" ht="17.100000000000001" customHeight="1"/>
    <row r="528" ht="17.100000000000001" customHeight="1"/>
    <row r="529" ht="17.100000000000001" customHeight="1"/>
    <row r="530" ht="17.100000000000001" customHeight="1"/>
    <row r="531" ht="17.100000000000001" customHeight="1"/>
    <row r="532" ht="17.100000000000001" customHeight="1"/>
    <row r="533" ht="17.100000000000001" customHeight="1"/>
    <row r="534" ht="17.100000000000001" customHeight="1"/>
    <row r="535" ht="17.100000000000001" customHeight="1"/>
    <row r="536" ht="17.100000000000001" customHeight="1"/>
    <row r="537" ht="17.100000000000001" customHeight="1"/>
    <row r="538" ht="17.100000000000001" customHeight="1"/>
    <row r="539" ht="17.100000000000001" customHeight="1"/>
    <row r="540" ht="17.100000000000001" customHeight="1"/>
    <row r="541" ht="17.100000000000001" customHeight="1"/>
    <row r="542" ht="17.100000000000001" customHeight="1"/>
    <row r="543" ht="17.100000000000001" customHeight="1"/>
    <row r="544" ht="17.100000000000001" customHeight="1"/>
    <row r="545" ht="17.100000000000001" customHeight="1"/>
    <row r="546" ht="17.100000000000001" customHeight="1"/>
    <row r="547" ht="17.100000000000001" customHeight="1"/>
    <row r="548" ht="17.100000000000001" customHeight="1"/>
    <row r="549" ht="17.100000000000001" customHeight="1"/>
    <row r="550" ht="17.100000000000001" customHeight="1"/>
    <row r="551" ht="17.100000000000001" customHeight="1"/>
    <row r="552" ht="17.100000000000001" customHeight="1"/>
    <row r="553" ht="17.100000000000001" customHeight="1"/>
    <row r="554" ht="17.100000000000001" customHeight="1"/>
    <row r="555" ht="17.100000000000001" customHeight="1"/>
    <row r="556" ht="17.100000000000001" customHeight="1"/>
    <row r="557" ht="17.100000000000001" customHeight="1"/>
    <row r="558" ht="17.100000000000001" customHeight="1"/>
    <row r="559" ht="17.100000000000001" customHeight="1"/>
    <row r="560" ht="17.100000000000001" customHeight="1"/>
    <row r="561" ht="17.100000000000001" customHeight="1"/>
    <row r="562" ht="17.100000000000001" customHeight="1"/>
    <row r="563" ht="17.100000000000001" customHeight="1"/>
    <row r="564" ht="17.100000000000001" customHeight="1"/>
    <row r="565" ht="17.100000000000001" customHeight="1"/>
    <row r="566" ht="17.100000000000001" customHeight="1"/>
    <row r="567" ht="17.100000000000001" customHeight="1"/>
    <row r="568" ht="17.100000000000001" customHeight="1"/>
    <row r="569" ht="17.100000000000001" customHeight="1"/>
    <row r="570" ht="17.100000000000001" customHeight="1"/>
    <row r="571" ht="17.100000000000001" customHeight="1"/>
    <row r="572" ht="17.100000000000001" customHeight="1"/>
    <row r="573" ht="17.100000000000001" customHeight="1"/>
    <row r="574" ht="17.100000000000001" customHeight="1"/>
    <row r="575" ht="17.100000000000001" customHeight="1"/>
    <row r="576" ht="17.100000000000001" customHeight="1"/>
    <row r="577" ht="17.100000000000001" customHeight="1"/>
    <row r="578" ht="17.100000000000001" customHeight="1"/>
    <row r="579" ht="17.100000000000001" customHeight="1"/>
    <row r="580" ht="17.100000000000001" customHeight="1"/>
    <row r="581" ht="17.100000000000001" customHeight="1"/>
    <row r="582" ht="17.100000000000001" customHeight="1"/>
    <row r="583" ht="17.100000000000001" customHeight="1"/>
    <row r="584" ht="17.100000000000001" customHeight="1"/>
    <row r="585" ht="17.100000000000001" customHeight="1"/>
    <row r="586" ht="17.100000000000001" customHeight="1"/>
    <row r="587" ht="17.100000000000001" customHeight="1"/>
    <row r="588" ht="17.100000000000001" customHeight="1"/>
    <row r="589" ht="17.100000000000001" customHeight="1"/>
    <row r="590" ht="17.100000000000001" customHeight="1"/>
    <row r="591" ht="17.100000000000001" customHeight="1"/>
    <row r="592" ht="17.100000000000001" customHeight="1"/>
    <row r="593" ht="17.100000000000001" customHeight="1"/>
    <row r="594" ht="17.100000000000001" customHeight="1"/>
    <row r="595" ht="17.100000000000001" customHeight="1"/>
    <row r="596" ht="17.100000000000001" customHeight="1"/>
    <row r="597" ht="17.100000000000001" customHeight="1"/>
    <row r="598" ht="17.100000000000001" customHeight="1"/>
    <row r="599" ht="17.100000000000001" customHeight="1"/>
    <row r="600" ht="17.100000000000001" customHeight="1"/>
    <row r="601" ht="17.100000000000001" customHeight="1"/>
    <row r="602" ht="17.100000000000001" customHeight="1"/>
    <row r="603" ht="17.100000000000001" customHeight="1"/>
    <row r="604" ht="17.100000000000001" customHeight="1"/>
    <row r="605" ht="17.100000000000001" customHeight="1"/>
    <row r="606" ht="17.100000000000001" customHeight="1"/>
    <row r="607" ht="17.100000000000001" customHeight="1"/>
    <row r="608" ht="17.100000000000001" customHeight="1"/>
    <row r="609" ht="17.100000000000001" customHeight="1"/>
    <row r="610" ht="17.100000000000001" customHeight="1"/>
    <row r="611" ht="17.100000000000001" customHeight="1"/>
    <row r="612" ht="17.100000000000001" customHeight="1"/>
    <row r="613" ht="17.100000000000001" customHeight="1"/>
    <row r="614" ht="17.100000000000001" customHeight="1"/>
    <row r="615" ht="17.100000000000001" customHeight="1"/>
    <row r="616" ht="17.100000000000001" customHeight="1"/>
    <row r="617" ht="17.100000000000001" customHeight="1"/>
    <row r="618" ht="17.100000000000001" customHeight="1"/>
    <row r="619" ht="17.100000000000001" customHeight="1"/>
    <row r="620" ht="17.100000000000001" customHeight="1"/>
    <row r="621" ht="17.100000000000001" customHeight="1"/>
    <row r="622" ht="17.100000000000001" customHeight="1"/>
    <row r="623" ht="17.100000000000001" customHeight="1"/>
    <row r="624" ht="17.100000000000001" customHeight="1"/>
    <row r="625" ht="17.100000000000001" customHeight="1"/>
    <row r="626" ht="17.100000000000001" customHeight="1"/>
    <row r="627" ht="17.100000000000001" customHeight="1"/>
    <row r="628" ht="17.100000000000001" customHeight="1"/>
    <row r="629" ht="17.100000000000001" customHeight="1"/>
    <row r="630" ht="17.100000000000001" customHeight="1"/>
    <row r="631" ht="17.100000000000001" customHeight="1"/>
    <row r="632" ht="17.100000000000001" customHeight="1"/>
    <row r="633" ht="17.100000000000001" customHeight="1"/>
    <row r="634" ht="17.100000000000001" customHeight="1"/>
    <row r="635" ht="17.100000000000001" customHeight="1"/>
    <row r="636" ht="17.100000000000001" customHeight="1"/>
    <row r="637" ht="17.100000000000001" customHeight="1"/>
    <row r="638" ht="17.100000000000001" customHeight="1"/>
    <row r="639" ht="17.100000000000001" customHeight="1"/>
    <row r="640" ht="17.100000000000001" customHeight="1"/>
    <row r="641" ht="17.100000000000001" customHeight="1"/>
    <row r="642" ht="17.100000000000001" customHeight="1"/>
    <row r="643" ht="17.100000000000001" customHeight="1"/>
    <row r="644" ht="17.100000000000001" customHeight="1"/>
    <row r="645" ht="17.100000000000001" customHeight="1"/>
    <row r="646" ht="17.100000000000001" customHeight="1"/>
    <row r="647" ht="17.100000000000001" customHeight="1"/>
    <row r="648" ht="17.100000000000001" customHeight="1"/>
    <row r="649" ht="17.100000000000001" customHeight="1"/>
    <row r="650" ht="17.100000000000001" customHeight="1"/>
    <row r="651" ht="17.100000000000001" customHeight="1"/>
    <row r="652" ht="17.100000000000001" customHeight="1"/>
    <row r="653" ht="17.100000000000001" customHeight="1"/>
    <row r="654" ht="17.100000000000001" customHeight="1"/>
    <row r="655" ht="17.100000000000001" customHeight="1"/>
    <row r="656" ht="17.100000000000001" customHeight="1"/>
    <row r="657" ht="17.100000000000001" customHeight="1"/>
    <row r="658" ht="17.100000000000001" customHeight="1"/>
    <row r="659" ht="17.100000000000001" customHeight="1"/>
    <row r="660" ht="17.100000000000001" customHeight="1"/>
    <row r="661" ht="17.100000000000001" customHeight="1"/>
    <row r="662" ht="17.100000000000001" customHeight="1"/>
    <row r="663" ht="17.100000000000001" customHeight="1"/>
    <row r="664" ht="17.100000000000001" customHeight="1"/>
    <row r="665" ht="17.100000000000001" customHeight="1"/>
    <row r="666" ht="17.100000000000001" customHeight="1"/>
    <row r="667" ht="17.100000000000001" customHeight="1"/>
    <row r="668" ht="17.100000000000001" customHeight="1"/>
    <row r="669" ht="17.100000000000001" customHeight="1"/>
    <row r="670" ht="17.100000000000001" customHeight="1"/>
    <row r="671" ht="17.100000000000001" customHeight="1"/>
    <row r="672" ht="17.100000000000001" customHeight="1"/>
    <row r="673" ht="17.100000000000001" customHeight="1"/>
    <row r="674" ht="17.100000000000001" customHeight="1"/>
    <row r="675" ht="17.100000000000001" customHeight="1"/>
    <row r="676" ht="17.100000000000001" customHeight="1"/>
    <row r="677" ht="17.100000000000001" customHeight="1"/>
    <row r="678" ht="17.100000000000001" customHeight="1"/>
    <row r="679" ht="17.100000000000001" customHeight="1"/>
    <row r="680" ht="17.100000000000001" customHeight="1"/>
    <row r="681" ht="17.100000000000001" customHeight="1"/>
    <row r="682" ht="17.100000000000001" customHeight="1"/>
    <row r="683" ht="17.100000000000001" customHeight="1"/>
    <row r="684" ht="17.100000000000001" customHeight="1"/>
    <row r="685" ht="17.100000000000001" customHeight="1"/>
    <row r="686" ht="17.100000000000001" customHeight="1"/>
    <row r="687" ht="17.100000000000001" customHeight="1"/>
    <row r="688" ht="17.100000000000001" customHeight="1"/>
    <row r="689" ht="17.100000000000001" customHeight="1"/>
    <row r="690" ht="17.100000000000001" customHeight="1"/>
    <row r="691" ht="17.100000000000001" customHeight="1"/>
    <row r="692" ht="17.100000000000001" customHeight="1"/>
    <row r="693" ht="17.100000000000001" customHeight="1"/>
    <row r="694" ht="17.100000000000001" customHeight="1"/>
    <row r="695" ht="17.100000000000001" customHeight="1"/>
    <row r="696" ht="17.100000000000001" customHeight="1"/>
    <row r="697" ht="17.100000000000001" customHeight="1"/>
    <row r="698" ht="17.100000000000001" customHeight="1"/>
    <row r="699" ht="17.100000000000001" customHeight="1"/>
    <row r="700" ht="17.100000000000001" customHeight="1"/>
    <row r="701" ht="17.100000000000001" customHeight="1"/>
    <row r="702" ht="17.100000000000001" customHeight="1"/>
    <row r="703" ht="17.100000000000001" customHeight="1"/>
    <row r="704" ht="17.100000000000001" customHeight="1"/>
    <row r="705" ht="17.100000000000001" customHeight="1"/>
    <row r="706" ht="17.100000000000001" customHeight="1"/>
    <row r="707" ht="17.100000000000001" customHeight="1"/>
    <row r="708" ht="17.100000000000001" customHeight="1"/>
    <row r="709" ht="17.100000000000001" customHeight="1"/>
    <row r="710" ht="17.100000000000001" customHeight="1"/>
    <row r="711" ht="17.100000000000001" customHeight="1"/>
    <row r="712" ht="17.100000000000001" customHeight="1"/>
    <row r="713" ht="17.100000000000001" customHeight="1"/>
    <row r="714" ht="17.100000000000001" customHeight="1"/>
    <row r="715" ht="17.100000000000001" customHeight="1"/>
    <row r="716" ht="17.100000000000001" customHeight="1"/>
    <row r="717" ht="17.100000000000001" customHeight="1"/>
    <row r="718" ht="17.100000000000001" customHeight="1"/>
    <row r="719" ht="17.100000000000001" customHeight="1"/>
    <row r="720" ht="17.100000000000001" customHeight="1"/>
    <row r="721" ht="17.100000000000001" customHeight="1"/>
    <row r="722" ht="17.100000000000001" customHeight="1"/>
    <row r="723" ht="17.100000000000001" customHeight="1"/>
    <row r="724" ht="17.100000000000001" customHeight="1"/>
    <row r="725" ht="17.100000000000001" customHeight="1"/>
    <row r="726" ht="17.100000000000001" customHeight="1"/>
    <row r="727" ht="17.100000000000001" customHeight="1"/>
    <row r="728" ht="17.100000000000001" customHeight="1"/>
    <row r="729" ht="17.100000000000001" customHeight="1"/>
    <row r="730" ht="17.100000000000001" customHeight="1"/>
    <row r="731" ht="17.100000000000001" customHeight="1"/>
    <row r="732" ht="17.100000000000001" customHeight="1"/>
    <row r="733" ht="17.100000000000001" customHeight="1"/>
    <row r="734" ht="17.100000000000001" customHeight="1"/>
    <row r="735" ht="17.100000000000001" customHeight="1"/>
    <row r="736" ht="17.100000000000001" customHeight="1"/>
    <row r="737" ht="17.100000000000001" customHeight="1"/>
    <row r="738" ht="17.100000000000001" customHeight="1"/>
    <row r="739" ht="17.100000000000001" customHeight="1"/>
    <row r="740" ht="17.100000000000001" customHeight="1"/>
    <row r="741" ht="17.100000000000001" customHeight="1"/>
    <row r="742" ht="17.100000000000001" customHeight="1"/>
    <row r="743" ht="17.100000000000001" customHeight="1"/>
    <row r="744" ht="17.100000000000001" customHeight="1"/>
    <row r="745" ht="17.100000000000001" customHeight="1"/>
    <row r="746" ht="17.100000000000001" customHeight="1"/>
    <row r="747" ht="17.100000000000001" customHeight="1"/>
    <row r="748" ht="17.100000000000001" customHeight="1"/>
    <row r="749" ht="17.100000000000001" customHeight="1"/>
    <row r="750" ht="17.100000000000001" customHeight="1"/>
    <row r="751" ht="17.100000000000001" customHeight="1"/>
    <row r="752" ht="17.100000000000001" customHeight="1"/>
    <row r="753" ht="17.100000000000001" customHeight="1"/>
    <row r="754" ht="17.100000000000001" customHeight="1"/>
    <row r="755" ht="17.100000000000001" customHeight="1"/>
    <row r="756" ht="17.100000000000001" customHeight="1"/>
    <row r="757" ht="17.100000000000001" customHeight="1"/>
    <row r="758" ht="17.100000000000001" customHeight="1"/>
    <row r="759" ht="17.100000000000001" customHeight="1"/>
    <row r="760" ht="17.100000000000001" customHeight="1"/>
    <row r="761" ht="17.100000000000001" customHeight="1"/>
    <row r="762" ht="17.100000000000001" customHeight="1"/>
    <row r="763" ht="17.100000000000001" customHeight="1"/>
    <row r="764" ht="17.100000000000001" customHeight="1"/>
    <row r="765" ht="17.100000000000001" customHeight="1"/>
    <row r="766" ht="17.100000000000001" customHeight="1"/>
    <row r="767" ht="17.100000000000001" customHeight="1"/>
    <row r="768" ht="17.100000000000001" customHeight="1"/>
    <row r="769" ht="17.100000000000001" customHeight="1"/>
    <row r="770" ht="17.100000000000001" customHeight="1"/>
    <row r="771" ht="17.100000000000001" customHeight="1"/>
    <row r="772" ht="17.100000000000001" customHeight="1"/>
    <row r="773" ht="17.100000000000001" customHeight="1"/>
    <row r="774" ht="17.100000000000001" customHeight="1"/>
    <row r="775" ht="17.100000000000001" customHeight="1"/>
    <row r="776" ht="17.100000000000001" customHeight="1"/>
    <row r="777" ht="17.100000000000001" customHeight="1"/>
    <row r="778" ht="17.100000000000001" customHeight="1"/>
    <row r="779" ht="17.100000000000001" customHeight="1"/>
    <row r="780" ht="17.100000000000001" customHeight="1"/>
    <row r="781" ht="17.100000000000001" customHeight="1"/>
    <row r="782" ht="17.100000000000001" customHeight="1"/>
    <row r="783" ht="17.100000000000001" customHeight="1"/>
    <row r="784" ht="17.100000000000001" customHeight="1"/>
    <row r="785" ht="17.100000000000001" customHeight="1"/>
    <row r="786" ht="17.100000000000001" customHeight="1"/>
    <row r="787" ht="17.100000000000001" customHeight="1"/>
    <row r="788" ht="17.100000000000001" customHeight="1"/>
    <row r="789" ht="17.100000000000001" customHeight="1"/>
    <row r="790" ht="17.100000000000001" customHeight="1"/>
    <row r="791" ht="17.100000000000001" customHeight="1"/>
    <row r="792" ht="17.100000000000001" customHeight="1"/>
    <row r="793" ht="17.100000000000001" customHeight="1"/>
    <row r="794" ht="17.100000000000001" customHeight="1"/>
    <row r="795" ht="17.100000000000001" customHeight="1"/>
    <row r="796" ht="17.100000000000001" customHeight="1"/>
    <row r="797" ht="17.100000000000001" customHeight="1"/>
    <row r="798" ht="17.100000000000001" customHeight="1"/>
    <row r="799" ht="17.100000000000001" customHeight="1"/>
    <row r="800" ht="17.100000000000001" customHeight="1"/>
    <row r="801" ht="17.100000000000001" customHeight="1"/>
    <row r="802" ht="17.100000000000001" customHeight="1"/>
    <row r="803" ht="17.100000000000001" customHeight="1"/>
    <row r="804" ht="17.100000000000001" customHeight="1"/>
    <row r="805" ht="17.100000000000001" customHeight="1"/>
    <row r="806" ht="17.100000000000001" customHeight="1"/>
    <row r="807" ht="17.100000000000001" customHeight="1"/>
    <row r="808" ht="17.100000000000001" customHeight="1"/>
    <row r="809" ht="17.100000000000001" customHeight="1"/>
    <row r="810" ht="17.100000000000001" customHeight="1"/>
    <row r="811" ht="17.100000000000001" customHeight="1"/>
    <row r="812" ht="17.100000000000001" customHeight="1"/>
    <row r="813" ht="17.100000000000001" customHeight="1"/>
    <row r="814" ht="17.100000000000001" customHeight="1"/>
    <row r="815" ht="17.100000000000001" customHeight="1"/>
    <row r="816" ht="17.100000000000001" customHeight="1"/>
    <row r="817" ht="17.100000000000001" customHeight="1"/>
    <row r="818" ht="17.100000000000001" customHeight="1"/>
    <row r="819" ht="17.100000000000001" customHeight="1"/>
    <row r="820" ht="17.100000000000001" customHeight="1"/>
    <row r="821" ht="17.100000000000001" customHeight="1"/>
    <row r="822" ht="17.100000000000001" customHeight="1"/>
    <row r="823" ht="17.100000000000001" customHeight="1"/>
    <row r="824" ht="17.100000000000001" customHeight="1"/>
    <row r="825" ht="17.100000000000001" customHeight="1"/>
    <row r="826" ht="17.100000000000001" customHeight="1"/>
    <row r="827" ht="17.100000000000001" customHeight="1"/>
    <row r="828" ht="17.100000000000001" customHeight="1"/>
    <row r="829" ht="17.100000000000001" customHeight="1"/>
    <row r="830" ht="17.100000000000001" customHeight="1"/>
    <row r="831" ht="17.100000000000001" customHeight="1"/>
    <row r="832" ht="17.100000000000001" customHeight="1"/>
    <row r="833" ht="17.100000000000001" customHeight="1"/>
    <row r="834" ht="17.100000000000001" customHeight="1"/>
    <row r="835" ht="17.100000000000001" customHeight="1"/>
    <row r="836" ht="17.100000000000001" customHeight="1"/>
    <row r="837" ht="17.100000000000001" customHeight="1"/>
    <row r="838" ht="17.100000000000001" customHeight="1"/>
    <row r="839" ht="17.100000000000001" customHeight="1"/>
    <row r="840" ht="17.100000000000001" customHeight="1"/>
    <row r="841" ht="17.100000000000001" customHeight="1"/>
    <row r="842" ht="17.100000000000001" customHeight="1"/>
    <row r="843" ht="17.100000000000001" customHeight="1"/>
    <row r="844" ht="17.100000000000001" customHeight="1"/>
    <row r="845" ht="17.100000000000001" customHeight="1"/>
    <row r="846" ht="17.100000000000001" customHeight="1"/>
    <row r="847" ht="17.100000000000001" customHeight="1"/>
    <row r="848" ht="17.100000000000001" customHeight="1"/>
    <row r="849" ht="17.100000000000001" customHeight="1"/>
    <row r="850" ht="17.100000000000001" customHeight="1"/>
    <row r="851" ht="17.100000000000001" customHeight="1"/>
    <row r="852" ht="17.100000000000001" customHeight="1"/>
    <row r="853" ht="17.100000000000001" customHeight="1"/>
    <row r="854" ht="17.100000000000001" customHeight="1"/>
    <row r="855" ht="17.100000000000001" customHeight="1"/>
    <row r="856" ht="17.100000000000001" customHeight="1"/>
    <row r="857" ht="17.100000000000001" customHeight="1"/>
    <row r="858" ht="17.100000000000001" customHeight="1"/>
    <row r="859" ht="17.100000000000001" customHeight="1"/>
    <row r="860" ht="17.100000000000001" customHeight="1"/>
    <row r="861" ht="17.100000000000001" customHeight="1"/>
    <row r="862" ht="17.100000000000001" customHeight="1"/>
    <row r="863" ht="17.100000000000001" customHeight="1"/>
    <row r="864" ht="17.100000000000001" customHeight="1"/>
    <row r="865" ht="17.100000000000001" customHeight="1"/>
    <row r="866" ht="17.100000000000001" customHeight="1"/>
    <row r="867" ht="17.100000000000001" customHeight="1"/>
    <row r="868" ht="17.100000000000001" customHeight="1"/>
    <row r="869" ht="17.100000000000001" customHeight="1"/>
    <row r="870" ht="17.100000000000001" customHeight="1"/>
    <row r="871" ht="17.100000000000001" customHeight="1"/>
    <row r="872" ht="17.100000000000001" customHeight="1"/>
    <row r="873" ht="17.100000000000001" customHeight="1"/>
    <row r="874" ht="17.100000000000001" customHeight="1"/>
    <row r="875" ht="17.100000000000001" customHeight="1"/>
    <row r="876" ht="17.100000000000001" customHeight="1"/>
    <row r="877" ht="17.100000000000001" customHeight="1"/>
    <row r="878" ht="17.100000000000001" customHeight="1"/>
    <row r="879" ht="17.100000000000001" customHeight="1"/>
    <row r="880" ht="17.100000000000001" customHeight="1"/>
    <row r="881" ht="17.100000000000001" customHeight="1"/>
    <row r="882" ht="17.100000000000001" customHeight="1"/>
    <row r="883" ht="17.100000000000001" customHeight="1"/>
    <row r="884" ht="17.100000000000001" customHeight="1"/>
    <row r="885" ht="17.100000000000001" customHeight="1"/>
    <row r="886" ht="17.100000000000001" customHeight="1"/>
    <row r="887" ht="17.100000000000001" customHeight="1"/>
    <row r="888" ht="17.100000000000001" customHeight="1"/>
    <row r="889" ht="17.100000000000001" customHeight="1"/>
    <row r="890" ht="17.100000000000001" customHeight="1"/>
    <row r="891" ht="17.100000000000001" customHeight="1"/>
    <row r="892" ht="17.100000000000001" customHeight="1"/>
    <row r="893" ht="17.100000000000001" customHeight="1"/>
    <row r="894" ht="17.100000000000001" customHeight="1"/>
    <row r="895" ht="17.100000000000001" customHeight="1"/>
    <row r="896" ht="17.100000000000001" customHeight="1"/>
    <row r="897" ht="17.100000000000001" customHeight="1"/>
    <row r="898" ht="17.100000000000001" customHeight="1"/>
    <row r="899" ht="17.100000000000001" customHeight="1"/>
    <row r="900" ht="17.100000000000001" customHeight="1"/>
    <row r="901" ht="17.100000000000001" customHeight="1"/>
    <row r="902" ht="17.100000000000001" customHeight="1"/>
    <row r="903" ht="17.100000000000001" customHeight="1"/>
    <row r="904" ht="17.100000000000001" customHeight="1"/>
    <row r="905" ht="17.100000000000001" customHeight="1"/>
    <row r="906" ht="17.100000000000001" customHeight="1"/>
    <row r="907" ht="17.100000000000001" customHeight="1"/>
    <row r="908" ht="17.100000000000001" customHeight="1"/>
    <row r="909" ht="17.100000000000001" customHeight="1"/>
    <row r="910" ht="17.100000000000001" customHeight="1"/>
    <row r="911" ht="17.100000000000001" customHeight="1"/>
    <row r="912" ht="17.100000000000001" customHeight="1"/>
    <row r="913" ht="17.100000000000001" customHeight="1"/>
    <row r="914" ht="17.100000000000001" customHeight="1"/>
    <row r="915" ht="17.100000000000001" customHeight="1"/>
    <row r="916" ht="17.100000000000001" customHeight="1"/>
    <row r="917" ht="17.100000000000001" customHeight="1"/>
    <row r="918" ht="17.100000000000001" customHeight="1"/>
    <row r="919" ht="17.100000000000001" customHeight="1"/>
    <row r="920" ht="17.100000000000001" customHeight="1"/>
    <row r="921" ht="17.100000000000001" customHeight="1"/>
    <row r="922" ht="17.100000000000001" customHeight="1"/>
    <row r="923" ht="17.100000000000001" customHeight="1"/>
    <row r="924" ht="17.100000000000001" customHeight="1"/>
    <row r="925" ht="17.100000000000001" customHeight="1"/>
    <row r="926" ht="17.100000000000001" customHeight="1"/>
    <row r="927" ht="17.100000000000001" customHeight="1"/>
    <row r="928" ht="17.100000000000001" customHeight="1"/>
    <row r="929" ht="17.100000000000001" customHeight="1"/>
    <row r="930" ht="17.100000000000001" customHeight="1"/>
    <row r="931" ht="17.100000000000001" customHeight="1"/>
    <row r="932" ht="17.100000000000001" customHeight="1"/>
    <row r="933" ht="17.100000000000001" customHeight="1"/>
    <row r="934" ht="17.100000000000001" customHeight="1"/>
    <row r="935" ht="17.100000000000001" customHeight="1"/>
    <row r="936" ht="17.100000000000001" customHeight="1"/>
    <row r="937" ht="17.100000000000001" customHeight="1"/>
    <row r="938" ht="17.100000000000001" customHeight="1"/>
    <row r="939" ht="17.100000000000001" customHeight="1"/>
    <row r="940" ht="17.100000000000001" customHeight="1"/>
    <row r="941" ht="17.100000000000001" customHeight="1"/>
    <row r="942" ht="17.100000000000001" customHeight="1"/>
    <row r="943" ht="17.100000000000001" customHeight="1"/>
    <row r="944" ht="17.100000000000001" customHeight="1"/>
    <row r="945" ht="17.100000000000001" customHeight="1"/>
    <row r="946" ht="17.100000000000001" customHeight="1"/>
    <row r="947" ht="17.100000000000001" customHeight="1"/>
    <row r="948" ht="17.100000000000001" customHeight="1"/>
    <row r="949" ht="17.100000000000001" customHeight="1"/>
    <row r="950" ht="17.100000000000001" customHeight="1"/>
    <row r="951" ht="17.100000000000001" customHeight="1"/>
    <row r="952" ht="17.100000000000001" customHeight="1"/>
    <row r="953" ht="17.100000000000001" customHeight="1"/>
    <row r="954" ht="17.100000000000001" customHeight="1"/>
    <row r="955" ht="17.100000000000001" customHeight="1"/>
    <row r="956" ht="17.100000000000001" customHeight="1"/>
    <row r="957" ht="17.100000000000001" customHeight="1"/>
    <row r="958" ht="17.100000000000001" customHeight="1"/>
    <row r="959" ht="17.100000000000001" customHeight="1"/>
    <row r="960" ht="17.100000000000001" customHeight="1"/>
    <row r="961" ht="17.100000000000001" customHeight="1"/>
    <row r="962" ht="17.100000000000001" customHeight="1"/>
    <row r="963" ht="17.100000000000001" customHeight="1"/>
    <row r="964" ht="17.100000000000001" customHeight="1"/>
    <row r="965" ht="17.100000000000001" customHeight="1"/>
    <row r="966" ht="17.100000000000001" customHeight="1"/>
    <row r="967" ht="17.100000000000001" customHeight="1"/>
    <row r="968" ht="17.100000000000001" customHeight="1"/>
    <row r="969" ht="17.100000000000001" customHeight="1"/>
    <row r="970" ht="17.100000000000001" customHeight="1"/>
    <row r="971" ht="17.100000000000001" customHeight="1"/>
    <row r="972" ht="17.100000000000001" customHeight="1"/>
    <row r="973" ht="17.100000000000001" customHeight="1"/>
    <row r="974" ht="17.100000000000001" customHeight="1"/>
    <row r="975" ht="17.100000000000001" customHeight="1"/>
    <row r="976" ht="17.100000000000001" customHeight="1"/>
    <row r="977" ht="17.100000000000001" customHeight="1"/>
    <row r="978" ht="17.100000000000001" customHeight="1"/>
    <row r="979" ht="17.100000000000001" customHeight="1"/>
    <row r="980" ht="17.100000000000001" customHeight="1"/>
    <row r="981" ht="17.100000000000001" customHeight="1"/>
    <row r="982" ht="17.100000000000001" customHeight="1"/>
    <row r="983" ht="17.100000000000001" customHeight="1"/>
    <row r="984" ht="17.100000000000001" customHeight="1"/>
    <row r="985" ht="17.100000000000001" customHeight="1"/>
    <row r="986" ht="17.100000000000001" customHeight="1"/>
    <row r="987" ht="17.100000000000001" customHeight="1"/>
    <row r="988" ht="17.100000000000001" customHeight="1"/>
    <row r="989" ht="17.100000000000001" customHeight="1"/>
    <row r="990" ht="17.100000000000001" customHeight="1"/>
    <row r="991" ht="17.100000000000001" customHeight="1"/>
    <row r="992" ht="17.100000000000001" customHeight="1"/>
    <row r="993" ht="17.100000000000001" customHeight="1"/>
    <row r="994" ht="17.100000000000001" customHeight="1"/>
    <row r="995" ht="17.100000000000001" customHeight="1"/>
    <row r="996" ht="17.100000000000001" customHeight="1"/>
    <row r="997" ht="17.100000000000001" customHeight="1"/>
    <row r="998" ht="17.100000000000001" customHeight="1"/>
    <row r="999" ht="17.100000000000001" customHeight="1"/>
    <row r="1000" ht="17.100000000000001" customHeight="1"/>
    <row r="1001" ht="17.100000000000001" customHeight="1"/>
    <row r="1002" ht="17.100000000000001" customHeight="1"/>
    <row r="1003" ht="17.100000000000001" customHeight="1"/>
    <row r="1004" ht="17.100000000000001" customHeight="1"/>
    <row r="1005" ht="17.100000000000001" customHeight="1"/>
    <row r="1006" ht="17.100000000000001" customHeight="1"/>
    <row r="1007" ht="17.100000000000001" customHeight="1"/>
    <row r="1008" ht="17.100000000000001" customHeight="1"/>
    <row r="1009" ht="17.100000000000001" customHeight="1"/>
    <row r="1010" ht="17.100000000000001" customHeight="1"/>
    <row r="1011" ht="17.100000000000001" customHeight="1"/>
    <row r="1012" ht="17.100000000000001" customHeight="1"/>
    <row r="1013" ht="17.100000000000001" customHeight="1"/>
    <row r="1014" ht="17.100000000000001" customHeight="1"/>
    <row r="1015" ht="17.100000000000001" customHeight="1"/>
    <row r="1016" ht="17.100000000000001" customHeight="1"/>
    <row r="1017" ht="17.100000000000001" customHeight="1"/>
    <row r="1018" ht="17.100000000000001" customHeight="1"/>
    <row r="1019" ht="17.100000000000001" customHeight="1"/>
    <row r="1020" ht="17.100000000000001" customHeight="1"/>
    <row r="1021" ht="17.100000000000001" customHeight="1"/>
    <row r="1022" ht="17.100000000000001" customHeight="1"/>
    <row r="1023" ht="17.100000000000001" customHeight="1"/>
    <row r="1024" ht="17.100000000000001" customHeight="1"/>
    <row r="1025" ht="17.100000000000001" customHeight="1"/>
    <row r="1026" ht="17.100000000000001" customHeight="1"/>
    <row r="1027" ht="17.100000000000001" customHeight="1"/>
    <row r="1028" ht="17.100000000000001" customHeight="1"/>
    <row r="1029" ht="17.100000000000001" customHeight="1"/>
    <row r="1030" ht="17.100000000000001" customHeight="1"/>
    <row r="1031" ht="17.100000000000001" customHeight="1"/>
    <row r="1032" ht="17.100000000000001" customHeight="1"/>
    <row r="1033" ht="17.100000000000001" customHeight="1"/>
    <row r="1034" ht="17.100000000000001" customHeight="1"/>
    <row r="1035" ht="17.100000000000001" customHeight="1"/>
    <row r="1036" ht="17.100000000000001" customHeight="1"/>
    <row r="1037" ht="17.100000000000001" customHeight="1"/>
    <row r="1038" ht="17.100000000000001" customHeight="1"/>
    <row r="1039" ht="17.100000000000001" customHeight="1"/>
    <row r="1040" ht="17.100000000000001" customHeight="1"/>
    <row r="1041" ht="17.100000000000001" customHeight="1"/>
    <row r="1042" ht="17.100000000000001" customHeight="1"/>
    <row r="1043" ht="17.100000000000001" customHeight="1"/>
    <row r="1044" ht="17.100000000000001" customHeight="1"/>
    <row r="1045" ht="17.100000000000001" customHeight="1"/>
    <row r="1046" ht="17.100000000000001" customHeight="1"/>
    <row r="1047" ht="17.100000000000001" customHeight="1"/>
    <row r="1048" ht="17.100000000000001" customHeight="1"/>
    <row r="1049" ht="17.100000000000001" customHeight="1"/>
    <row r="1050" ht="17.100000000000001" customHeight="1"/>
    <row r="1051" ht="17.100000000000001" customHeight="1"/>
    <row r="1052" ht="17.100000000000001" customHeight="1"/>
    <row r="1053" ht="17.100000000000001" customHeight="1"/>
    <row r="1054" ht="17.100000000000001" customHeight="1"/>
    <row r="1055" ht="17.100000000000001" customHeight="1"/>
    <row r="1056" ht="17.100000000000001" customHeight="1"/>
    <row r="1057" ht="17.100000000000001" customHeight="1"/>
    <row r="1058" ht="17.100000000000001" customHeight="1"/>
    <row r="1059" ht="17.100000000000001" customHeight="1"/>
    <row r="1060" ht="17.100000000000001" customHeight="1"/>
    <row r="1061" ht="17.100000000000001" customHeight="1"/>
    <row r="1062" ht="17.100000000000001" customHeight="1"/>
    <row r="1063" ht="17.100000000000001" customHeight="1"/>
    <row r="1064" ht="17.100000000000001" customHeight="1"/>
    <row r="1065" ht="17.100000000000001" customHeight="1"/>
    <row r="1066" ht="17.100000000000001" customHeight="1"/>
    <row r="1067" ht="17.100000000000001" customHeight="1"/>
    <row r="1068" ht="17.100000000000001" customHeight="1"/>
    <row r="1069" ht="17.100000000000001" customHeight="1"/>
    <row r="1070" ht="17.100000000000001" customHeight="1"/>
    <row r="1071" ht="17.100000000000001" customHeight="1"/>
    <row r="1072" ht="17.100000000000001" customHeight="1"/>
    <row r="1073" ht="17.100000000000001" customHeight="1"/>
    <row r="1074" ht="17.100000000000001" customHeight="1"/>
    <row r="1075" ht="17.100000000000001" customHeight="1"/>
    <row r="1076" ht="17.100000000000001" customHeight="1"/>
    <row r="1077" ht="17.100000000000001" customHeight="1"/>
    <row r="1078" ht="17.100000000000001" customHeight="1"/>
    <row r="1079" ht="17.100000000000001" customHeight="1"/>
    <row r="1080" ht="17.100000000000001" customHeight="1"/>
    <row r="1081" ht="17.100000000000001" customHeight="1"/>
    <row r="1082" ht="17.100000000000001" customHeight="1"/>
    <row r="1083" ht="17.100000000000001" customHeight="1"/>
    <row r="1084" ht="17.100000000000001" customHeight="1"/>
    <row r="1085" ht="17.100000000000001" customHeight="1"/>
    <row r="1086" ht="17.100000000000001" customHeight="1"/>
    <row r="1087" ht="17.100000000000001" customHeight="1"/>
    <row r="1088" ht="17.100000000000001" customHeight="1"/>
    <row r="1089" ht="17.100000000000001" customHeight="1"/>
    <row r="1090" ht="17.100000000000001" customHeight="1"/>
    <row r="1091" ht="17.100000000000001" customHeight="1"/>
    <row r="1092" ht="17.100000000000001" customHeight="1"/>
    <row r="1093" ht="17.100000000000001" customHeight="1"/>
    <row r="1094" ht="17.100000000000001" customHeight="1"/>
    <row r="1095" ht="17.100000000000001" customHeight="1"/>
    <row r="1096" ht="17.100000000000001" customHeight="1"/>
    <row r="1097" ht="17.100000000000001" customHeight="1"/>
    <row r="1098" ht="17.100000000000001" customHeight="1"/>
    <row r="1099" ht="17.100000000000001" customHeight="1"/>
    <row r="1100" ht="17.100000000000001" customHeight="1"/>
    <row r="1101" ht="17.100000000000001" customHeight="1"/>
    <row r="1102" ht="17.100000000000001" customHeight="1"/>
    <row r="1103" ht="17.100000000000001" customHeight="1"/>
    <row r="1104" ht="17.100000000000001" customHeight="1"/>
    <row r="1105" ht="17.100000000000001" customHeight="1"/>
    <row r="1106" ht="17.100000000000001" customHeight="1"/>
    <row r="1107" ht="17.100000000000001" customHeight="1"/>
    <row r="1108" ht="17.100000000000001" customHeight="1"/>
    <row r="1109" ht="17.100000000000001" customHeight="1"/>
    <row r="1110" ht="17.100000000000001" customHeight="1"/>
    <row r="1111" ht="17.100000000000001" customHeight="1"/>
    <row r="1112" ht="17.100000000000001" customHeight="1"/>
    <row r="1113" ht="17.100000000000001" customHeight="1"/>
    <row r="1114" ht="17.100000000000001" customHeight="1"/>
    <row r="1115" ht="17.100000000000001" customHeight="1"/>
    <row r="1116" ht="17.100000000000001" customHeight="1"/>
    <row r="1117" ht="17.100000000000001" customHeight="1"/>
    <row r="1118" ht="17.100000000000001" customHeight="1"/>
    <row r="1119" ht="17.100000000000001" customHeight="1"/>
    <row r="1120" ht="17.100000000000001" customHeight="1"/>
    <row r="1121" ht="17.100000000000001" customHeight="1"/>
    <row r="1122" ht="17.100000000000001" customHeight="1"/>
    <row r="1123" ht="17.100000000000001" customHeight="1"/>
    <row r="1124" ht="17.100000000000001" customHeight="1"/>
    <row r="1125" ht="17.100000000000001" customHeight="1"/>
    <row r="1126" ht="17.100000000000001" customHeight="1"/>
    <row r="1127" ht="17.100000000000001" customHeight="1"/>
    <row r="1128" ht="17.100000000000001" customHeight="1"/>
    <row r="1129" ht="17.100000000000001" customHeight="1"/>
    <row r="1130" ht="17.100000000000001" customHeight="1"/>
    <row r="1131" ht="17.100000000000001" customHeight="1"/>
    <row r="1132" ht="17.100000000000001" customHeight="1"/>
    <row r="1133" ht="17.100000000000001" customHeight="1"/>
    <row r="1134" ht="17.100000000000001" customHeight="1"/>
    <row r="1135" ht="17.100000000000001" customHeight="1"/>
    <row r="1136" ht="17.100000000000001" customHeight="1"/>
    <row r="1137" ht="17.100000000000001" customHeight="1"/>
    <row r="1138" ht="17.100000000000001" customHeight="1"/>
    <row r="1139" ht="17.100000000000001" customHeight="1"/>
    <row r="1140" ht="17.100000000000001" customHeight="1"/>
    <row r="1141" ht="17.100000000000001" customHeight="1"/>
    <row r="1142" ht="17.100000000000001" customHeight="1"/>
    <row r="1143" ht="17.100000000000001" customHeight="1"/>
    <row r="1144" ht="17.100000000000001" customHeight="1"/>
    <row r="1145" ht="17.100000000000001" customHeight="1"/>
    <row r="1146" ht="17.100000000000001" customHeight="1"/>
    <row r="1147" ht="17.100000000000001" customHeight="1"/>
    <row r="1148" ht="17.100000000000001" customHeight="1"/>
    <row r="1149" ht="17.100000000000001" customHeight="1"/>
    <row r="1150" ht="17.100000000000001" customHeight="1"/>
    <row r="1151" ht="17.100000000000001" customHeight="1"/>
    <row r="1152" ht="17.100000000000001" customHeight="1"/>
    <row r="1153" ht="17.100000000000001" customHeight="1"/>
    <row r="1154" ht="17.100000000000001" customHeight="1"/>
    <row r="1155" ht="17.100000000000001" customHeight="1"/>
    <row r="1156" ht="17.100000000000001" customHeight="1"/>
    <row r="1157" ht="17.100000000000001" customHeight="1"/>
    <row r="1158" ht="17.100000000000001" customHeight="1"/>
    <row r="1159" ht="17.100000000000001" customHeight="1"/>
    <row r="1160" ht="17.100000000000001" customHeight="1"/>
    <row r="1161" ht="17.100000000000001" customHeight="1"/>
    <row r="1162" ht="17.100000000000001" customHeight="1"/>
    <row r="1163" ht="17.100000000000001" customHeight="1"/>
    <row r="1164" ht="17.100000000000001" customHeight="1"/>
    <row r="1165" ht="17.100000000000001" customHeight="1"/>
    <row r="1166" ht="17.100000000000001" customHeight="1"/>
    <row r="1167" ht="17.100000000000001" customHeight="1"/>
    <row r="1168" ht="17.100000000000001" customHeight="1"/>
    <row r="1169" ht="17.100000000000001" customHeight="1"/>
    <row r="1170" ht="17.100000000000001" customHeight="1"/>
    <row r="1171" ht="17.100000000000001" customHeight="1"/>
    <row r="1172" ht="17.100000000000001" customHeight="1"/>
    <row r="1173" ht="17.100000000000001" customHeight="1"/>
    <row r="1174" ht="17.100000000000001" customHeight="1"/>
    <row r="1175" ht="17.100000000000001" customHeight="1"/>
    <row r="1176" ht="17.100000000000001" customHeight="1"/>
    <row r="1177" ht="17.100000000000001" customHeight="1"/>
    <row r="1178" ht="17.100000000000001" customHeight="1"/>
    <row r="1179" ht="17.100000000000001" customHeight="1"/>
    <row r="1180" ht="17.100000000000001" customHeight="1"/>
    <row r="1181" ht="17.100000000000001" customHeight="1"/>
    <row r="1182" ht="17.100000000000001" customHeight="1"/>
    <row r="1183" ht="17.100000000000001" customHeight="1"/>
    <row r="1184" ht="17.100000000000001" customHeight="1"/>
    <row r="1185" ht="17.100000000000001" customHeight="1"/>
    <row r="1186" ht="17.100000000000001" customHeight="1"/>
    <row r="1187" ht="17.100000000000001" customHeight="1"/>
    <row r="1188" ht="17.100000000000001" customHeight="1"/>
    <row r="1189" ht="17.100000000000001" customHeight="1"/>
    <row r="1190" ht="17.100000000000001" customHeight="1"/>
    <row r="1191" ht="17.100000000000001" customHeight="1"/>
    <row r="1192" ht="17.100000000000001" customHeight="1"/>
    <row r="1193" ht="17.100000000000001" customHeight="1"/>
    <row r="1194" ht="17.100000000000001" customHeight="1"/>
    <row r="1195" ht="17.100000000000001" customHeight="1"/>
    <row r="1196" ht="17.100000000000001" customHeight="1"/>
    <row r="1197" ht="17.100000000000001" customHeight="1"/>
    <row r="1198" ht="17.100000000000001" customHeight="1"/>
    <row r="1199" ht="17.100000000000001" customHeight="1"/>
    <row r="1200" ht="17.100000000000001" customHeight="1"/>
    <row r="1201" ht="17.100000000000001" customHeight="1"/>
    <row r="1202" ht="17.100000000000001" customHeight="1"/>
    <row r="1203" ht="17.100000000000001" customHeight="1"/>
    <row r="1204" ht="17.100000000000001" customHeight="1"/>
    <row r="1205" ht="17.100000000000001" customHeight="1"/>
    <row r="1206" ht="17.100000000000001" customHeight="1"/>
    <row r="1207" ht="17.100000000000001" customHeight="1"/>
    <row r="1208" ht="17.100000000000001" customHeight="1"/>
    <row r="1209" ht="17.100000000000001" customHeight="1"/>
    <row r="1210" ht="17.100000000000001" customHeight="1"/>
    <row r="1211" ht="17.100000000000001" customHeight="1"/>
    <row r="1212" ht="17.100000000000001" customHeight="1"/>
    <row r="1213" ht="17.100000000000001" customHeight="1"/>
    <row r="1214" ht="17.100000000000001" customHeight="1"/>
    <row r="1215" ht="17.100000000000001" customHeight="1"/>
    <row r="1216" ht="17.100000000000001" customHeight="1"/>
    <row r="1217" ht="17.100000000000001" customHeight="1"/>
    <row r="1218" ht="17.100000000000001" customHeight="1"/>
    <row r="1219" ht="17.100000000000001" customHeight="1"/>
    <row r="1220" ht="17.100000000000001" customHeight="1"/>
    <row r="1221" ht="17.100000000000001" customHeight="1"/>
    <row r="1222" ht="17.100000000000001" customHeight="1"/>
    <row r="1223" ht="17.100000000000001" customHeight="1"/>
    <row r="1224" ht="17.100000000000001" customHeight="1"/>
    <row r="1225" ht="17.100000000000001" customHeight="1"/>
    <row r="1226" ht="17.100000000000001" customHeight="1"/>
    <row r="1227" ht="17.100000000000001" customHeight="1"/>
    <row r="1228" ht="17.100000000000001" customHeight="1"/>
    <row r="1229" ht="17.100000000000001" customHeight="1"/>
    <row r="1230" ht="17.100000000000001" customHeight="1"/>
    <row r="1231" ht="17.100000000000001" customHeight="1"/>
    <row r="1232" ht="17.100000000000001" customHeight="1"/>
    <row r="1233" ht="17.100000000000001" customHeight="1"/>
    <row r="1234" ht="17.100000000000001" customHeight="1"/>
    <row r="1235" ht="17.100000000000001" customHeight="1"/>
    <row r="1236" ht="17.100000000000001" customHeight="1"/>
    <row r="1237" ht="17.100000000000001" customHeight="1"/>
    <row r="1238" ht="17.100000000000001" customHeight="1"/>
    <row r="1239" ht="17.100000000000001" customHeight="1"/>
    <row r="1240" ht="17.100000000000001" customHeight="1"/>
    <row r="1241" ht="17.100000000000001" customHeight="1"/>
    <row r="1242" ht="17.100000000000001" customHeight="1"/>
    <row r="1243" ht="17.100000000000001" customHeight="1"/>
    <row r="1244" ht="17.100000000000001" customHeight="1"/>
    <row r="1245" ht="17.100000000000001" customHeight="1"/>
    <row r="1246" ht="17.100000000000001" customHeight="1"/>
    <row r="1247" ht="17.100000000000001" customHeight="1"/>
    <row r="1248" ht="17.100000000000001" customHeight="1"/>
    <row r="1249" ht="17.100000000000001" customHeight="1"/>
    <row r="1250" ht="17.100000000000001" customHeight="1"/>
    <row r="1251" ht="17.100000000000001" customHeight="1"/>
    <row r="1252" ht="17.100000000000001" customHeight="1"/>
    <row r="1253" ht="17.100000000000001" customHeight="1"/>
    <row r="1254" ht="17.100000000000001" customHeight="1"/>
    <row r="1255" ht="17.100000000000001" customHeight="1"/>
    <row r="1256" ht="17.100000000000001" customHeight="1"/>
    <row r="1257" ht="17.100000000000001" customHeight="1"/>
    <row r="1258" ht="17.100000000000001" customHeight="1"/>
    <row r="1259" ht="17.100000000000001" customHeight="1"/>
    <row r="1260" ht="17.100000000000001" customHeight="1"/>
    <row r="1261" ht="17.100000000000001" customHeight="1"/>
    <row r="1262" ht="17.100000000000001" customHeight="1"/>
    <row r="1263" ht="17.100000000000001" customHeight="1"/>
    <row r="1264" ht="17.100000000000001" customHeight="1"/>
    <row r="1265" ht="17.100000000000001" customHeight="1"/>
    <row r="1266" ht="17.100000000000001" customHeight="1"/>
    <row r="1267" ht="17.100000000000001" customHeight="1"/>
    <row r="1268" ht="17.100000000000001" customHeight="1"/>
    <row r="1269" ht="17.100000000000001" customHeight="1"/>
    <row r="1270" ht="17.100000000000001" customHeight="1"/>
    <row r="1271" ht="17.100000000000001" customHeight="1"/>
    <row r="1272" ht="17.100000000000001" customHeight="1"/>
    <row r="1273" ht="17.100000000000001" customHeight="1"/>
    <row r="1274" ht="17.100000000000001" customHeight="1"/>
    <row r="1275" ht="17.100000000000001" customHeight="1"/>
    <row r="1276" ht="17.100000000000001" customHeight="1"/>
    <row r="1277" ht="17.100000000000001" customHeight="1"/>
    <row r="1278" ht="17.100000000000001" customHeight="1"/>
    <row r="1279" ht="17.100000000000001" customHeight="1"/>
    <row r="1280" ht="17.100000000000001" customHeight="1"/>
    <row r="1281" ht="17.100000000000001" customHeight="1"/>
    <row r="1282" ht="17.100000000000001" customHeight="1"/>
    <row r="1283" ht="17.100000000000001" customHeight="1"/>
    <row r="1284" ht="17.100000000000001" customHeight="1"/>
    <row r="1285" ht="17.100000000000001" customHeight="1"/>
    <row r="1286" ht="17.100000000000001" customHeight="1"/>
    <row r="1287" ht="17.100000000000001" customHeight="1"/>
    <row r="1288" ht="17.100000000000001" customHeight="1"/>
    <row r="1289" ht="17.100000000000001" customHeight="1"/>
    <row r="1290" ht="17.100000000000001" customHeight="1"/>
    <row r="1291" ht="17.100000000000001" customHeight="1"/>
    <row r="1292" ht="17.100000000000001" customHeight="1"/>
    <row r="1293" ht="17.100000000000001" customHeight="1"/>
    <row r="1294" ht="17.100000000000001" customHeight="1"/>
    <row r="1295" ht="17.100000000000001" customHeight="1"/>
    <row r="1296" ht="17.100000000000001" customHeight="1"/>
    <row r="1297" ht="17.100000000000001" customHeight="1"/>
    <row r="1298" ht="17.100000000000001" customHeight="1"/>
    <row r="1299" ht="17.100000000000001" customHeight="1"/>
    <row r="1300" ht="17.100000000000001" customHeight="1"/>
    <row r="1301" ht="17.100000000000001" customHeight="1"/>
    <row r="1302" ht="17.100000000000001" customHeight="1"/>
    <row r="1303" ht="17.100000000000001" customHeight="1"/>
    <row r="1304" ht="17.100000000000001" customHeight="1"/>
    <row r="1305" ht="17.100000000000001" customHeight="1"/>
    <row r="1306" ht="17.100000000000001" customHeight="1"/>
    <row r="1307" ht="17.100000000000001" customHeight="1"/>
    <row r="1308" ht="17.100000000000001" customHeight="1"/>
    <row r="1309" ht="17.100000000000001" customHeight="1"/>
    <row r="1310" ht="17.100000000000001" customHeight="1"/>
    <row r="1311" ht="17.100000000000001" customHeight="1"/>
    <row r="1312" ht="17.100000000000001" customHeight="1"/>
    <row r="1313" ht="17.100000000000001" customHeight="1"/>
    <row r="1314" ht="17.100000000000001" customHeight="1"/>
    <row r="1315" ht="17.100000000000001" customHeight="1"/>
    <row r="1316" ht="17.100000000000001" customHeight="1"/>
    <row r="1317" ht="17.100000000000001" customHeight="1"/>
    <row r="1318" ht="17.100000000000001" customHeight="1"/>
    <row r="1319" ht="17.100000000000001" customHeight="1"/>
    <row r="1320" ht="17.100000000000001" customHeight="1"/>
    <row r="1321" ht="17.100000000000001" customHeight="1"/>
    <row r="1322" ht="17.100000000000001" customHeight="1"/>
    <row r="1323" ht="17.100000000000001" customHeight="1"/>
    <row r="1324" ht="17.100000000000001" customHeight="1"/>
    <row r="1325" ht="17.100000000000001" customHeight="1"/>
    <row r="1326" ht="17.100000000000001" customHeight="1"/>
    <row r="1327" ht="17.100000000000001" customHeight="1"/>
    <row r="1328" ht="17.100000000000001" customHeight="1"/>
    <row r="1329" ht="17.100000000000001" customHeight="1"/>
    <row r="1330" ht="17.100000000000001" customHeight="1"/>
    <row r="1331" ht="17.100000000000001" customHeight="1"/>
    <row r="1332" ht="17.100000000000001" customHeight="1"/>
    <row r="1333" ht="17.100000000000001" customHeight="1"/>
    <row r="1334" ht="17.100000000000001" customHeight="1"/>
    <row r="1335" ht="17.100000000000001" customHeight="1"/>
    <row r="1336" ht="17.100000000000001" customHeight="1"/>
    <row r="1337" ht="17.100000000000001" customHeight="1"/>
    <row r="1338" ht="17.100000000000001" customHeight="1"/>
    <row r="1339" ht="17.100000000000001" customHeight="1"/>
    <row r="1340" ht="17.100000000000001" customHeight="1"/>
    <row r="1341" ht="17.100000000000001" customHeight="1"/>
    <row r="1342" ht="17.100000000000001" customHeight="1"/>
    <row r="1343" ht="17.100000000000001" customHeight="1"/>
    <row r="1344" ht="17.100000000000001" customHeight="1"/>
    <row r="1345" ht="17.100000000000001" customHeight="1"/>
    <row r="1346" ht="17.100000000000001" customHeight="1"/>
    <row r="1347" ht="17.100000000000001" customHeight="1"/>
    <row r="1348" ht="17.100000000000001" customHeight="1"/>
    <row r="1349" ht="17.100000000000001" customHeight="1"/>
    <row r="1350" ht="17.100000000000001" customHeight="1"/>
    <row r="1351" ht="17.100000000000001" customHeight="1"/>
    <row r="1352" ht="17.100000000000001" customHeight="1"/>
    <row r="1353" ht="17.100000000000001" customHeight="1"/>
    <row r="1354" ht="17.100000000000001" customHeight="1"/>
    <row r="1355" ht="17.100000000000001" customHeight="1"/>
    <row r="1356" ht="17.100000000000001" customHeight="1"/>
    <row r="1357" ht="17.100000000000001" customHeight="1"/>
    <row r="1358" ht="17.100000000000001" customHeight="1"/>
    <row r="1359" ht="17.100000000000001" customHeight="1"/>
    <row r="1360" ht="17.100000000000001" customHeight="1"/>
    <row r="1361" ht="17.100000000000001" customHeight="1"/>
    <row r="1362" ht="17.100000000000001" customHeight="1"/>
    <row r="1363" ht="17.100000000000001" customHeight="1"/>
    <row r="1364" ht="17.100000000000001" customHeight="1"/>
    <row r="1365" ht="17.100000000000001" customHeight="1"/>
    <row r="1366" ht="17.100000000000001" customHeight="1"/>
    <row r="1367" ht="17.100000000000001" customHeight="1"/>
    <row r="1368" ht="17.100000000000001" customHeight="1"/>
    <row r="1369" ht="17.100000000000001" customHeight="1"/>
    <row r="1370" ht="17.100000000000001" customHeight="1"/>
    <row r="1371" ht="17.100000000000001" customHeight="1"/>
    <row r="1372" ht="17.100000000000001" customHeight="1"/>
    <row r="1373" ht="17.100000000000001" customHeight="1"/>
    <row r="1374" ht="17.100000000000001" customHeight="1"/>
    <row r="1375" ht="17.100000000000001" customHeight="1"/>
    <row r="1376" ht="17.100000000000001" customHeight="1"/>
    <row r="1377" ht="17.100000000000001" customHeight="1"/>
    <row r="1378" ht="17.100000000000001" customHeight="1"/>
    <row r="1379" ht="17.100000000000001" customHeight="1"/>
    <row r="1380" ht="17.100000000000001" customHeight="1"/>
    <row r="1381" ht="17.100000000000001" customHeight="1"/>
    <row r="1382" ht="17.100000000000001" customHeight="1"/>
    <row r="1383" ht="17.100000000000001" customHeight="1"/>
    <row r="1384" ht="17.100000000000001" customHeight="1"/>
    <row r="1385" ht="17.100000000000001" customHeight="1"/>
    <row r="1386" ht="17.100000000000001" customHeight="1"/>
    <row r="1387" ht="17.100000000000001" customHeight="1"/>
    <row r="1388" ht="17.100000000000001" customHeight="1"/>
    <row r="1389" ht="17.100000000000001" customHeight="1"/>
    <row r="1390" ht="17.100000000000001" customHeight="1"/>
    <row r="1391" ht="17.100000000000001" customHeight="1"/>
    <row r="1392" ht="17.100000000000001" customHeight="1"/>
    <row r="1393" ht="17.100000000000001" customHeight="1"/>
    <row r="1394" ht="17.100000000000001" customHeight="1"/>
    <row r="1395" ht="17.100000000000001" customHeight="1"/>
    <row r="1396" ht="17.100000000000001" customHeight="1"/>
    <row r="1397" ht="17.100000000000001" customHeight="1"/>
    <row r="1398" ht="17.100000000000001" customHeight="1"/>
    <row r="1399" ht="17.100000000000001" customHeight="1"/>
    <row r="1400" ht="17.100000000000001" customHeight="1"/>
    <row r="1401" ht="17.100000000000001" customHeight="1"/>
    <row r="1402" ht="17.100000000000001" customHeight="1"/>
    <row r="1403" ht="17.100000000000001" customHeight="1"/>
    <row r="1404" ht="17.100000000000001" customHeight="1"/>
    <row r="1405" ht="17.100000000000001" customHeight="1"/>
    <row r="1406" ht="17.100000000000001" customHeight="1"/>
    <row r="1407" ht="17.100000000000001" customHeight="1"/>
    <row r="1408" ht="17.100000000000001" customHeight="1"/>
    <row r="1409" ht="17.100000000000001" customHeight="1"/>
    <row r="1410" ht="17.100000000000001" customHeight="1"/>
    <row r="1411" ht="17.100000000000001" customHeight="1"/>
    <row r="1412" ht="17.100000000000001" customHeight="1"/>
    <row r="1413" ht="17.100000000000001" customHeight="1"/>
    <row r="1414" ht="17.100000000000001" customHeight="1"/>
    <row r="1415" ht="17.100000000000001" customHeight="1"/>
    <row r="1416" ht="17.100000000000001" customHeight="1"/>
    <row r="1417" ht="17.100000000000001" customHeight="1"/>
    <row r="1418" ht="17.100000000000001" customHeight="1"/>
    <row r="1419" ht="17.100000000000001" customHeight="1"/>
    <row r="1420" ht="17.100000000000001" customHeight="1"/>
    <row r="1421" ht="17.100000000000001" customHeight="1"/>
    <row r="1422" ht="17.100000000000001" customHeight="1"/>
    <row r="1423" ht="17.100000000000001" customHeight="1"/>
    <row r="1424" ht="17.100000000000001" customHeight="1"/>
    <row r="1425" ht="17.100000000000001" customHeight="1"/>
    <row r="1426" ht="17.100000000000001" customHeight="1"/>
    <row r="1427" ht="17.100000000000001" customHeight="1"/>
    <row r="1428" ht="17.100000000000001" customHeight="1"/>
    <row r="1429" ht="17.100000000000001" customHeight="1"/>
    <row r="1430" ht="17.100000000000001" customHeight="1"/>
    <row r="1431" ht="17.100000000000001" customHeight="1"/>
    <row r="1432" ht="17.100000000000001" customHeight="1"/>
    <row r="1433" ht="17.100000000000001" customHeight="1"/>
    <row r="1434" ht="17.100000000000001" customHeight="1"/>
    <row r="1435" ht="17.100000000000001" customHeight="1"/>
    <row r="1436" ht="17.100000000000001" customHeight="1"/>
    <row r="1437" ht="17.100000000000001" customHeight="1"/>
    <row r="1438" ht="17.100000000000001" customHeight="1"/>
    <row r="1439" ht="17.100000000000001" customHeight="1"/>
    <row r="1440" ht="17.100000000000001" customHeight="1"/>
    <row r="1441" ht="17.100000000000001" customHeight="1"/>
    <row r="1442" ht="17.100000000000001" customHeight="1"/>
    <row r="1443" ht="17.100000000000001" customHeight="1"/>
    <row r="1444" ht="17.100000000000001" customHeight="1"/>
    <row r="1445" ht="17.100000000000001" customHeight="1"/>
    <row r="1446" ht="17.100000000000001" customHeight="1"/>
    <row r="1447" ht="17.100000000000001" customHeight="1"/>
    <row r="1448" ht="17.100000000000001" customHeight="1"/>
    <row r="1449" ht="17.100000000000001" customHeight="1"/>
    <row r="1450" ht="17.100000000000001" customHeight="1"/>
    <row r="1451" ht="17.100000000000001" customHeight="1"/>
    <row r="1452" ht="17.100000000000001" customHeight="1"/>
    <row r="1453" ht="17.100000000000001" customHeight="1"/>
    <row r="1454" ht="17.100000000000001" customHeight="1"/>
    <row r="1455" ht="17.100000000000001" customHeight="1"/>
    <row r="1456" ht="17.100000000000001" customHeight="1"/>
    <row r="1457" ht="17.100000000000001" customHeight="1"/>
    <row r="1458" ht="17.100000000000001" customHeight="1"/>
    <row r="1459" ht="17.100000000000001" customHeight="1"/>
    <row r="1460" ht="17.100000000000001" customHeight="1"/>
    <row r="1461" ht="17.100000000000001" customHeight="1"/>
    <row r="1462" ht="17.100000000000001" customHeight="1"/>
    <row r="1463" ht="17.100000000000001" customHeight="1"/>
    <row r="1464" ht="17.100000000000001" customHeight="1"/>
    <row r="1465" ht="17.100000000000001" customHeight="1"/>
    <row r="1466" ht="17.100000000000001" customHeight="1"/>
    <row r="1467" ht="17.100000000000001" customHeight="1"/>
    <row r="1468" ht="17.100000000000001" customHeight="1"/>
    <row r="1469" ht="17.100000000000001" customHeight="1"/>
    <row r="1470" ht="17.100000000000001" customHeight="1"/>
    <row r="1471" ht="17.100000000000001" customHeight="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464820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472440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A3F1-2052-49A4-8C68-5D8D643B77C8}">
  <sheetPr codeName="売約済"/>
  <dimension ref="A1:AC482"/>
  <sheetViews>
    <sheetView workbookViewId="0">
      <pane xSplit="7" ySplit="9" topLeftCell="S478" activePane="bottomRight" state="frozen"/>
      <selection pane="topRight" activeCell="J1" sqref="J1"/>
      <selection pane="bottomLeft" activeCell="A10" sqref="A10"/>
      <selection pane="bottomRight" activeCell="G15" sqref="G15"/>
    </sheetView>
  </sheetViews>
  <sheetFormatPr defaultColWidth="9" defaultRowHeight="17.100000000000001" customHeight="1"/>
  <cols>
    <col min="1" max="1" width="10.59765625" style="10" customWidth="1"/>
    <col min="2" max="2" width="16.59765625" style="10" customWidth="1"/>
    <col min="3" max="4" width="12.59765625" style="10" customWidth="1"/>
    <col min="5" max="5" width="2.59765625" style="10" customWidth="1"/>
    <col min="6" max="6" width="19.59765625" style="10" customWidth="1"/>
    <col min="7" max="7" width="9.59765625" style="10" bestFit="1" customWidth="1"/>
    <col min="8" max="8" width="5.59765625" style="10" customWidth="1"/>
    <col min="9" max="14" width="8.59765625" style="10" customWidth="1"/>
    <col min="15" max="15" width="16.59765625" style="10" customWidth="1"/>
    <col min="16" max="16" width="15.3984375" style="10" bestFit="1" customWidth="1"/>
    <col min="17" max="17" width="7.59765625" style="10" customWidth="1"/>
    <col min="18" max="18" width="6.59765625" style="10" customWidth="1"/>
    <col min="19" max="20" width="10.59765625" style="10" customWidth="1"/>
    <col min="21" max="21" width="8.59765625" style="10" bestFit="1" customWidth="1"/>
    <col min="22" max="23" width="13.5" style="10" bestFit="1" customWidth="1"/>
    <col min="24" max="27" width="8.59765625" style="10" customWidth="1"/>
    <col min="28" max="28" width="9.59765625" style="10" customWidth="1"/>
    <col min="29" max="29" width="40.59765625" style="10" customWidth="1"/>
    <col min="30" max="16384" width="9" style="10"/>
  </cols>
  <sheetData>
    <row r="1" spans="1:29" customFormat="1" ht="18">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ustomFormat="1" ht="18">
      <c r="A2" s="2"/>
      <c r="B2" s="13"/>
      <c r="C2" s="14"/>
      <c r="D2" s="15"/>
      <c r="E2" s="2"/>
      <c r="F2" s="62"/>
      <c r="G2" s="15"/>
      <c r="H2" s="2"/>
      <c r="I2" s="2"/>
      <c r="J2" s="2"/>
      <c r="K2" s="2"/>
      <c r="L2" s="2"/>
      <c r="M2" s="2"/>
      <c r="N2" s="2"/>
      <c r="O2" s="2"/>
      <c r="P2" s="2"/>
      <c r="Q2" s="2"/>
      <c r="R2" s="2"/>
      <c r="S2" s="2"/>
      <c r="T2" s="2"/>
      <c r="U2" s="2"/>
      <c r="V2" s="2"/>
      <c r="W2" s="2"/>
      <c r="X2" s="2"/>
      <c r="Y2" s="2"/>
      <c r="Z2" s="2"/>
      <c r="AA2" s="2"/>
      <c r="AB2" s="2"/>
      <c r="AC2" s="2"/>
    </row>
    <row r="3" spans="1:29" customFormat="1" ht="18">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ustomFormat="1" ht="18">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ustomFormat="1" ht="18">
      <c r="A5" s="2"/>
      <c r="B5" s="2"/>
      <c r="C5" s="2"/>
      <c r="D5" s="2"/>
      <c r="E5" s="2"/>
      <c r="F5" s="2"/>
      <c r="G5" s="2"/>
      <c r="H5" s="2"/>
      <c r="I5" s="2"/>
      <c r="J5" s="2"/>
      <c r="K5" s="2"/>
      <c r="L5" s="2"/>
      <c r="M5" s="2"/>
      <c r="N5" s="2"/>
      <c r="O5" s="2"/>
      <c r="P5" s="2"/>
      <c r="Q5" s="2"/>
      <c r="R5" s="2"/>
      <c r="S5" s="2"/>
      <c r="T5" s="2"/>
      <c r="U5" s="2"/>
      <c r="V5" s="2"/>
      <c r="W5" s="2"/>
      <c r="X5" s="2"/>
      <c r="Y5" s="2"/>
      <c r="Z5" s="2"/>
      <c r="AA5" s="2"/>
      <c r="AB5" s="2"/>
      <c r="AC5" s="2"/>
    </row>
    <row r="6" spans="1:29" s="16" customFormat="1" ht="18.75" customHeight="1">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s="16" customFormat="1" ht="18">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customFormat="1" ht="17.100000000000001" customHeight="1" thickBot="1">
      <c r="E8" s="10"/>
    </row>
    <row r="9" spans="1:29" s="9" customFormat="1" ht="17.100000000000001" customHeight="1" thickBot="1">
      <c r="A9" s="4" t="s">
        <v>1</v>
      </c>
      <c r="B9" s="5" t="s">
        <v>2</v>
      </c>
      <c r="C9" s="6" t="s">
        <v>3</v>
      </c>
      <c r="D9" s="5" t="s">
        <v>4</v>
      </c>
      <c r="E9" s="4"/>
      <c r="F9" s="41" t="s">
        <v>5</v>
      </c>
      <c r="G9" s="4" t="s">
        <v>6</v>
      </c>
      <c r="H9" s="5" t="s">
        <v>7</v>
      </c>
      <c r="I9" s="4" t="s">
        <v>8</v>
      </c>
      <c r="J9" s="4" t="s">
        <v>9</v>
      </c>
      <c r="K9" s="4" t="s">
        <v>10</v>
      </c>
      <c r="L9" s="4" t="s">
        <v>11</v>
      </c>
      <c r="M9" s="4" t="s">
        <v>12</v>
      </c>
      <c r="N9" s="4" t="s">
        <v>13</v>
      </c>
      <c r="O9" s="7" t="s">
        <v>21</v>
      </c>
      <c r="P9" s="4" t="s">
        <v>14</v>
      </c>
      <c r="Q9" s="244" t="s">
        <v>15</v>
      </c>
      <c r="R9" s="245"/>
      <c r="S9" s="245"/>
      <c r="T9" s="4" t="s">
        <v>16</v>
      </c>
      <c r="U9" s="8" t="s">
        <v>17</v>
      </c>
      <c r="V9" s="42" t="s">
        <v>18</v>
      </c>
      <c r="W9" s="4" t="s">
        <v>3</v>
      </c>
      <c r="X9" s="4" t="s">
        <v>8</v>
      </c>
      <c r="Y9" s="4" t="s">
        <v>9</v>
      </c>
      <c r="Z9" s="4" t="s">
        <v>11</v>
      </c>
      <c r="AA9" s="4" t="s">
        <v>13</v>
      </c>
      <c r="AB9" s="5" t="s">
        <v>19</v>
      </c>
      <c r="AC9" s="5" t="s">
        <v>0</v>
      </c>
    </row>
    <row r="10" spans="1:29" ht="17.100000000000001" customHeight="1" thickTop="1">
      <c r="A10" s="197" t="s">
        <v>513</v>
      </c>
      <c r="B10" s="26">
        <v>42693</v>
      </c>
      <c r="C10" s="27" t="s">
        <v>505</v>
      </c>
      <c r="D10" s="28" t="s">
        <v>514</v>
      </c>
      <c r="E10" s="199"/>
      <c r="F10" s="40" t="s">
        <v>515</v>
      </c>
      <c r="G10" s="37" t="s">
        <v>516</v>
      </c>
      <c r="H10" s="201"/>
      <c r="I10" s="193">
        <v>605000</v>
      </c>
      <c r="J10" s="193">
        <v>48400</v>
      </c>
      <c r="K10" s="193">
        <v>15000</v>
      </c>
      <c r="L10" s="193">
        <v>10270</v>
      </c>
      <c r="M10" s="193">
        <v>15120</v>
      </c>
      <c r="N10" s="193">
        <f>SUM(I10:M10)</f>
        <v>693790</v>
      </c>
      <c r="O10" s="191">
        <v>200000</v>
      </c>
      <c r="P10" s="60" t="s">
        <v>517</v>
      </c>
      <c r="Q10" s="29" t="s">
        <v>82</v>
      </c>
      <c r="R10" s="115"/>
      <c r="S10" s="61"/>
      <c r="T10" s="50"/>
      <c r="U10" s="30"/>
      <c r="V10" s="51">
        <v>45997</v>
      </c>
      <c r="W10" s="52">
        <v>1279</v>
      </c>
      <c r="X10" s="193">
        <v>225000</v>
      </c>
      <c r="Y10" s="206">
        <f>X10*0.1</f>
        <v>22500</v>
      </c>
      <c r="Z10" s="193">
        <v>10270</v>
      </c>
      <c r="AA10" s="193">
        <f>SUM(X10:Z10)</f>
        <v>257770</v>
      </c>
      <c r="AB10" s="219">
        <v>46000</v>
      </c>
      <c r="AC10"/>
    </row>
    <row r="11" spans="1:29" ht="17.100000000000001" customHeight="1" thickBot="1">
      <c r="A11" s="198"/>
      <c r="B11" s="31" t="s">
        <v>148</v>
      </c>
      <c r="C11" s="31">
        <v>38042</v>
      </c>
      <c r="D11" s="32" t="s">
        <v>85</v>
      </c>
      <c r="E11" s="200"/>
      <c r="F11" s="43" t="s">
        <v>518</v>
      </c>
      <c r="G11" s="38">
        <v>53845</v>
      </c>
      <c r="H11" s="202"/>
      <c r="I11" s="194"/>
      <c r="J11" s="194"/>
      <c r="K11" s="194"/>
      <c r="L11" s="194"/>
      <c r="M11" s="194"/>
      <c r="N11" s="194"/>
      <c r="O11" s="192"/>
      <c r="P11" s="45" t="s">
        <v>519</v>
      </c>
      <c r="Q11" s="33" t="s">
        <v>86</v>
      </c>
      <c r="R11" s="114"/>
      <c r="S11" s="44" t="s">
        <v>520</v>
      </c>
      <c r="T11" s="46"/>
      <c r="U11" s="35"/>
      <c r="V11" s="47" t="s">
        <v>521</v>
      </c>
      <c r="W11" s="46">
        <v>65164</v>
      </c>
      <c r="X11" s="194"/>
      <c r="Y11" s="194"/>
      <c r="Z11" s="194"/>
      <c r="AA11" s="194"/>
      <c r="AB11" s="220"/>
      <c r="AC11"/>
    </row>
    <row r="12" spans="1:29" ht="17.100000000000001" customHeight="1" thickTop="1">
      <c r="A12" s="197" t="s">
        <v>725</v>
      </c>
      <c r="B12" s="26">
        <v>43176</v>
      </c>
      <c r="C12" s="27" t="s">
        <v>726</v>
      </c>
      <c r="D12" s="28" t="s">
        <v>607</v>
      </c>
      <c r="E12" s="199"/>
      <c r="F12" s="40" t="s">
        <v>727</v>
      </c>
      <c r="G12" s="37" t="s">
        <v>728</v>
      </c>
      <c r="H12" s="201">
        <v>4</v>
      </c>
      <c r="I12" s="193">
        <v>905000</v>
      </c>
      <c r="J12" s="193">
        <v>72400</v>
      </c>
      <c r="K12" s="193">
        <v>33900</v>
      </c>
      <c r="L12" s="193">
        <v>4790</v>
      </c>
      <c r="M12" s="193">
        <v>11880</v>
      </c>
      <c r="N12" s="193">
        <f>SUM(I12:M12)</f>
        <v>1027970</v>
      </c>
      <c r="O12" s="191">
        <v>600000</v>
      </c>
      <c r="P12" s="60" t="s">
        <v>729</v>
      </c>
      <c r="Q12" s="29" t="s">
        <v>82</v>
      </c>
      <c r="R12" s="81"/>
      <c r="S12" s="48" t="s">
        <v>730</v>
      </c>
      <c r="T12" s="50"/>
      <c r="U12" s="30"/>
      <c r="V12" s="51">
        <v>46085</v>
      </c>
      <c r="W12" s="52">
        <v>1007</v>
      </c>
      <c r="X12" s="193">
        <v>355000</v>
      </c>
      <c r="Y12" s="206">
        <f>X12*0.1</f>
        <v>35500</v>
      </c>
      <c r="Z12" s="193">
        <v>4790</v>
      </c>
      <c r="AA12" s="193">
        <f>SUM(X12:Z12)</f>
        <v>395290</v>
      </c>
      <c r="AB12" s="219">
        <v>46090</v>
      </c>
      <c r="AC12"/>
    </row>
    <row r="13" spans="1:29" ht="17.100000000000001" customHeight="1" thickBot="1">
      <c r="A13" s="198"/>
      <c r="B13" s="31" t="s">
        <v>148</v>
      </c>
      <c r="C13" s="31">
        <v>30068</v>
      </c>
      <c r="D13" s="32" t="s">
        <v>731</v>
      </c>
      <c r="E13" s="200"/>
      <c r="F13" s="43" t="s">
        <v>732</v>
      </c>
      <c r="G13" s="38">
        <v>44694</v>
      </c>
      <c r="H13" s="202"/>
      <c r="I13" s="194"/>
      <c r="J13" s="194"/>
      <c r="K13" s="194"/>
      <c r="L13" s="194"/>
      <c r="M13" s="194"/>
      <c r="N13" s="194"/>
      <c r="O13" s="192"/>
      <c r="P13" s="45" t="s">
        <v>733</v>
      </c>
      <c r="Q13" s="33" t="s">
        <v>86</v>
      </c>
      <c r="R13" s="34" t="s">
        <v>734</v>
      </c>
      <c r="S13" s="44" t="s">
        <v>735</v>
      </c>
      <c r="T13" s="46"/>
      <c r="U13" s="35"/>
      <c r="V13" s="47" t="s">
        <v>104</v>
      </c>
      <c r="W13" s="46">
        <v>7011</v>
      </c>
      <c r="X13" s="194"/>
      <c r="Y13" s="194"/>
      <c r="Z13" s="194"/>
      <c r="AA13" s="194"/>
      <c r="AB13" s="220"/>
      <c r="AC13"/>
    </row>
    <row r="14" spans="1:29" ht="17.100000000000001" customHeight="1" thickTop="1">
      <c r="A14" s="197" t="s">
        <v>777</v>
      </c>
      <c r="B14" s="26">
        <v>43383</v>
      </c>
      <c r="C14" s="27" t="s">
        <v>778</v>
      </c>
      <c r="D14" s="28" t="s">
        <v>779</v>
      </c>
      <c r="E14" s="199"/>
      <c r="F14" s="40" t="s">
        <v>780</v>
      </c>
      <c r="G14" s="37" t="s">
        <v>781</v>
      </c>
      <c r="H14" s="201">
        <v>3.5</v>
      </c>
      <c r="I14" s="193">
        <v>357000</v>
      </c>
      <c r="J14" s="193">
        <v>28560</v>
      </c>
      <c r="K14" s="193">
        <v>10000</v>
      </c>
      <c r="L14" s="193">
        <v>10010</v>
      </c>
      <c r="M14" s="193">
        <v>12960</v>
      </c>
      <c r="N14" s="193">
        <f>SUM(I14:M14)</f>
        <v>418530</v>
      </c>
      <c r="O14" s="191">
        <v>200000</v>
      </c>
      <c r="P14" s="60" t="s">
        <v>782</v>
      </c>
      <c r="Q14" s="29" t="s">
        <v>82</v>
      </c>
      <c r="R14" s="81"/>
      <c r="S14" s="48" t="s">
        <v>783</v>
      </c>
      <c r="T14" s="50"/>
      <c r="U14" s="30"/>
      <c r="V14" s="51">
        <v>46004</v>
      </c>
      <c r="W14" s="52">
        <v>1280</v>
      </c>
      <c r="X14" s="193">
        <v>290000</v>
      </c>
      <c r="Y14" s="206">
        <f>X14*0.1</f>
        <v>29000</v>
      </c>
      <c r="Z14" s="193">
        <v>10010</v>
      </c>
      <c r="AA14" s="193">
        <f>SUM(X14:Z14)</f>
        <v>329010</v>
      </c>
      <c r="AB14" s="219">
        <v>46008</v>
      </c>
      <c r="AC14"/>
    </row>
    <row r="15" spans="1:29" ht="17.100000000000001" customHeight="1" thickBot="1">
      <c r="A15" s="198"/>
      <c r="B15" s="31" t="s">
        <v>742</v>
      </c>
      <c r="C15" s="31">
        <v>10364</v>
      </c>
      <c r="D15" s="32" t="s">
        <v>636</v>
      </c>
      <c r="E15" s="200"/>
      <c r="F15" s="43" t="s">
        <v>784</v>
      </c>
      <c r="G15" s="38">
        <v>53283</v>
      </c>
      <c r="H15" s="202"/>
      <c r="I15" s="194"/>
      <c r="J15" s="194"/>
      <c r="K15" s="194"/>
      <c r="L15" s="194"/>
      <c r="M15" s="194"/>
      <c r="N15" s="194"/>
      <c r="O15" s="192"/>
      <c r="P15" s="45" t="s">
        <v>785</v>
      </c>
      <c r="Q15" s="33" t="s">
        <v>86</v>
      </c>
      <c r="R15" s="34" t="s">
        <v>786</v>
      </c>
      <c r="S15" s="44" t="s">
        <v>783</v>
      </c>
      <c r="T15" s="46"/>
      <c r="U15" s="35"/>
      <c r="V15" s="47" t="s">
        <v>521</v>
      </c>
      <c r="W15" s="46">
        <v>65218</v>
      </c>
      <c r="X15" s="194"/>
      <c r="Y15" s="194"/>
      <c r="Z15" s="194"/>
      <c r="AA15" s="194"/>
      <c r="AB15" s="220"/>
      <c r="AC15"/>
    </row>
    <row r="16" spans="1:29" ht="17.100000000000001" customHeight="1" thickTop="1">
      <c r="A16" s="197" t="s">
        <v>987</v>
      </c>
      <c r="B16" s="121">
        <v>43627</v>
      </c>
      <c r="C16" s="121"/>
      <c r="D16" s="123" t="s">
        <v>988</v>
      </c>
      <c r="E16" s="199" t="s">
        <v>282</v>
      </c>
      <c r="F16" s="124" t="s">
        <v>989</v>
      </c>
      <c r="G16" s="125" t="s">
        <v>990</v>
      </c>
      <c r="H16" s="201"/>
      <c r="I16" s="193">
        <v>15000000</v>
      </c>
      <c r="J16" s="193"/>
      <c r="K16" s="193"/>
      <c r="L16" s="193"/>
      <c r="M16" s="193"/>
      <c r="N16" s="193">
        <f>SUM(I16:M17)</f>
        <v>15000000</v>
      </c>
      <c r="O16" s="191"/>
      <c r="P16" s="53" t="s">
        <v>991</v>
      </c>
      <c r="Q16" s="29" t="s">
        <v>82</v>
      </c>
      <c r="R16" s="115"/>
      <c r="S16" s="61"/>
      <c r="T16" s="49"/>
      <c r="U16" s="30" t="s">
        <v>992</v>
      </c>
      <c r="V16" s="51">
        <v>46314</v>
      </c>
      <c r="W16" s="52"/>
      <c r="X16" s="193">
        <v>15970000</v>
      </c>
      <c r="Y16" s="206">
        <v>0</v>
      </c>
      <c r="Z16" s="193">
        <v>0</v>
      </c>
      <c r="AA16" s="193">
        <f>SUM(X16:Z16)</f>
        <v>15970000</v>
      </c>
      <c r="AB16" s="219">
        <v>46382</v>
      </c>
      <c r="AC16"/>
    </row>
    <row r="17" spans="1:29" ht="17.100000000000001" customHeight="1" thickBot="1">
      <c r="A17" s="198"/>
      <c r="B17" s="134" t="s">
        <v>993</v>
      </c>
      <c r="C17" s="126"/>
      <c r="D17" s="126" t="s">
        <v>101</v>
      </c>
      <c r="E17" s="200"/>
      <c r="F17" s="127" t="s">
        <v>994</v>
      </c>
      <c r="G17" s="128"/>
      <c r="H17" s="202"/>
      <c r="I17" s="194"/>
      <c r="J17" s="194"/>
      <c r="K17" s="194"/>
      <c r="L17" s="194"/>
      <c r="M17" s="194"/>
      <c r="N17" s="194"/>
      <c r="O17" s="192"/>
      <c r="P17" s="126" t="s">
        <v>995</v>
      </c>
      <c r="Q17" s="33" t="s">
        <v>86</v>
      </c>
      <c r="R17" s="114"/>
      <c r="S17" s="44" t="s">
        <v>996</v>
      </c>
      <c r="T17" s="45"/>
      <c r="U17" s="118"/>
      <c r="V17" s="47" t="s">
        <v>997</v>
      </c>
      <c r="W17" s="46"/>
      <c r="X17" s="194"/>
      <c r="Y17" s="194"/>
      <c r="Z17" s="194"/>
      <c r="AA17" s="194"/>
      <c r="AB17" s="220"/>
      <c r="AC17"/>
    </row>
    <row r="18" spans="1:29" ht="17.100000000000001" customHeight="1" thickTop="1">
      <c r="A18" s="197" t="s">
        <v>2002</v>
      </c>
      <c r="B18" s="26">
        <v>44525</v>
      </c>
      <c r="C18" s="36">
        <v>1536</v>
      </c>
      <c r="D18" s="28" t="s">
        <v>1960</v>
      </c>
      <c r="E18" s="199"/>
      <c r="F18" s="54" t="s">
        <v>2003</v>
      </c>
      <c r="G18" s="37" t="s">
        <v>1962</v>
      </c>
      <c r="H18" s="201">
        <v>4.5</v>
      </c>
      <c r="I18" s="193">
        <v>2381000</v>
      </c>
      <c r="J18" s="193">
        <v>238100</v>
      </c>
      <c r="K18" s="193">
        <v>19300</v>
      </c>
      <c r="L18" s="193">
        <v>18110</v>
      </c>
      <c r="M18" s="193">
        <v>15400</v>
      </c>
      <c r="N18" s="193">
        <f>SUM(I18:M19)</f>
        <v>2671910</v>
      </c>
      <c r="O18" s="191">
        <v>1800000</v>
      </c>
      <c r="P18" s="57" t="s">
        <v>2004</v>
      </c>
      <c r="Q18" s="29" t="s">
        <v>82</v>
      </c>
      <c r="R18" s="81"/>
      <c r="S18" s="48" t="s">
        <v>2005</v>
      </c>
      <c r="T18" s="50"/>
      <c r="U18" s="30" t="s">
        <v>2006</v>
      </c>
      <c r="V18" s="58">
        <v>46368</v>
      </c>
      <c r="W18" s="52"/>
      <c r="X18" s="193">
        <v>2956640</v>
      </c>
      <c r="Y18" s="206">
        <v>0</v>
      </c>
      <c r="Z18" s="193">
        <v>0</v>
      </c>
      <c r="AA18" s="193">
        <f>SUM(X18:Z18)</f>
        <v>2956640</v>
      </c>
      <c r="AB18" s="219">
        <v>46039</v>
      </c>
      <c r="AC18"/>
    </row>
    <row r="19" spans="1:29" ht="17.100000000000001" customHeight="1" thickBot="1">
      <c r="A19" s="198"/>
      <c r="B19" s="31" t="s">
        <v>2007</v>
      </c>
      <c r="C19" s="31">
        <v>1005</v>
      </c>
      <c r="D19" s="32" t="s">
        <v>1987</v>
      </c>
      <c r="E19" s="200"/>
      <c r="F19" s="43" t="s">
        <v>2008</v>
      </c>
      <c r="G19" s="38">
        <v>22333</v>
      </c>
      <c r="H19" s="202"/>
      <c r="I19" s="194"/>
      <c r="J19" s="194"/>
      <c r="K19" s="194"/>
      <c r="L19" s="194"/>
      <c r="M19" s="194"/>
      <c r="N19" s="194"/>
      <c r="O19" s="192"/>
      <c r="P19" s="55" t="s">
        <v>2009</v>
      </c>
      <c r="Q19" s="33" t="s">
        <v>86</v>
      </c>
      <c r="R19" s="34" t="s">
        <v>2010</v>
      </c>
      <c r="S19" s="44" t="s">
        <v>96</v>
      </c>
      <c r="T19" s="46"/>
      <c r="U19" s="35" t="s">
        <v>2011</v>
      </c>
      <c r="V19" s="56" t="s">
        <v>2012</v>
      </c>
      <c r="W19" s="46"/>
      <c r="X19" s="194"/>
      <c r="Y19" s="194"/>
      <c r="Z19" s="194"/>
      <c r="AA19" s="194"/>
      <c r="AB19" s="220"/>
      <c r="AC19"/>
    </row>
    <row r="20" spans="1:29" ht="17.100000000000001" customHeight="1" thickTop="1">
      <c r="A20" s="197" t="s">
        <v>2297</v>
      </c>
      <c r="B20" s="26">
        <v>44712</v>
      </c>
      <c r="C20" s="36">
        <v>899</v>
      </c>
      <c r="D20" s="28" t="s">
        <v>2298</v>
      </c>
      <c r="E20" s="199"/>
      <c r="F20" s="54" t="s">
        <v>2299</v>
      </c>
      <c r="G20" s="37" t="s">
        <v>2300</v>
      </c>
      <c r="H20" s="201">
        <v>4</v>
      </c>
      <c r="I20" s="193">
        <v>2450000</v>
      </c>
      <c r="J20" s="193">
        <v>245000</v>
      </c>
      <c r="K20" s="193">
        <v>84300</v>
      </c>
      <c r="L20" s="193">
        <v>21580</v>
      </c>
      <c r="M20" s="193">
        <v>13200</v>
      </c>
      <c r="N20" s="193">
        <f>SUM(I20:M21)</f>
        <v>2814080</v>
      </c>
      <c r="O20" s="191"/>
      <c r="P20" s="57" t="s">
        <v>2301</v>
      </c>
      <c r="Q20" s="29" t="s">
        <v>82</v>
      </c>
      <c r="R20" s="81"/>
      <c r="S20" s="48" t="s">
        <v>2302</v>
      </c>
      <c r="T20" s="50"/>
      <c r="U20" s="30" t="s">
        <v>2303</v>
      </c>
      <c r="V20" s="58">
        <v>46009</v>
      </c>
      <c r="W20" s="52"/>
      <c r="X20" s="193">
        <v>3458000</v>
      </c>
      <c r="Y20" s="206">
        <f>X20*0.1</f>
        <v>345800</v>
      </c>
      <c r="Z20" s="193">
        <v>21580</v>
      </c>
      <c r="AA20" s="193">
        <f>SUM(X20:Z20)</f>
        <v>3825380</v>
      </c>
      <c r="AB20" s="219"/>
      <c r="AC20"/>
    </row>
    <row r="21" spans="1:29" ht="17.100000000000001" customHeight="1" thickBot="1">
      <c r="A21" s="198"/>
      <c r="B21" s="31" t="s">
        <v>1848</v>
      </c>
      <c r="C21" s="31">
        <v>84191</v>
      </c>
      <c r="D21" s="32" t="s">
        <v>399</v>
      </c>
      <c r="E21" s="200"/>
      <c r="F21" s="43" t="s">
        <v>2304</v>
      </c>
      <c r="G21" s="38">
        <v>39648</v>
      </c>
      <c r="H21" s="202"/>
      <c r="I21" s="194"/>
      <c r="J21" s="194"/>
      <c r="K21" s="194"/>
      <c r="L21" s="194"/>
      <c r="M21" s="194"/>
      <c r="N21" s="194"/>
      <c r="O21" s="192"/>
      <c r="P21" s="55" t="s">
        <v>2305</v>
      </c>
      <c r="Q21" s="33" t="s">
        <v>86</v>
      </c>
      <c r="R21" s="34" t="s">
        <v>2285</v>
      </c>
      <c r="S21" s="44" t="s">
        <v>2306</v>
      </c>
      <c r="T21" s="46"/>
      <c r="U21" s="35" t="s">
        <v>216</v>
      </c>
      <c r="V21" s="56" t="s">
        <v>2307</v>
      </c>
      <c r="W21" s="46">
        <v>52071</v>
      </c>
      <c r="X21" s="194"/>
      <c r="Y21" s="194"/>
      <c r="Z21" s="194"/>
      <c r="AA21" s="194"/>
      <c r="AB21" s="220"/>
      <c r="AC21"/>
    </row>
    <row r="22" spans="1:29" ht="17.100000000000001" customHeight="1" thickTop="1">
      <c r="A22" s="197" t="s">
        <v>2374</v>
      </c>
      <c r="B22" s="26">
        <v>44765</v>
      </c>
      <c r="C22" s="36">
        <v>1357</v>
      </c>
      <c r="D22" s="28" t="s">
        <v>2023</v>
      </c>
      <c r="E22" s="199"/>
      <c r="F22" s="54" t="s">
        <v>2375</v>
      </c>
      <c r="G22" s="37" t="s">
        <v>2376</v>
      </c>
      <c r="H22" s="201">
        <v>4.5</v>
      </c>
      <c r="I22" s="193">
        <v>2115000</v>
      </c>
      <c r="J22" s="193">
        <v>211500</v>
      </c>
      <c r="K22" s="193">
        <v>26300</v>
      </c>
      <c r="L22" s="193">
        <v>14750</v>
      </c>
      <c r="M22" s="193">
        <v>13200</v>
      </c>
      <c r="N22" s="193">
        <f>SUM(I22:M23)</f>
        <v>2380750</v>
      </c>
      <c r="O22" s="191"/>
      <c r="P22" s="57" t="s">
        <v>2377</v>
      </c>
      <c r="Q22" s="29" t="s">
        <v>82</v>
      </c>
      <c r="R22" s="81"/>
      <c r="S22" s="48" t="s">
        <v>1494</v>
      </c>
      <c r="T22" s="50" t="s">
        <v>2378</v>
      </c>
      <c r="U22" s="30" t="s">
        <v>2379</v>
      </c>
      <c r="V22" s="58">
        <v>45906</v>
      </c>
      <c r="W22" s="52"/>
      <c r="X22" s="193">
        <v>3170700</v>
      </c>
      <c r="Y22" s="206">
        <v>0</v>
      </c>
      <c r="Z22" s="193">
        <v>0</v>
      </c>
      <c r="AA22" s="193">
        <f>SUM(X22:Z22)</f>
        <v>3170700</v>
      </c>
      <c r="AB22" s="219">
        <v>45953</v>
      </c>
      <c r="AC22"/>
    </row>
    <row r="23" spans="1:29" ht="17.100000000000001" customHeight="1" thickBot="1">
      <c r="A23" s="198"/>
      <c r="B23" s="31" t="s">
        <v>1810</v>
      </c>
      <c r="C23" s="31">
        <v>83115</v>
      </c>
      <c r="D23" s="32" t="s">
        <v>399</v>
      </c>
      <c r="E23" s="200"/>
      <c r="F23" s="43" t="s">
        <v>2380</v>
      </c>
      <c r="G23" s="38">
        <v>58016</v>
      </c>
      <c r="H23" s="202"/>
      <c r="I23" s="194"/>
      <c r="J23" s="194"/>
      <c r="K23" s="194"/>
      <c r="L23" s="194"/>
      <c r="M23" s="194"/>
      <c r="N23" s="194"/>
      <c r="O23" s="192"/>
      <c r="P23" s="55" t="s">
        <v>2381</v>
      </c>
      <c r="Q23" s="33" t="s">
        <v>86</v>
      </c>
      <c r="R23" s="34" t="s">
        <v>2366</v>
      </c>
      <c r="S23" s="44" t="s">
        <v>2382</v>
      </c>
      <c r="T23" s="46"/>
      <c r="U23" s="35"/>
      <c r="V23" s="56" t="s">
        <v>2383</v>
      </c>
      <c r="W23" s="46"/>
      <c r="X23" s="194"/>
      <c r="Y23" s="194"/>
      <c r="Z23" s="194"/>
      <c r="AA23" s="194"/>
      <c r="AB23" s="220"/>
      <c r="AC23"/>
    </row>
    <row r="24" spans="1:29" ht="17.100000000000001" customHeight="1" thickTop="1">
      <c r="A24" s="197" t="s">
        <v>2584</v>
      </c>
      <c r="B24" s="26">
        <v>44897</v>
      </c>
      <c r="C24" s="36">
        <v>1967</v>
      </c>
      <c r="D24" s="28" t="s">
        <v>2136</v>
      </c>
      <c r="E24" s="199" t="s">
        <v>282</v>
      </c>
      <c r="F24" s="54" t="s">
        <v>2585</v>
      </c>
      <c r="G24" s="37" t="s">
        <v>2397</v>
      </c>
      <c r="H24" s="201">
        <v>4.5</v>
      </c>
      <c r="I24" s="193">
        <v>8350000</v>
      </c>
      <c r="J24" s="193">
        <v>835000</v>
      </c>
      <c r="K24" s="193">
        <v>12500</v>
      </c>
      <c r="L24" s="193">
        <v>23920</v>
      </c>
      <c r="M24" s="193">
        <v>24200</v>
      </c>
      <c r="N24" s="193">
        <f>SUM(I24:M25)</f>
        <v>9245620</v>
      </c>
      <c r="O24" s="191"/>
      <c r="P24" s="57" t="s">
        <v>2586</v>
      </c>
      <c r="Q24" s="29" t="s">
        <v>82</v>
      </c>
      <c r="R24" s="81"/>
      <c r="S24" s="48" t="s">
        <v>1500</v>
      </c>
      <c r="T24" s="50"/>
      <c r="U24" s="30" t="s">
        <v>2587</v>
      </c>
      <c r="V24" s="58">
        <v>46327</v>
      </c>
      <c r="W24" s="52"/>
      <c r="X24" s="193">
        <v>8690000</v>
      </c>
      <c r="Y24" s="206">
        <v>0</v>
      </c>
      <c r="Z24" s="193">
        <v>0</v>
      </c>
      <c r="AA24" s="193">
        <f>SUM(X24:Z24)</f>
        <v>8690000</v>
      </c>
      <c r="AB24" s="219">
        <v>46357</v>
      </c>
      <c r="AC24"/>
    </row>
    <row r="25" spans="1:29" ht="17.100000000000001" customHeight="1" thickBot="1">
      <c r="A25" s="198"/>
      <c r="B25" s="31" t="s">
        <v>1797</v>
      </c>
      <c r="C25" s="31">
        <v>35187</v>
      </c>
      <c r="D25" s="32" t="s">
        <v>399</v>
      </c>
      <c r="E25" s="200"/>
      <c r="F25" s="43" t="s">
        <v>2588</v>
      </c>
      <c r="G25" s="38">
        <v>17560</v>
      </c>
      <c r="H25" s="202"/>
      <c r="I25" s="194"/>
      <c r="J25" s="194"/>
      <c r="K25" s="194"/>
      <c r="L25" s="194"/>
      <c r="M25" s="194"/>
      <c r="N25" s="194"/>
      <c r="O25" s="192"/>
      <c r="P25" s="55" t="s">
        <v>2589</v>
      </c>
      <c r="Q25" s="33" t="s">
        <v>86</v>
      </c>
      <c r="R25" s="34" t="s">
        <v>2590</v>
      </c>
      <c r="S25" s="44" t="s">
        <v>2591</v>
      </c>
      <c r="T25" s="46"/>
      <c r="U25" s="35"/>
      <c r="V25" s="56" t="s">
        <v>2592</v>
      </c>
      <c r="W25" s="46"/>
      <c r="X25" s="194"/>
      <c r="Y25" s="194"/>
      <c r="Z25" s="194"/>
      <c r="AA25" s="194"/>
      <c r="AB25" s="220"/>
      <c r="AC25"/>
    </row>
    <row r="26" spans="1:29" ht="17.100000000000001" customHeight="1" thickTop="1">
      <c r="A26" s="197" t="s">
        <v>2689</v>
      </c>
      <c r="B26" s="26">
        <v>44973</v>
      </c>
      <c r="C26" s="36">
        <v>1406</v>
      </c>
      <c r="D26" s="28" t="s">
        <v>2690</v>
      </c>
      <c r="E26" s="199"/>
      <c r="F26" s="54" t="s">
        <v>2691</v>
      </c>
      <c r="G26" s="37"/>
      <c r="H26" s="201">
        <v>4.5</v>
      </c>
      <c r="I26" s="193">
        <v>2945000</v>
      </c>
      <c r="J26" s="193">
        <v>294500</v>
      </c>
      <c r="K26" s="193">
        <v>0</v>
      </c>
      <c r="L26" s="193">
        <v>19120</v>
      </c>
      <c r="M26" s="193">
        <v>13200</v>
      </c>
      <c r="N26" s="193">
        <f>SUM(I26:M27)</f>
        <v>3271820</v>
      </c>
      <c r="O26" s="191"/>
      <c r="P26" s="57" t="s">
        <v>2692</v>
      </c>
      <c r="Q26" s="29" t="s">
        <v>82</v>
      </c>
      <c r="R26" s="143"/>
      <c r="S26" s="144" t="s">
        <v>2693</v>
      </c>
      <c r="T26" s="50"/>
      <c r="U26" s="30"/>
      <c r="V26" s="58">
        <v>46055</v>
      </c>
      <c r="W26" s="52"/>
      <c r="X26" s="193">
        <f>4500000+1200000</f>
        <v>5700000</v>
      </c>
      <c r="Y26" s="206">
        <v>0</v>
      </c>
      <c r="Z26" s="193">
        <v>0</v>
      </c>
      <c r="AA26" s="193">
        <f>SUM(X26:Z26)</f>
        <v>5700000</v>
      </c>
      <c r="AB26" s="219">
        <v>46106</v>
      </c>
      <c r="AC26"/>
    </row>
    <row r="27" spans="1:29" ht="17.100000000000001" customHeight="1" thickBot="1">
      <c r="A27" s="198"/>
      <c r="B27" s="31" t="s">
        <v>1858</v>
      </c>
      <c r="C27" s="31">
        <v>76121</v>
      </c>
      <c r="D27" s="32" t="s">
        <v>399</v>
      </c>
      <c r="E27" s="200"/>
      <c r="F27" s="43" t="s">
        <v>2694</v>
      </c>
      <c r="G27" s="38">
        <v>51154</v>
      </c>
      <c r="H27" s="202"/>
      <c r="I27" s="194"/>
      <c r="J27" s="194"/>
      <c r="K27" s="194"/>
      <c r="L27" s="194"/>
      <c r="M27" s="194"/>
      <c r="N27" s="194"/>
      <c r="O27" s="192"/>
      <c r="P27" s="55" t="s">
        <v>2695</v>
      </c>
      <c r="Q27" s="33" t="s">
        <v>86</v>
      </c>
      <c r="R27" s="34" t="s">
        <v>2696</v>
      </c>
      <c r="S27" s="44" t="s">
        <v>2697</v>
      </c>
      <c r="T27" s="46"/>
      <c r="U27" s="35"/>
      <c r="V27" s="56" t="s">
        <v>2698</v>
      </c>
      <c r="W27" s="46"/>
      <c r="X27" s="194"/>
      <c r="Y27" s="194"/>
      <c r="Z27" s="194"/>
      <c r="AA27" s="194"/>
      <c r="AB27" s="220"/>
      <c r="AC27"/>
    </row>
    <row r="28" spans="1:29" ht="17.100000000000001" customHeight="1" thickTop="1">
      <c r="A28" s="197" t="s">
        <v>2776</v>
      </c>
      <c r="B28" s="26">
        <v>45057</v>
      </c>
      <c r="C28" s="36">
        <v>1087</v>
      </c>
      <c r="D28" s="28" t="s">
        <v>2368</v>
      </c>
      <c r="E28" s="199"/>
      <c r="F28" s="54" t="s">
        <v>2777</v>
      </c>
      <c r="G28" s="37" t="s">
        <v>2778</v>
      </c>
      <c r="H28" s="201">
        <v>3</v>
      </c>
      <c r="I28" s="193">
        <v>358000</v>
      </c>
      <c r="J28" s="193">
        <v>35800</v>
      </c>
      <c r="K28" s="193">
        <v>15000</v>
      </c>
      <c r="L28" s="193">
        <v>8860</v>
      </c>
      <c r="M28" s="193">
        <v>22000</v>
      </c>
      <c r="N28" s="193">
        <f>SUM(I28:M29)</f>
        <v>439660</v>
      </c>
      <c r="O28" s="191"/>
      <c r="P28" s="57" t="s">
        <v>2779</v>
      </c>
      <c r="Q28" s="29" t="s">
        <v>82</v>
      </c>
      <c r="R28" s="81"/>
      <c r="S28" s="48" t="s">
        <v>940</v>
      </c>
      <c r="T28" s="50"/>
      <c r="U28" s="30" t="s">
        <v>2780</v>
      </c>
      <c r="V28" s="58">
        <v>46102</v>
      </c>
      <c r="W28" s="52">
        <v>1293</v>
      </c>
      <c r="X28" s="193">
        <v>335000</v>
      </c>
      <c r="Y28" s="206">
        <f>X28*0.1</f>
        <v>33500</v>
      </c>
      <c r="Z28" s="193">
        <v>8860</v>
      </c>
      <c r="AA28" s="193">
        <f>SUM(X28:Z28)</f>
        <v>377360</v>
      </c>
      <c r="AB28" s="219">
        <v>46105</v>
      </c>
      <c r="AC28"/>
    </row>
    <row r="29" spans="1:29" ht="17.100000000000001" customHeight="1" thickBot="1">
      <c r="A29" s="198"/>
      <c r="B29" s="31" t="s">
        <v>2781</v>
      </c>
      <c r="C29" s="31">
        <v>5</v>
      </c>
      <c r="D29" s="32" t="s">
        <v>2346</v>
      </c>
      <c r="E29" s="200"/>
      <c r="F29" s="43" t="s">
        <v>2782</v>
      </c>
      <c r="G29" s="38">
        <v>48160</v>
      </c>
      <c r="H29" s="202"/>
      <c r="I29" s="194"/>
      <c r="J29" s="194"/>
      <c r="K29" s="194"/>
      <c r="L29" s="194"/>
      <c r="M29" s="194"/>
      <c r="N29" s="194"/>
      <c r="O29" s="192"/>
      <c r="P29" s="55" t="s">
        <v>2783</v>
      </c>
      <c r="Q29" s="33" t="s">
        <v>86</v>
      </c>
      <c r="R29" s="34" t="s">
        <v>2784</v>
      </c>
      <c r="S29" s="145" t="s">
        <v>2785</v>
      </c>
      <c r="T29" s="46"/>
      <c r="U29" s="35"/>
      <c r="V29" s="56" t="s">
        <v>521</v>
      </c>
      <c r="W29" s="46">
        <v>65133</v>
      </c>
      <c r="X29" s="194"/>
      <c r="Y29" s="194"/>
      <c r="Z29" s="194"/>
      <c r="AA29" s="194"/>
      <c r="AB29" s="220"/>
      <c r="AC29"/>
    </row>
    <row r="30" spans="1:29" ht="17.100000000000001" customHeight="1" thickTop="1">
      <c r="A30" s="197" t="s">
        <v>3049</v>
      </c>
      <c r="B30" s="26">
        <v>45317</v>
      </c>
      <c r="C30" s="36">
        <v>2021</v>
      </c>
      <c r="D30" s="28" t="s">
        <v>2726</v>
      </c>
      <c r="E30" s="199"/>
      <c r="F30" s="54" t="s">
        <v>3050</v>
      </c>
      <c r="G30" s="37" t="s">
        <v>3051</v>
      </c>
      <c r="H30" s="201">
        <v>4</v>
      </c>
      <c r="I30" s="193">
        <v>1600000</v>
      </c>
      <c r="J30" s="193">
        <v>160000</v>
      </c>
      <c r="K30" s="193">
        <v>16060</v>
      </c>
      <c r="L30" s="193">
        <v>19720</v>
      </c>
      <c r="M30" s="193">
        <v>13200</v>
      </c>
      <c r="N30" s="193">
        <f>SUM(I30:M31)</f>
        <v>1808980</v>
      </c>
      <c r="O30" s="191"/>
      <c r="P30" s="57" t="s">
        <v>3052</v>
      </c>
      <c r="Q30" s="29" t="s">
        <v>82</v>
      </c>
      <c r="R30" s="81"/>
      <c r="S30" s="48" t="s">
        <v>1983</v>
      </c>
      <c r="T30" s="50"/>
      <c r="U30" s="30"/>
      <c r="V30" s="58">
        <v>46349</v>
      </c>
      <c r="W30" s="52"/>
      <c r="X30" s="193">
        <v>3960000</v>
      </c>
      <c r="Y30" s="206">
        <v>0</v>
      </c>
      <c r="Z30" s="193">
        <v>0</v>
      </c>
      <c r="AA30" s="193">
        <f>SUM(X30:Z30)</f>
        <v>3960000</v>
      </c>
      <c r="AB30" s="219">
        <v>46031</v>
      </c>
      <c r="AC30"/>
    </row>
    <row r="31" spans="1:29" ht="17.100000000000001" customHeight="1" thickBot="1">
      <c r="A31" s="198"/>
      <c r="B31" s="31" t="s">
        <v>1797</v>
      </c>
      <c r="C31" s="31">
        <v>58152</v>
      </c>
      <c r="D31" s="32" t="s">
        <v>2399</v>
      </c>
      <c r="E31" s="200"/>
      <c r="F31" s="43" t="s">
        <v>3053</v>
      </c>
      <c r="G31" s="38">
        <v>53146</v>
      </c>
      <c r="H31" s="202"/>
      <c r="I31" s="194"/>
      <c r="J31" s="194"/>
      <c r="K31" s="194"/>
      <c r="L31" s="194"/>
      <c r="M31" s="194"/>
      <c r="N31" s="194"/>
      <c r="O31" s="192"/>
      <c r="P31" s="55" t="s">
        <v>2711</v>
      </c>
      <c r="Q31" s="33" t="s">
        <v>86</v>
      </c>
      <c r="R31" s="34" t="s">
        <v>3054</v>
      </c>
      <c r="S31" s="44" t="s">
        <v>3055</v>
      </c>
      <c r="T31" s="46"/>
      <c r="U31" s="35" t="s">
        <v>1100</v>
      </c>
      <c r="V31" s="56" t="s">
        <v>3056</v>
      </c>
      <c r="W31" s="46"/>
      <c r="X31" s="194"/>
      <c r="Y31" s="194"/>
      <c r="Z31" s="194"/>
      <c r="AA31" s="194"/>
      <c r="AB31" s="220"/>
      <c r="AC31"/>
    </row>
    <row r="32" spans="1:29" ht="17.100000000000001" customHeight="1" thickTop="1">
      <c r="A32" s="197" t="s">
        <v>3187</v>
      </c>
      <c r="B32" s="26">
        <v>45444</v>
      </c>
      <c r="C32" s="36">
        <v>1204</v>
      </c>
      <c r="D32" s="28" t="s">
        <v>1978</v>
      </c>
      <c r="E32" s="199"/>
      <c r="F32" s="54" t="s">
        <v>3188</v>
      </c>
      <c r="G32" s="37"/>
      <c r="H32" s="201">
        <v>4.5</v>
      </c>
      <c r="I32" s="193">
        <v>1520000</v>
      </c>
      <c r="J32" s="193">
        <f>I32*0.1</f>
        <v>152000</v>
      </c>
      <c r="K32" s="193">
        <v>0</v>
      </c>
      <c r="L32" s="193">
        <v>19440</v>
      </c>
      <c r="M32" s="193">
        <v>24200</v>
      </c>
      <c r="N32" s="193">
        <f>SUM(I32:M33)</f>
        <v>1715640</v>
      </c>
      <c r="O32" s="191"/>
      <c r="P32" s="57" t="s">
        <v>3189</v>
      </c>
      <c r="Q32" s="29" t="s">
        <v>82</v>
      </c>
      <c r="R32" s="81"/>
      <c r="S32" s="48" t="s">
        <v>1868</v>
      </c>
      <c r="T32" s="50"/>
      <c r="U32" s="30"/>
      <c r="V32" s="58">
        <v>46056</v>
      </c>
      <c r="W32" s="52"/>
      <c r="X32" s="193">
        <v>2300000</v>
      </c>
      <c r="Y32" s="206">
        <v>0</v>
      </c>
      <c r="Z32" s="193">
        <v>0</v>
      </c>
      <c r="AA32" s="193">
        <f>SUM(X32:Z32)</f>
        <v>2300000</v>
      </c>
      <c r="AB32" s="219">
        <v>46091</v>
      </c>
      <c r="AC32"/>
    </row>
    <row r="33" spans="1:29" ht="17.100000000000001" customHeight="1" thickBot="1">
      <c r="A33" s="198"/>
      <c r="B33" s="31" t="s">
        <v>521</v>
      </c>
      <c r="C33" s="31">
        <v>85060</v>
      </c>
      <c r="D33" s="32" t="s">
        <v>399</v>
      </c>
      <c r="E33" s="200"/>
      <c r="F33" s="43" t="s">
        <v>3190</v>
      </c>
      <c r="G33" s="38">
        <v>49023</v>
      </c>
      <c r="H33" s="202"/>
      <c r="I33" s="194"/>
      <c r="J33" s="194"/>
      <c r="K33" s="194"/>
      <c r="L33" s="194"/>
      <c r="M33" s="194"/>
      <c r="N33" s="194"/>
      <c r="O33" s="192"/>
      <c r="P33" s="55" t="s">
        <v>3191</v>
      </c>
      <c r="Q33" s="33" t="s">
        <v>86</v>
      </c>
      <c r="R33" s="34" t="s">
        <v>3181</v>
      </c>
      <c r="S33" s="44" t="s">
        <v>96</v>
      </c>
      <c r="T33" s="46"/>
      <c r="U33" s="35"/>
      <c r="V33" s="56" t="s">
        <v>3192</v>
      </c>
      <c r="W33" s="46"/>
      <c r="X33" s="194"/>
      <c r="Y33" s="194"/>
      <c r="Z33" s="194"/>
      <c r="AA33" s="194"/>
      <c r="AB33" s="220"/>
      <c r="AC33"/>
    </row>
    <row r="34" spans="1:29" ht="17.100000000000001" customHeight="1" thickTop="1">
      <c r="A34" s="197" t="s">
        <v>3193</v>
      </c>
      <c r="B34" s="26">
        <v>45446</v>
      </c>
      <c r="C34" s="36"/>
      <c r="D34" s="28" t="s">
        <v>3096</v>
      </c>
      <c r="E34" s="199"/>
      <c r="F34" s="54" t="s">
        <v>3194</v>
      </c>
      <c r="G34" s="37"/>
      <c r="H34" s="201">
        <v>3.5</v>
      </c>
      <c r="I34" s="193">
        <v>1052000</v>
      </c>
      <c r="J34" s="193">
        <f>I34*0.1</f>
        <v>105200</v>
      </c>
      <c r="K34" s="193">
        <v>0</v>
      </c>
      <c r="L34" s="193">
        <v>8550</v>
      </c>
      <c r="M34" s="193">
        <v>14850</v>
      </c>
      <c r="N34" s="193">
        <f>SUM(I34:M35)</f>
        <v>1180600</v>
      </c>
      <c r="O34" s="191"/>
      <c r="P34" s="57" t="s">
        <v>3195</v>
      </c>
      <c r="Q34" s="29" t="s">
        <v>82</v>
      </c>
      <c r="R34" s="81"/>
      <c r="S34" s="48" t="s">
        <v>940</v>
      </c>
      <c r="T34" s="50"/>
      <c r="U34" s="30"/>
      <c r="V34" s="58">
        <v>46144</v>
      </c>
      <c r="W34" s="52">
        <v>1299</v>
      </c>
      <c r="X34" s="193">
        <v>1000000</v>
      </c>
      <c r="Y34" s="206">
        <f>X34*0.1</f>
        <v>100000</v>
      </c>
      <c r="Z34" s="193">
        <v>8550</v>
      </c>
      <c r="AA34" s="193">
        <f>SUM(X34:Z34)</f>
        <v>1108550</v>
      </c>
      <c r="AB34" s="219">
        <v>46161</v>
      </c>
      <c r="AC34"/>
    </row>
    <row r="35" spans="1:29" ht="17.100000000000001" customHeight="1" thickBot="1">
      <c r="A35" s="198"/>
      <c r="B35" s="31" t="s">
        <v>3196</v>
      </c>
      <c r="C35" s="31">
        <v>80345</v>
      </c>
      <c r="D35" s="32" t="s">
        <v>1987</v>
      </c>
      <c r="E35" s="200"/>
      <c r="F35" s="43" t="s">
        <v>3197</v>
      </c>
      <c r="G35" s="38">
        <v>46279</v>
      </c>
      <c r="H35" s="202"/>
      <c r="I35" s="194"/>
      <c r="J35" s="194"/>
      <c r="K35" s="194"/>
      <c r="L35" s="194"/>
      <c r="M35" s="194"/>
      <c r="N35" s="194"/>
      <c r="O35" s="192"/>
      <c r="P35" s="55" t="s">
        <v>3198</v>
      </c>
      <c r="Q35" s="33" t="s">
        <v>86</v>
      </c>
      <c r="R35" s="34" t="s">
        <v>2315</v>
      </c>
      <c r="S35" s="44" t="s">
        <v>3199</v>
      </c>
      <c r="T35" s="46"/>
      <c r="U35" s="35"/>
      <c r="V35" s="56" t="s">
        <v>3200</v>
      </c>
      <c r="W35" s="46">
        <v>60049</v>
      </c>
      <c r="X35" s="194"/>
      <c r="Y35" s="194"/>
      <c r="Z35" s="194"/>
      <c r="AA35" s="194"/>
      <c r="AB35" s="220"/>
      <c r="AC35"/>
    </row>
    <row r="36" spans="1:29" ht="17.100000000000001" customHeight="1" thickTop="1">
      <c r="A36" s="197" t="s">
        <v>3229</v>
      </c>
      <c r="B36" s="26">
        <v>45456</v>
      </c>
      <c r="C36" s="36">
        <v>1471</v>
      </c>
      <c r="D36" s="28" t="s">
        <v>2079</v>
      </c>
      <c r="E36" s="199"/>
      <c r="F36" s="54" t="s">
        <v>3230</v>
      </c>
      <c r="G36" s="37"/>
      <c r="H36" s="201">
        <v>4</v>
      </c>
      <c r="I36" s="193">
        <v>2035000</v>
      </c>
      <c r="J36" s="193">
        <f>I36*0.1</f>
        <v>203500</v>
      </c>
      <c r="K36" s="193">
        <v>0</v>
      </c>
      <c r="L36" s="193">
        <v>19090</v>
      </c>
      <c r="M36" s="193">
        <v>13200</v>
      </c>
      <c r="N36" s="193">
        <f>SUM(I36:M37)</f>
        <v>2270790</v>
      </c>
      <c r="O36" s="191"/>
      <c r="P36" s="57" t="s">
        <v>3231</v>
      </c>
      <c r="Q36" s="29" t="s">
        <v>82</v>
      </c>
      <c r="R36" s="81"/>
      <c r="S36" s="48" t="s">
        <v>1540</v>
      </c>
      <c r="T36" s="50"/>
      <c r="U36" s="30"/>
      <c r="V36" s="58">
        <v>46304</v>
      </c>
      <c r="W36" s="52"/>
      <c r="X36" s="193">
        <v>2910000</v>
      </c>
      <c r="Y36" s="206">
        <v>0</v>
      </c>
      <c r="Z36" s="193">
        <v>0</v>
      </c>
      <c r="AA36" s="193">
        <f>SUM(X36:Z36)</f>
        <v>2910000</v>
      </c>
      <c r="AB36" s="219">
        <v>46357</v>
      </c>
      <c r="AC36"/>
    </row>
    <row r="37" spans="1:29" ht="17.100000000000001" customHeight="1" thickBot="1">
      <c r="A37" s="198"/>
      <c r="B37" s="31" t="s">
        <v>1858</v>
      </c>
      <c r="C37" s="31">
        <v>75917</v>
      </c>
      <c r="D37" s="32" t="s">
        <v>1895</v>
      </c>
      <c r="E37" s="200"/>
      <c r="F37" s="43" t="s">
        <v>3232</v>
      </c>
      <c r="G37" s="38">
        <v>41190</v>
      </c>
      <c r="H37" s="202"/>
      <c r="I37" s="194"/>
      <c r="J37" s="194"/>
      <c r="K37" s="194"/>
      <c r="L37" s="194"/>
      <c r="M37" s="194"/>
      <c r="N37" s="194"/>
      <c r="O37" s="192"/>
      <c r="P37" s="55" t="s">
        <v>3233</v>
      </c>
      <c r="Q37" s="33" t="s">
        <v>86</v>
      </c>
      <c r="R37" s="34" t="s">
        <v>2339</v>
      </c>
      <c r="S37" s="44" t="s">
        <v>3234</v>
      </c>
      <c r="T37" s="46"/>
      <c r="U37" s="35"/>
      <c r="V37" s="56" t="s">
        <v>3235</v>
      </c>
      <c r="W37" s="46"/>
      <c r="X37" s="194"/>
      <c r="Y37" s="194"/>
      <c r="Z37" s="194"/>
      <c r="AA37" s="194"/>
      <c r="AB37" s="220"/>
      <c r="AC37"/>
    </row>
    <row r="38" spans="1:29" ht="17.100000000000001" customHeight="1" thickTop="1">
      <c r="A38" s="197" t="s">
        <v>3272</v>
      </c>
      <c r="B38" s="26">
        <v>45470</v>
      </c>
      <c r="C38" s="36">
        <v>1473</v>
      </c>
      <c r="D38" s="28" t="s">
        <v>2669</v>
      </c>
      <c r="E38" s="199"/>
      <c r="F38" s="54" t="s">
        <v>3273</v>
      </c>
      <c r="G38" s="37" t="s">
        <v>3274</v>
      </c>
      <c r="H38" s="201">
        <v>4.5</v>
      </c>
      <c r="I38" s="193">
        <v>2535000</v>
      </c>
      <c r="J38" s="193">
        <f>I38*0.1</f>
        <v>253500</v>
      </c>
      <c r="K38" s="193">
        <v>42020</v>
      </c>
      <c r="L38" s="193">
        <v>18130</v>
      </c>
      <c r="M38" s="193">
        <v>13200</v>
      </c>
      <c r="N38" s="193">
        <f>SUM(I38:M39)</f>
        <v>2861850</v>
      </c>
      <c r="O38" s="191"/>
      <c r="P38" s="57" t="s">
        <v>3275</v>
      </c>
      <c r="Q38" s="29" t="s">
        <v>82</v>
      </c>
      <c r="R38" s="81"/>
      <c r="S38" s="48"/>
      <c r="T38" s="50"/>
      <c r="U38" s="30" t="s">
        <v>3276</v>
      </c>
      <c r="V38" s="58">
        <v>46054</v>
      </c>
      <c r="W38" s="52"/>
      <c r="X38" s="193">
        <v>3800000</v>
      </c>
      <c r="Y38" s="206">
        <v>0</v>
      </c>
      <c r="Z38" s="193">
        <v>0</v>
      </c>
      <c r="AA38" s="193">
        <f>SUM(X38:Z38)</f>
        <v>3800000</v>
      </c>
      <c r="AB38" s="219">
        <v>46082</v>
      </c>
      <c r="AC38"/>
    </row>
    <row r="39" spans="1:29" ht="17.100000000000001" customHeight="1" thickBot="1">
      <c r="A39" s="198"/>
      <c r="B39" s="31" t="s">
        <v>1858</v>
      </c>
      <c r="C39" s="31">
        <v>75948</v>
      </c>
      <c r="D39" s="32" t="s">
        <v>95</v>
      </c>
      <c r="E39" s="200"/>
      <c r="F39" s="43" t="s">
        <v>3277</v>
      </c>
      <c r="G39" s="38">
        <v>49448</v>
      </c>
      <c r="H39" s="202"/>
      <c r="I39" s="194"/>
      <c r="J39" s="194"/>
      <c r="K39" s="194"/>
      <c r="L39" s="194"/>
      <c r="M39" s="194"/>
      <c r="N39" s="194"/>
      <c r="O39" s="192"/>
      <c r="P39" s="55" t="s">
        <v>3278</v>
      </c>
      <c r="Q39" s="33" t="s">
        <v>86</v>
      </c>
      <c r="R39" s="34" t="s">
        <v>3271</v>
      </c>
      <c r="S39" s="44" t="s">
        <v>96</v>
      </c>
      <c r="T39" s="46"/>
      <c r="U39" s="35"/>
      <c r="V39" s="56" t="s">
        <v>3279</v>
      </c>
      <c r="W39" s="46"/>
      <c r="X39" s="194"/>
      <c r="Y39" s="194"/>
      <c r="Z39" s="194"/>
      <c r="AA39" s="194"/>
      <c r="AB39" s="220"/>
      <c r="AC39"/>
    </row>
    <row r="40" spans="1:29" ht="17.100000000000001" customHeight="1" thickTop="1">
      <c r="A40" s="197" t="s">
        <v>3330</v>
      </c>
      <c r="B40" s="26">
        <v>45499</v>
      </c>
      <c r="C40" s="36">
        <v>2046</v>
      </c>
      <c r="D40" s="28" t="s">
        <v>2482</v>
      </c>
      <c r="E40" s="199"/>
      <c r="F40" s="54" t="s">
        <v>3331</v>
      </c>
      <c r="G40" s="37"/>
      <c r="H40" s="201">
        <v>4.5</v>
      </c>
      <c r="I40" s="193">
        <v>768000</v>
      </c>
      <c r="J40" s="193">
        <f>I40*0.1</f>
        <v>76800</v>
      </c>
      <c r="K40" s="193">
        <v>0</v>
      </c>
      <c r="L40" s="193">
        <v>13910</v>
      </c>
      <c r="M40" s="193">
        <v>13200</v>
      </c>
      <c r="N40" s="193">
        <f>SUM(I40:M41)</f>
        <v>871910</v>
      </c>
      <c r="O40" s="191"/>
      <c r="P40" s="147" t="s">
        <v>3332</v>
      </c>
      <c r="Q40" s="29" t="s">
        <v>82</v>
      </c>
      <c r="R40" s="81"/>
      <c r="S40" s="48"/>
      <c r="T40" s="50"/>
      <c r="U40" s="30"/>
      <c r="V40" s="58">
        <v>45953</v>
      </c>
      <c r="W40" s="52">
        <v>1303</v>
      </c>
      <c r="X40" s="193">
        <v>390000</v>
      </c>
      <c r="Y40" s="206">
        <f>X40*0.1</f>
        <v>39000</v>
      </c>
      <c r="Z40" s="193">
        <v>13910</v>
      </c>
      <c r="AA40" s="193">
        <f>SUM(X40:Z40)</f>
        <v>442910</v>
      </c>
      <c r="AB40" s="195">
        <v>45954</v>
      </c>
      <c r="AC40"/>
    </row>
    <row r="41" spans="1:29" ht="17.100000000000001" customHeight="1" thickBot="1">
      <c r="A41" s="198"/>
      <c r="B41" s="31" t="s">
        <v>1797</v>
      </c>
      <c r="C41" s="31">
        <v>37277</v>
      </c>
      <c r="D41" s="32" t="s">
        <v>399</v>
      </c>
      <c r="E41" s="200"/>
      <c r="F41" s="43" t="s">
        <v>3333</v>
      </c>
      <c r="G41" s="38">
        <v>25264</v>
      </c>
      <c r="H41" s="202"/>
      <c r="I41" s="194"/>
      <c r="J41" s="194"/>
      <c r="K41" s="194"/>
      <c r="L41" s="194"/>
      <c r="M41" s="194"/>
      <c r="N41" s="194"/>
      <c r="O41" s="192"/>
      <c r="P41" s="148" t="s">
        <v>3334</v>
      </c>
      <c r="Q41" s="33" t="s">
        <v>86</v>
      </c>
      <c r="R41" s="34" t="s">
        <v>3299</v>
      </c>
      <c r="S41" s="44" t="s">
        <v>3335</v>
      </c>
      <c r="T41" s="46"/>
      <c r="U41" s="35"/>
      <c r="V41" s="56" t="s">
        <v>3336</v>
      </c>
      <c r="W41" s="46" t="s">
        <v>3337</v>
      </c>
      <c r="X41" s="194"/>
      <c r="Y41" s="194"/>
      <c r="Z41" s="194"/>
      <c r="AA41" s="194"/>
      <c r="AB41" s="196"/>
      <c r="AC41"/>
    </row>
    <row r="42" spans="1:29" ht="17.100000000000001" customHeight="1" thickTop="1">
      <c r="A42" s="197" t="s">
        <v>3353</v>
      </c>
      <c r="B42" s="26">
        <v>45506</v>
      </c>
      <c r="C42" s="36">
        <v>2047</v>
      </c>
      <c r="D42" s="28" t="s">
        <v>3354</v>
      </c>
      <c r="E42" s="199"/>
      <c r="F42" s="54" t="s">
        <v>3355</v>
      </c>
      <c r="G42" s="37" t="s">
        <v>3356</v>
      </c>
      <c r="H42" s="201">
        <v>4.5</v>
      </c>
      <c r="I42" s="193">
        <v>1165000</v>
      </c>
      <c r="J42" s="193">
        <f>I42*0.1</f>
        <v>116500</v>
      </c>
      <c r="K42" s="193">
        <v>0</v>
      </c>
      <c r="L42" s="193">
        <v>9070</v>
      </c>
      <c r="M42" s="193">
        <v>13200</v>
      </c>
      <c r="N42" s="193">
        <f>SUM(I42:M43)</f>
        <v>1303770</v>
      </c>
      <c r="O42" s="191"/>
      <c r="P42" s="147" t="s">
        <v>3357</v>
      </c>
      <c r="Q42" s="29" t="s">
        <v>82</v>
      </c>
      <c r="R42" s="81"/>
      <c r="S42" s="48" t="s">
        <v>1494</v>
      </c>
      <c r="T42" s="50"/>
      <c r="U42" s="30" t="s">
        <v>3358</v>
      </c>
      <c r="V42" s="58">
        <v>46102</v>
      </c>
      <c r="W42" s="52">
        <v>1293</v>
      </c>
      <c r="X42" s="193">
        <v>975000</v>
      </c>
      <c r="Y42" s="206">
        <f>X42*0.1</f>
        <v>97500</v>
      </c>
      <c r="Z42" s="193">
        <v>9070</v>
      </c>
      <c r="AA42" s="193">
        <f>SUM(X42:Z42)</f>
        <v>1081570</v>
      </c>
      <c r="AB42" s="195">
        <v>46105</v>
      </c>
      <c r="AC42"/>
    </row>
    <row r="43" spans="1:29" ht="17.100000000000001" customHeight="1" thickBot="1">
      <c r="A43" s="198"/>
      <c r="B43" s="31" t="s">
        <v>1797</v>
      </c>
      <c r="C43" s="31">
        <v>55149</v>
      </c>
      <c r="D43" s="32" t="s">
        <v>399</v>
      </c>
      <c r="E43" s="200"/>
      <c r="F43" s="43" t="s">
        <v>3359</v>
      </c>
      <c r="G43" s="38">
        <v>24410</v>
      </c>
      <c r="H43" s="202"/>
      <c r="I43" s="194"/>
      <c r="J43" s="194"/>
      <c r="K43" s="194"/>
      <c r="L43" s="194"/>
      <c r="M43" s="194"/>
      <c r="N43" s="194"/>
      <c r="O43" s="192"/>
      <c r="P43" s="148" t="s">
        <v>3360</v>
      </c>
      <c r="Q43" s="33" t="s">
        <v>86</v>
      </c>
      <c r="R43" s="34" t="s">
        <v>2914</v>
      </c>
      <c r="S43" s="44" t="s">
        <v>3361</v>
      </c>
      <c r="T43" s="46"/>
      <c r="U43" s="35"/>
      <c r="V43" s="56" t="s">
        <v>521</v>
      </c>
      <c r="W43" s="46">
        <v>60215</v>
      </c>
      <c r="X43" s="194"/>
      <c r="Y43" s="194"/>
      <c r="Z43" s="194"/>
      <c r="AA43" s="194"/>
      <c r="AB43" s="196"/>
      <c r="AC43"/>
    </row>
    <row r="44" spans="1:29" ht="17.100000000000001" customHeight="1" thickTop="1">
      <c r="A44" s="197" t="s">
        <v>3394</v>
      </c>
      <c r="B44" s="26">
        <v>45514</v>
      </c>
      <c r="C44" s="36">
        <v>1457</v>
      </c>
      <c r="D44" s="28" t="s">
        <v>3395</v>
      </c>
      <c r="E44" s="199"/>
      <c r="F44" s="54" t="s">
        <v>3396</v>
      </c>
      <c r="G44" s="37" t="s">
        <v>3397</v>
      </c>
      <c r="H44" s="201">
        <v>4.5</v>
      </c>
      <c r="I44" s="193">
        <v>1570000</v>
      </c>
      <c r="J44" s="193">
        <f>I44*0.1</f>
        <v>157000</v>
      </c>
      <c r="K44" s="193">
        <v>25300</v>
      </c>
      <c r="L44" s="193">
        <v>22240</v>
      </c>
      <c r="M44" s="193">
        <v>13200</v>
      </c>
      <c r="N44" s="193">
        <f>SUM(I44:M45)</f>
        <v>1787740</v>
      </c>
      <c r="O44" s="191"/>
      <c r="P44" s="147" t="s">
        <v>3398</v>
      </c>
      <c r="Q44" s="29" t="s">
        <v>82</v>
      </c>
      <c r="R44" s="81"/>
      <c r="S44" s="48"/>
      <c r="T44" s="50"/>
      <c r="U44" s="30" t="s">
        <v>3399</v>
      </c>
      <c r="V44" s="58">
        <v>46377</v>
      </c>
      <c r="W44" s="52"/>
      <c r="X44" s="193">
        <v>2450000</v>
      </c>
      <c r="Y44" s="206">
        <v>0</v>
      </c>
      <c r="Z44" s="193">
        <v>0</v>
      </c>
      <c r="AA44" s="193">
        <f>SUM(X44:Z44)</f>
        <v>2450000</v>
      </c>
      <c r="AB44" s="195">
        <v>46056</v>
      </c>
      <c r="AC44"/>
    </row>
    <row r="45" spans="1:29" ht="17.100000000000001" customHeight="1" thickBot="1">
      <c r="A45" s="198"/>
      <c r="B45" s="31" t="s">
        <v>1810</v>
      </c>
      <c r="C45" s="31">
        <v>83160</v>
      </c>
      <c r="D45" s="32" t="s">
        <v>1849</v>
      </c>
      <c r="E45" s="200"/>
      <c r="F45" s="43" t="s">
        <v>3400</v>
      </c>
      <c r="G45" s="38">
        <v>56002</v>
      </c>
      <c r="H45" s="202"/>
      <c r="I45" s="194"/>
      <c r="J45" s="194"/>
      <c r="K45" s="194"/>
      <c r="L45" s="194"/>
      <c r="M45" s="194"/>
      <c r="N45" s="194"/>
      <c r="O45" s="192"/>
      <c r="P45" s="148" t="s">
        <v>3401</v>
      </c>
      <c r="Q45" s="33" t="s">
        <v>86</v>
      </c>
      <c r="R45" s="34" t="s">
        <v>2921</v>
      </c>
      <c r="S45" s="44" t="s">
        <v>3402</v>
      </c>
      <c r="T45" s="46"/>
      <c r="U45" s="35"/>
      <c r="V45" s="56" t="s">
        <v>3403</v>
      </c>
      <c r="W45" s="46"/>
      <c r="X45" s="194"/>
      <c r="Y45" s="194"/>
      <c r="Z45" s="194"/>
      <c r="AA45" s="194"/>
      <c r="AB45" s="196"/>
      <c r="AC45"/>
    </row>
    <row r="46" spans="1:29" ht="17.100000000000001" customHeight="1" thickTop="1">
      <c r="A46" s="197" t="s">
        <v>3404</v>
      </c>
      <c r="B46" s="26">
        <v>45523</v>
      </c>
      <c r="C46" s="36"/>
      <c r="D46" s="28" t="s">
        <v>3405</v>
      </c>
      <c r="E46" s="199"/>
      <c r="F46" s="54" t="s">
        <v>3406</v>
      </c>
      <c r="G46" s="37" t="s">
        <v>3389</v>
      </c>
      <c r="H46" s="201">
        <v>4.5</v>
      </c>
      <c r="I46" s="193">
        <f>3762000/1.1</f>
        <v>3419999.9999999995</v>
      </c>
      <c r="J46" s="193">
        <f>I46*0.1</f>
        <v>342000</v>
      </c>
      <c r="K46" s="193">
        <v>25300</v>
      </c>
      <c r="L46" s="193">
        <v>16550</v>
      </c>
      <c r="M46" s="193">
        <v>149050</v>
      </c>
      <c r="N46" s="193">
        <f>SUM(I46:M47)</f>
        <v>3952899.9999999995</v>
      </c>
      <c r="O46" s="191"/>
      <c r="P46" s="147" t="s">
        <v>3407</v>
      </c>
      <c r="Q46" s="29" t="s">
        <v>82</v>
      </c>
      <c r="R46" s="81"/>
      <c r="S46" s="48" t="s">
        <v>1500</v>
      </c>
      <c r="T46" s="50"/>
      <c r="U46" s="30" t="s">
        <v>3408</v>
      </c>
      <c r="V46" s="58">
        <v>45955</v>
      </c>
      <c r="W46" s="52">
        <v>1273</v>
      </c>
      <c r="X46" s="193">
        <v>3000000</v>
      </c>
      <c r="Y46" s="206">
        <f>X46*0.1</f>
        <v>300000</v>
      </c>
      <c r="Z46" s="193">
        <v>16550</v>
      </c>
      <c r="AA46" s="193">
        <f>SUM(X46:Z46)</f>
        <v>3316550</v>
      </c>
      <c r="AB46" s="195">
        <v>45965</v>
      </c>
      <c r="AC46"/>
    </row>
    <row r="47" spans="1:29" ht="17.100000000000001" customHeight="1" thickBot="1">
      <c r="A47" s="198"/>
      <c r="B47" s="31" t="s">
        <v>1985</v>
      </c>
      <c r="C47" s="31" t="s">
        <v>3409</v>
      </c>
      <c r="D47" s="32" t="s">
        <v>95</v>
      </c>
      <c r="E47" s="200"/>
      <c r="F47" s="43" t="s">
        <v>3410</v>
      </c>
      <c r="G47" s="38">
        <v>50825</v>
      </c>
      <c r="H47" s="202"/>
      <c r="I47" s="194"/>
      <c r="J47" s="194"/>
      <c r="K47" s="194"/>
      <c r="L47" s="194"/>
      <c r="M47" s="194"/>
      <c r="N47" s="194"/>
      <c r="O47" s="192"/>
      <c r="P47" s="148" t="s">
        <v>3411</v>
      </c>
      <c r="Q47" s="33" t="s">
        <v>86</v>
      </c>
      <c r="R47" s="34" t="s">
        <v>3412</v>
      </c>
      <c r="S47" s="44" t="s">
        <v>1872</v>
      </c>
      <c r="T47" s="46"/>
      <c r="U47" s="35"/>
      <c r="V47" s="56" t="s">
        <v>3200</v>
      </c>
      <c r="W47" s="46">
        <v>13177</v>
      </c>
      <c r="X47" s="194"/>
      <c r="Y47" s="194"/>
      <c r="Z47" s="194"/>
      <c r="AA47" s="194"/>
      <c r="AB47" s="196"/>
      <c r="AC47"/>
    </row>
    <row r="48" spans="1:29" ht="17.100000000000001" customHeight="1" thickTop="1">
      <c r="A48" s="197" t="s">
        <v>3441</v>
      </c>
      <c r="B48" s="26">
        <v>45540</v>
      </c>
      <c r="C48" s="36">
        <v>1943</v>
      </c>
      <c r="D48" s="28" t="s">
        <v>3442</v>
      </c>
      <c r="E48" s="199"/>
      <c r="F48" s="54" t="s">
        <v>3443</v>
      </c>
      <c r="G48" s="37" t="s">
        <v>2778</v>
      </c>
      <c r="H48" s="201">
        <v>3.5</v>
      </c>
      <c r="I48" s="193">
        <v>884000</v>
      </c>
      <c r="J48" s="193">
        <f>I48*0.1</f>
        <v>88400</v>
      </c>
      <c r="K48" s="193">
        <v>0</v>
      </c>
      <c r="L48" s="193">
        <v>8540</v>
      </c>
      <c r="M48" s="193">
        <v>22000</v>
      </c>
      <c r="N48" s="193">
        <f>SUM(I48:M49)</f>
        <v>1002940</v>
      </c>
      <c r="O48" s="191"/>
      <c r="P48" s="147" t="s">
        <v>3444</v>
      </c>
      <c r="Q48" s="29" t="s">
        <v>82</v>
      </c>
      <c r="R48" s="81"/>
      <c r="S48" s="48" t="s">
        <v>1279</v>
      </c>
      <c r="T48" s="50"/>
      <c r="U48" s="30" t="s">
        <v>3445</v>
      </c>
      <c r="V48" s="58">
        <v>45969</v>
      </c>
      <c r="W48" s="52">
        <v>1275</v>
      </c>
      <c r="X48" s="193">
        <v>755000</v>
      </c>
      <c r="Y48" s="206">
        <f>X48*0.1</f>
        <v>75500</v>
      </c>
      <c r="Z48" s="193">
        <v>8540</v>
      </c>
      <c r="AA48" s="193">
        <f>SUM(X48:Z48)</f>
        <v>839040</v>
      </c>
      <c r="AB48" s="195">
        <v>45972</v>
      </c>
      <c r="AC48"/>
    </row>
    <row r="49" spans="1:29" ht="17.100000000000001" customHeight="1" thickBot="1">
      <c r="A49" s="198"/>
      <c r="B49" s="31" t="s">
        <v>3140</v>
      </c>
      <c r="C49" s="31">
        <v>50208</v>
      </c>
      <c r="D49" s="32" t="s">
        <v>1832</v>
      </c>
      <c r="E49" s="200"/>
      <c r="F49" s="43" t="s">
        <v>3446</v>
      </c>
      <c r="G49" s="38">
        <v>54620</v>
      </c>
      <c r="H49" s="202"/>
      <c r="I49" s="194"/>
      <c r="J49" s="194"/>
      <c r="K49" s="194"/>
      <c r="L49" s="194"/>
      <c r="M49" s="194"/>
      <c r="N49" s="194"/>
      <c r="O49" s="192"/>
      <c r="P49" s="148" t="s">
        <v>3367</v>
      </c>
      <c r="Q49" s="33" t="s">
        <v>86</v>
      </c>
      <c r="R49" s="34" t="s">
        <v>2445</v>
      </c>
      <c r="S49" s="44" t="s">
        <v>2876</v>
      </c>
      <c r="T49" s="46" t="s">
        <v>3447</v>
      </c>
      <c r="U49" s="35"/>
      <c r="V49" s="56" t="s">
        <v>521</v>
      </c>
      <c r="W49" s="46">
        <v>60051</v>
      </c>
      <c r="X49" s="194"/>
      <c r="Y49" s="194"/>
      <c r="Z49" s="194"/>
      <c r="AA49" s="194"/>
      <c r="AB49" s="196"/>
      <c r="AC49"/>
    </row>
    <row r="50" spans="1:29" ht="17.100000000000001" customHeight="1" thickTop="1">
      <c r="A50" s="197" t="s">
        <v>3456</v>
      </c>
      <c r="B50" s="26">
        <v>45540</v>
      </c>
      <c r="C50" s="36">
        <v>2075</v>
      </c>
      <c r="D50" s="28" t="s">
        <v>2040</v>
      </c>
      <c r="E50" s="199"/>
      <c r="F50" s="54" t="s">
        <v>3457</v>
      </c>
      <c r="G50" s="37"/>
      <c r="H50" s="201">
        <v>4</v>
      </c>
      <c r="I50" s="193">
        <v>777000</v>
      </c>
      <c r="J50" s="193">
        <f>I50*0.1</f>
        <v>77700</v>
      </c>
      <c r="K50" s="193">
        <v>0</v>
      </c>
      <c r="L50" s="193">
        <v>8400</v>
      </c>
      <c r="M50" s="193">
        <v>13750</v>
      </c>
      <c r="N50" s="193">
        <f>SUM(I50:M51)</f>
        <v>876850</v>
      </c>
      <c r="O50" s="191"/>
      <c r="P50" s="147" t="s">
        <v>3458</v>
      </c>
      <c r="Q50" s="29" t="s">
        <v>3459</v>
      </c>
      <c r="R50" s="81"/>
      <c r="S50" s="48"/>
      <c r="T50" s="50"/>
      <c r="U50" s="30"/>
      <c r="V50" s="58">
        <v>45932</v>
      </c>
      <c r="W50" s="52"/>
      <c r="X50" s="193">
        <v>810000</v>
      </c>
      <c r="Y50" s="206">
        <f>X50*0.1</f>
        <v>81000</v>
      </c>
      <c r="Z50" s="193">
        <v>8400</v>
      </c>
      <c r="AA50" s="193">
        <f>SUM(X50:Z50)</f>
        <v>899400</v>
      </c>
      <c r="AB50" s="195"/>
      <c r="AC50"/>
    </row>
    <row r="51" spans="1:29" ht="17.100000000000001" customHeight="1" thickBot="1">
      <c r="A51" s="198"/>
      <c r="B51" s="31" t="s">
        <v>2232</v>
      </c>
      <c r="C51" s="31">
        <v>2534</v>
      </c>
      <c r="D51" s="32" t="s">
        <v>1832</v>
      </c>
      <c r="E51" s="200"/>
      <c r="F51" s="43" t="s">
        <v>3460</v>
      </c>
      <c r="G51" s="38">
        <v>34566</v>
      </c>
      <c r="H51" s="202"/>
      <c r="I51" s="194"/>
      <c r="J51" s="194"/>
      <c r="K51" s="194"/>
      <c r="L51" s="194"/>
      <c r="M51" s="194"/>
      <c r="N51" s="194"/>
      <c r="O51" s="192"/>
      <c r="P51" s="148" t="s">
        <v>3461</v>
      </c>
      <c r="Q51" s="33" t="s">
        <v>86</v>
      </c>
      <c r="R51" s="34" t="s">
        <v>2973</v>
      </c>
      <c r="S51" s="44"/>
      <c r="T51" s="46"/>
      <c r="U51" s="35"/>
      <c r="V51" s="56" t="s">
        <v>2307</v>
      </c>
      <c r="W51" s="46">
        <v>35915</v>
      </c>
      <c r="X51" s="194"/>
      <c r="Y51" s="194"/>
      <c r="Z51" s="194"/>
      <c r="AA51" s="194"/>
      <c r="AB51" s="196"/>
      <c r="AC51"/>
    </row>
    <row r="52" spans="1:29" ht="17.100000000000001" customHeight="1" thickTop="1">
      <c r="A52" s="197" t="s">
        <v>3462</v>
      </c>
      <c r="B52" s="26">
        <v>45544</v>
      </c>
      <c r="C52" s="36">
        <v>2010</v>
      </c>
      <c r="D52" s="28" t="s">
        <v>2455</v>
      </c>
      <c r="E52" s="199"/>
      <c r="F52" s="54" t="s">
        <v>3463</v>
      </c>
      <c r="G52" s="37"/>
      <c r="H52" s="201">
        <v>3.5</v>
      </c>
      <c r="I52" s="193">
        <v>1990000</v>
      </c>
      <c r="J52" s="193">
        <f>I52*0.1</f>
        <v>199000</v>
      </c>
      <c r="K52" s="193">
        <v>0</v>
      </c>
      <c r="L52" s="193">
        <v>14740</v>
      </c>
      <c r="M52" s="193">
        <v>11000</v>
      </c>
      <c r="N52" s="193">
        <f>SUM(I52:M53)</f>
        <v>2214740</v>
      </c>
      <c r="O52" s="191"/>
      <c r="P52" s="147" t="s">
        <v>3464</v>
      </c>
      <c r="Q52" s="29" t="s">
        <v>82</v>
      </c>
      <c r="R52" s="81"/>
      <c r="S52" s="48" t="s">
        <v>1983</v>
      </c>
      <c r="T52" s="50"/>
      <c r="U52" s="30"/>
      <c r="V52" s="58">
        <v>45899</v>
      </c>
      <c r="W52" s="52"/>
      <c r="X52" s="193">
        <v>2700000</v>
      </c>
      <c r="Y52" s="206">
        <v>0</v>
      </c>
      <c r="Z52" s="193">
        <v>0</v>
      </c>
      <c r="AA52" s="193">
        <f>SUM(X52:Z52)</f>
        <v>2700000</v>
      </c>
      <c r="AB52" s="195">
        <v>45937</v>
      </c>
      <c r="AC52"/>
    </row>
    <row r="53" spans="1:29" ht="17.100000000000001" customHeight="1" thickBot="1">
      <c r="A53" s="198"/>
      <c r="B53" s="31" t="s">
        <v>189</v>
      </c>
      <c r="C53" s="31">
        <v>33504</v>
      </c>
      <c r="D53" s="32" t="s">
        <v>244</v>
      </c>
      <c r="E53" s="200"/>
      <c r="F53" s="43" t="s">
        <v>3465</v>
      </c>
      <c r="G53" s="38">
        <v>43182</v>
      </c>
      <c r="H53" s="202"/>
      <c r="I53" s="194"/>
      <c r="J53" s="194"/>
      <c r="K53" s="194"/>
      <c r="L53" s="194"/>
      <c r="M53" s="194"/>
      <c r="N53" s="194"/>
      <c r="O53" s="192"/>
      <c r="P53" s="148" t="s">
        <v>3069</v>
      </c>
      <c r="Q53" s="33" t="s">
        <v>86</v>
      </c>
      <c r="R53" s="34" t="s">
        <v>3466</v>
      </c>
      <c r="S53" s="44" t="s">
        <v>287</v>
      </c>
      <c r="T53" s="46"/>
      <c r="U53" s="35"/>
      <c r="V53" s="56" t="s">
        <v>3467</v>
      </c>
      <c r="W53" s="46"/>
      <c r="X53" s="194"/>
      <c r="Y53" s="194"/>
      <c r="Z53" s="194"/>
      <c r="AA53" s="194"/>
      <c r="AB53" s="196"/>
      <c r="AC53"/>
    </row>
    <row r="54" spans="1:29" ht="17.100000000000001" customHeight="1" thickTop="1">
      <c r="A54" s="197" t="s">
        <v>3482</v>
      </c>
      <c r="B54" s="26">
        <v>45551</v>
      </c>
      <c r="C54" s="36"/>
      <c r="D54" s="28" t="s">
        <v>3483</v>
      </c>
      <c r="E54" s="199"/>
      <c r="F54" s="54" t="s">
        <v>3484</v>
      </c>
      <c r="G54" s="37"/>
      <c r="H54" s="201">
        <v>3.5</v>
      </c>
      <c r="I54" s="193">
        <v>1265000</v>
      </c>
      <c r="J54" s="193">
        <f>I54*0.1</f>
        <v>126500</v>
      </c>
      <c r="K54" s="193">
        <v>0</v>
      </c>
      <c r="L54" s="193">
        <v>8550</v>
      </c>
      <c r="M54" s="193">
        <v>14850</v>
      </c>
      <c r="N54" s="193">
        <f>SUM(I54:M55)</f>
        <v>1414900</v>
      </c>
      <c r="O54" s="191"/>
      <c r="P54" s="147" t="s">
        <v>3485</v>
      </c>
      <c r="Q54" s="29" t="s">
        <v>82</v>
      </c>
      <c r="R54" s="81"/>
      <c r="S54" s="48" t="s">
        <v>940</v>
      </c>
      <c r="T54" s="50"/>
      <c r="U54" s="30"/>
      <c r="V54" s="58">
        <v>45938</v>
      </c>
      <c r="W54" s="52"/>
      <c r="X54" s="193">
        <v>1270000</v>
      </c>
      <c r="Y54" s="206">
        <f>X54*0.1</f>
        <v>127000</v>
      </c>
      <c r="Z54" s="193">
        <v>8550</v>
      </c>
      <c r="AA54" s="193">
        <f>SUM(X54:Z54)</f>
        <v>1405550</v>
      </c>
      <c r="AB54" s="195"/>
      <c r="AC54"/>
    </row>
    <row r="55" spans="1:29" ht="17.100000000000001" customHeight="1" thickBot="1">
      <c r="A55" s="198"/>
      <c r="B55" s="31" t="s">
        <v>3196</v>
      </c>
      <c r="C55" s="31">
        <v>80150</v>
      </c>
      <c r="D55" s="32" t="s">
        <v>399</v>
      </c>
      <c r="E55" s="200"/>
      <c r="F55" s="43" t="s">
        <v>3486</v>
      </c>
      <c r="G55" s="38">
        <v>39205</v>
      </c>
      <c r="H55" s="202"/>
      <c r="I55" s="194"/>
      <c r="J55" s="194"/>
      <c r="K55" s="194"/>
      <c r="L55" s="194"/>
      <c r="M55" s="194"/>
      <c r="N55" s="194"/>
      <c r="O55" s="192"/>
      <c r="P55" s="148" t="s">
        <v>3487</v>
      </c>
      <c r="Q55" s="33" t="s">
        <v>86</v>
      </c>
      <c r="R55" s="34" t="s">
        <v>2469</v>
      </c>
      <c r="S55" s="44" t="s">
        <v>3488</v>
      </c>
      <c r="T55" s="46"/>
      <c r="U55" s="35"/>
      <c r="V55" s="56" t="s">
        <v>2307</v>
      </c>
      <c r="W55" s="46">
        <v>35921</v>
      </c>
      <c r="X55" s="194"/>
      <c r="Y55" s="194"/>
      <c r="Z55" s="194"/>
      <c r="AA55" s="194"/>
      <c r="AB55" s="196"/>
      <c r="AC55"/>
    </row>
    <row r="56" spans="1:29" ht="17.100000000000001" customHeight="1" thickTop="1">
      <c r="A56" s="197" t="s">
        <v>3794</v>
      </c>
      <c r="B56" s="26">
        <v>45569</v>
      </c>
      <c r="C56" s="36">
        <v>2055</v>
      </c>
      <c r="D56" s="28" t="s">
        <v>2700</v>
      </c>
      <c r="E56" s="199" t="s">
        <v>282</v>
      </c>
      <c r="F56" s="54" t="s">
        <v>3795</v>
      </c>
      <c r="G56" s="37" t="s">
        <v>3159</v>
      </c>
      <c r="H56" s="201">
        <v>4.5</v>
      </c>
      <c r="I56" s="193">
        <v>3230000</v>
      </c>
      <c r="J56" s="193">
        <f>I56*0.1</f>
        <v>323000</v>
      </c>
      <c r="K56" s="193">
        <v>23320</v>
      </c>
      <c r="L56" s="193">
        <v>22420</v>
      </c>
      <c r="M56" s="193">
        <v>13200</v>
      </c>
      <c r="N56" s="193">
        <f>SUM(I56:M57)</f>
        <v>3611940</v>
      </c>
      <c r="O56" s="191"/>
      <c r="P56" s="147" t="s">
        <v>3796</v>
      </c>
      <c r="Q56" s="29" t="s">
        <v>82</v>
      </c>
      <c r="R56" s="81"/>
      <c r="S56" s="48" t="s">
        <v>940</v>
      </c>
      <c r="T56" s="50"/>
      <c r="U56" s="30" t="s">
        <v>3797</v>
      </c>
      <c r="V56" s="58">
        <v>46046</v>
      </c>
      <c r="W56" s="52">
        <v>1285</v>
      </c>
      <c r="X56" s="193">
        <v>2700000</v>
      </c>
      <c r="Y56" s="206">
        <f>X56*0.1</f>
        <v>270000</v>
      </c>
      <c r="Z56" s="193">
        <v>22420</v>
      </c>
      <c r="AA56" s="193">
        <f>SUM(X56:Z56)</f>
        <v>2992420</v>
      </c>
      <c r="AB56" s="195">
        <v>46049</v>
      </c>
      <c r="AC56"/>
    </row>
    <row r="57" spans="1:29" ht="17.100000000000001" customHeight="1" thickBot="1">
      <c r="A57" s="198"/>
      <c r="B57" s="31" t="s">
        <v>1797</v>
      </c>
      <c r="C57" s="31">
        <v>58206</v>
      </c>
      <c r="D57" s="32" t="s">
        <v>399</v>
      </c>
      <c r="E57" s="200"/>
      <c r="F57" s="43" t="s">
        <v>3798</v>
      </c>
      <c r="G57" s="38">
        <v>54774</v>
      </c>
      <c r="H57" s="202"/>
      <c r="I57" s="194"/>
      <c r="J57" s="194"/>
      <c r="K57" s="194"/>
      <c r="L57" s="194"/>
      <c r="M57" s="194"/>
      <c r="N57" s="194"/>
      <c r="O57" s="192"/>
      <c r="P57" s="148" t="s">
        <v>2667</v>
      </c>
      <c r="Q57" s="33" t="s">
        <v>86</v>
      </c>
      <c r="R57" s="34" t="s">
        <v>3799</v>
      </c>
      <c r="S57" s="44" t="s">
        <v>96</v>
      </c>
      <c r="T57" s="46"/>
      <c r="U57" s="35"/>
      <c r="V57" s="56" t="s">
        <v>3800</v>
      </c>
      <c r="W57" s="46">
        <v>82231</v>
      </c>
      <c r="X57" s="194"/>
      <c r="Y57" s="194"/>
      <c r="Z57" s="194"/>
      <c r="AA57" s="194"/>
      <c r="AB57" s="196"/>
      <c r="AC57"/>
    </row>
    <row r="58" spans="1:29" ht="17.100000000000001" customHeight="1" thickTop="1">
      <c r="A58" s="197" t="s">
        <v>3808</v>
      </c>
      <c r="B58" s="26">
        <v>45572</v>
      </c>
      <c r="C58" s="36"/>
      <c r="D58" s="28" t="s">
        <v>3809</v>
      </c>
      <c r="E58" s="199"/>
      <c r="F58" s="54" t="s">
        <v>3810</v>
      </c>
      <c r="G58" s="37"/>
      <c r="H58" s="205" t="s">
        <v>1981</v>
      </c>
      <c r="I58" s="193">
        <v>1234000</v>
      </c>
      <c r="J58" s="193">
        <f>I58*0.1</f>
        <v>123400</v>
      </c>
      <c r="K58" s="193">
        <v>0</v>
      </c>
      <c r="L58" s="193">
        <v>17190</v>
      </c>
      <c r="M58" s="193">
        <v>15950</v>
      </c>
      <c r="N58" s="193">
        <f>SUM(I58:M59)</f>
        <v>1390540</v>
      </c>
      <c r="O58" s="191"/>
      <c r="P58" s="147" t="s">
        <v>3811</v>
      </c>
      <c r="Q58" s="29" t="s">
        <v>82</v>
      </c>
      <c r="R58" s="81"/>
      <c r="S58" s="48"/>
      <c r="T58" s="50"/>
      <c r="U58" s="30"/>
      <c r="V58" s="58">
        <v>46128</v>
      </c>
      <c r="W58" s="52">
        <v>1327</v>
      </c>
      <c r="X58" s="193">
        <v>1095000</v>
      </c>
      <c r="Y58" s="206">
        <f>X58*0.1</f>
        <v>109500</v>
      </c>
      <c r="Z58" s="193">
        <v>17190</v>
      </c>
      <c r="AA58" s="193">
        <f>SUM(X58:Z58)</f>
        <v>1221690</v>
      </c>
      <c r="AB58" s="195">
        <v>46129</v>
      </c>
      <c r="AC58"/>
    </row>
    <row r="59" spans="1:29" ht="17.100000000000001" customHeight="1" thickBot="1">
      <c r="A59" s="198"/>
      <c r="B59" s="31" t="s">
        <v>2917</v>
      </c>
      <c r="C59" s="31">
        <v>80319</v>
      </c>
      <c r="D59" s="32" t="s">
        <v>1849</v>
      </c>
      <c r="E59" s="200"/>
      <c r="F59" s="43" t="s">
        <v>3812</v>
      </c>
      <c r="G59" s="38">
        <v>48565</v>
      </c>
      <c r="H59" s="202"/>
      <c r="I59" s="194"/>
      <c r="J59" s="194"/>
      <c r="K59" s="194"/>
      <c r="L59" s="194"/>
      <c r="M59" s="194"/>
      <c r="N59" s="194"/>
      <c r="O59" s="192"/>
      <c r="P59" s="148" t="s">
        <v>3813</v>
      </c>
      <c r="Q59" s="33" t="s">
        <v>86</v>
      </c>
      <c r="R59" s="34" t="s">
        <v>1909</v>
      </c>
      <c r="S59" s="44" t="s">
        <v>3814</v>
      </c>
      <c r="T59" s="46"/>
      <c r="U59" s="35"/>
      <c r="V59" s="56" t="s">
        <v>3815</v>
      </c>
      <c r="W59" s="46">
        <v>542</v>
      </c>
      <c r="X59" s="194"/>
      <c r="Y59" s="194"/>
      <c r="Z59" s="194"/>
      <c r="AA59" s="194"/>
      <c r="AB59" s="196"/>
      <c r="AC59"/>
    </row>
    <row r="60" spans="1:29" ht="17.100000000000001" customHeight="1" thickTop="1">
      <c r="A60" s="197" t="s">
        <v>3825</v>
      </c>
      <c r="B60" s="26">
        <v>45572</v>
      </c>
      <c r="C60" s="36"/>
      <c r="D60" s="28" t="s">
        <v>3826</v>
      </c>
      <c r="E60" s="199"/>
      <c r="F60" s="54" t="s">
        <v>3827</v>
      </c>
      <c r="G60" s="37"/>
      <c r="H60" s="201"/>
      <c r="I60" s="193">
        <v>11000000</v>
      </c>
      <c r="J60" s="193">
        <v>0</v>
      </c>
      <c r="K60" s="193">
        <v>0</v>
      </c>
      <c r="L60" s="193">
        <v>0</v>
      </c>
      <c r="M60" s="193">
        <v>0</v>
      </c>
      <c r="N60" s="193">
        <f>SUM(I60:M61)</f>
        <v>11000000</v>
      </c>
      <c r="O60" s="191"/>
      <c r="P60" s="147" t="s">
        <v>3828</v>
      </c>
      <c r="Q60" s="29" t="s">
        <v>82</v>
      </c>
      <c r="R60" s="81"/>
      <c r="S60" s="48"/>
      <c r="T60" s="50"/>
      <c r="U60" s="30" t="s">
        <v>3829</v>
      </c>
      <c r="V60" s="58">
        <v>46081</v>
      </c>
      <c r="W60" s="52"/>
      <c r="X60" s="193">
        <v>12020700</v>
      </c>
      <c r="Y60" s="206">
        <v>0</v>
      </c>
      <c r="Z60" s="193">
        <v>0</v>
      </c>
      <c r="AA60" s="193">
        <f>SUM(X60:Z60)</f>
        <v>12020700</v>
      </c>
      <c r="AB60" s="195">
        <v>46084</v>
      </c>
      <c r="AC60"/>
    </row>
    <row r="61" spans="1:29" ht="17.100000000000001" customHeight="1" thickBot="1">
      <c r="A61" s="198"/>
      <c r="B61" s="31" t="s">
        <v>3830</v>
      </c>
      <c r="C61" s="31"/>
      <c r="D61" s="32" t="s">
        <v>2168</v>
      </c>
      <c r="E61" s="200"/>
      <c r="F61" s="43" t="s">
        <v>3831</v>
      </c>
      <c r="G61" s="38"/>
      <c r="H61" s="202"/>
      <c r="I61" s="194"/>
      <c r="J61" s="194"/>
      <c r="K61" s="194"/>
      <c r="L61" s="194"/>
      <c r="M61" s="194"/>
      <c r="N61" s="194"/>
      <c r="O61" s="192"/>
      <c r="P61" s="148" t="s">
        <v>3832</v>
      </c>
      <c r="Q61" s="33" t="s">
        <v>86</v>
      </c>
      <c r="R61" s="34" t="s">
        <v>3833</v>
      </c>
      <c r="S61" s="44" t="s">
        <v>1919</v>
      </c>
      <c r="T61" s="46"/>
      <c r="U61" s="35"/>
      <c r="V61" s="182" t="s">
        <v>3834</v>
      </c>
      <c r="W61" s="46"/>
      <c r="X61" s="194"/>
      <c r="Y61" s="194"/>
      <c r="Z61" s="194"/>
      <c r="AA61" s="194"/>
      <c r="AB61" s="196"/>
      <c r="AC61"/>
    </row>
    <row r="62" spans="1:29" ht="17.100000000000001" customHeight="1" thickTop="1">
      <c r="A62" s="197" t="s">
        <v>3840</v>
      </c>
      <c r="B62" s="26">
        <v>45575</v>
      </c>
      <c r="C62" s="36">
        <v>1948</v>
      </c>
      <c r="D62" s="28" t="s">
        <v>3841</v>
      </c>
      <c r="E62" s="199"/>
      <c r="F62" s="54" t="s">
        <v>3842</v>
      </c>
      <c r="G62" s="37" t="s">
        <v>3843</v>
      </c>
      <c r="H62" s="201">
        <v>4</v>
      </c>
      <c r="I62" s="193">
        <v>1161000</v>
      </c>
      <c r="J62" s="193">
        <f>I62*0.1</f>
        <v>116100</v>
      </c>
      <c r="K62" s="193">
        <v>0</v>
      </c>
      <c r="L62" s="193">
        <v>8110</v>
      </c>
      <c r="M62" s="193">
        <v>22000</v>
      </c>
      <c r="N62" s="193">
        <f>SUM(I62:M63)</f>
        <v>1307210</v>
      </c>
      <c r="O62" s="191"/>
      <c r="P62" s="147" t="s">
        <v>3844</v>
      </c>
      <c r="Q62" s="29" t="s">
        <v>82</v>
      </c>
      <c r="R62" s="81"/>
      <c r="S62" s="48" t="s">
        <v>3452</v>
      </c>
      <c r="T62" s="50"/>
      <c r="U62" s="30" t="s">
        <v>3845</v>
      </c>
      <c r="V62" s="58">
        <v>45987</v>
      </c>
      <c r="W62" s="52">
        <v>994</v>
      </c>
      <c r="X62" s="193">
        <v>1035000</v>
      </c>
      <c r="Y62" s="206">
        <f>X62*0.1</f>
        <v>103500</v>
      </c>
      <c r="Z62" s="193">
        <v>8110</v>
      </c>
      <c r="AA62" s="193">
        <f>SUM(X62:Z62)</f>
        <v>1146610</v>
      </c>
      <c r="AB62" s="195">
        <v>45992</v>
      </c>
      <c r="AC62"/>
    </row>
    <row r="63" spans="1:29" ht="17.100000000000001" customHeight="1" thickBot="1">
      <c r="A63" s="198"/>
      <c r="B63" s="31" t="s">
        <v>3140</v>
      </c>
      <c r="C63" s="31">
        <v>50051</v>
      </c>
      <c r="D63" s="32" t="s">
        <v>3846</v>
      </c>
      <c r="E63" s="200"/>
      <c r="F63" s="43" t="s">
        <v>3847</v>
      </c>
      <c r="G63" s="38">
        <v>42580</v>
      </c>
      <c r="H63" s="202"/>
      <c r="I63" s="194"/>
      <c r="J63" s="194"/>
      <c r="K63" s="194"/>
      <c r="L63" s="194"/>
      <c r="M63" s="194"/>
      <c r="N63" s="194"/>
      <c r="O63" s="192"/>
      <c r="P63" s="148" t="s">
        <v>3848</v>
      </c>
      <c r="Q63" s="33" t="s">
        <v>86</v>
      </c>
      <c r="R63" s="34" t="s">
        <v>1909</v>
      </c>
      <c r="S63" s="44" t="s">
        <v>2754</v>
      </c>
      <c r="T63" s="46" t="s">
        <v>3849</v>
      </c>
      <c r="U63" s="35"/>
      <c r="V63" s="56" t="s">
        <v>104</v>
      </c>
      <c r="W63" s="46">
        <v>2075</v>
      </c>
      <c r="X63" s="194"/>
      <c r="Y63" s="194"/>
      <c r="Z63" s="194"/>
      <c r="AA63" s="194"/>
      <c r="AB63" s="196"/>
      <c r="AC63"/>
    </row>
    <row r="64" spans="1:29" ht="17.100000000000001" customHeight="1" thickTop="1">
      <c r="A64" s="197" t="s">
        <v>3850</v>
      </c>
      <c r="B64" s="26">
        <v>45583</v>
      </c>
      <c r="C64" s="36">
        <v>1341</v>
      </c>
      <c r="D64" s="28" t="s">
        <v>3405</v>
      </c>
      <c r="E64" s="199"/>
      <c r="F64" s="54" t="s">
        <v>3851</v>
      </c>
      <c r="G64" s="37"/>
      <c r="H64" s="201">
        <v>4</v>
      </c>
      <c r="I64" s="193">
        <v>1084000</v>
      </c>
      <c r="J64" s="193">
        <f>I64*0.1</f>
        <v>108400</v>
      </c>
      <c r="K64" s="193">
        <v>0</v>
      </c>
      <c r="L64" s="193">
        <v>8140</v>
      </c>
      <c r="M64" s="193">
        <v>13200</v>
      </c>
      <c r="N64" s="193">
        <f>SUM(I64:M65)</f>
        <v>1213740</v>
      </c>
      <c r="O64" s="191"/>
      <c r="P64" s="147" t="s">
        <v>3852</v>
      </c>
      <c r="Q64" s="29" t="s">
        <v>82</v>
      </c>
      <c r="R64" s="81"/>
      <c r="S64" s="48" t="s">
        <v>1540</v>
      </c>
      <c r="T64" s="50"/>
      <c r="U64" s="30"/>
      <c r="V64" s="58">
        <v>45934</v>
      </c>
      <c r="W64" s="52">
        <v>1270</v>
      </c>
      <c r="X64" s="193">
        <v>965000</v>
      </c>
      <c r="Y64" s="206">
        <v>96500</v>
      </c>
      <c r="Z64" s="193">
        <v>8140</v>
      </c>
      <c r="AA64" s="193">
        <f>SUM(X64:Z64)</f>
        <v>1069640</v>
      </c>
      <c r="AB64" s="195">
        <v>45937</v>
      </c>
      <c r="AC64"/>
    </row>
    <row r="65" spans="1:29" ht="17.100000000000001" customHeight="1" thickBot="1">
      <c r="A65" s="198"/>
      <c r="B65" s="31" t="s">
        <v>3039</v>
      </c>
      <c r="C65" s="31">
        <v>3311</v>
      </c>
      <c r="D65" s="32" t="s">
        <v>95</v>
      </c>
      <c r="E65" s="200"/>
      <c r="F65" s="43" t="s">
        <v>3853</v>
      </c>
      <c r="G65" s="38">
        <v>45645</v>
      </c>
      <c r="H65" s="202"/>
      <c r="I65" s="194"/>
      <c r="J65" s="194"/>
      <c r="K65" s="194"/>
      <c r="L65" s="194"/>
      <c r="M65" s="194"/>
      <c r="N65" s="194"/>
      <c r="O65" s="192"/>
      <c r="P65" s="148" t="s">
        <v>3854</v>
      </c>
      <c r="Q65" s="33" t="s">
        <v>86</v>
      </c>
      <c r="R65" s="34" t="s">
        <v>3855</v>
      </c>
      <c r="S65" s="44" t="s">
        <v>1872</v>
      </c>
      <c r="T65" s="46"/>
      <c r="U65" s="35"/>
      <c r="V65" s="56" t="s">
        <v>3800</v>
      </c>
      <c r="W65" s="46">
        <v>55032</v>
      </c>
      <c r="X65" s="194"/>
      <c r="Y65" s="194"/>
      <c r="Z65" s="194"/>
      <c r="AA65" s="194"/>
      <c r="AB65" s="196"/>
      <c r="AC65"/>
    </row>
    <row r="66" spans="1:29" ht="17.100000000000001" customHeight="1" thickTop="1">
      <c r="A66" s="197" t="s">
        <v>3871</v>
      </c>
      <c r="B66" s="26">
        <v>45586</v>
      </c>
      <c r="C66" s="36">
        <v>2016</v>
      </c>
      <c r="D66" s="28" t="s">
        <v>2482</v>
      </c>
      <c r="E66" s="199" t="s">
        <v>282</v>
      </c>
      <c r="F66" s="54" t="s">
        <v>3872</v>
      </c>
      <c r="G66" s="37" t="s">
        <v>3873</v>
      </c>
      <c r="H66" s="201">
        <v>3.5</v>
      </c>
      <c r="I66" s="193">
        <v>1190000</v>
      </c>
      <c r="J66" s="193">
        <f>I66*0.1</f>
        <v>119000</v>
      </c>
      <c r="K66" s="193">
        <f>6600+660</f>
        <v>7260</v>
      </c>
      <c r="L66" s="193">
        <v>10430</v>
      </c>
      <c r="M66" s="193">
        <v>9900</v>
      </c>
      <c r="N66" s="193">
        <f>SUM(I66:M67)</f>
        <v>1336590</v>
      </c>
      <c r="O66" s="191"/>
      <c r="P66" s="147" t="s">
        <v>3874</v>
      </c>
      <c r="Q66" s="29" t="s">
        <v>82</v>
      </c>
      <c r="R66" s="81"/>
      <c r="S66" s="48" t="s">
        <v>1596</v>
      </c>
      <c r="T66" s="50"/>
      <c r="U66" s="30" t="s">
        <v>3875</v>
      </c>
      <c r="V66" s="58">
        <v>45976</v>
      </c>
      <c r="W66" s="52">
        <v>1276</v>
      </c>
      <c r="X66" s="193">
        <v>1465000</v>
      </c>
      <c r="Y66" s="206">
        <f>X66*0.1</f>
        <v>146500</v>
      </c>
      <c r="Z66" s="193">
        <v>10430</v>
      </c>
      <c r="AA66" s="193">
        <f>SUM(X66:Z66)</f>
        <v>1621930</v>
      </c>
      <c r="AB66" s="195">
        <v>45979</v>
      </c>
      <c r="AC66"/>
    </row>
    <row r="67" spans="1:29" ht="17.100000000000001" customHeight="1" thickBot="1">
      <c r="A67" s="198"/>
      <c r="B67" s="31" t="s">
        <v>189</v>
      </c>
      <c r="C67" s="31">
        <v>14154</v>
      </c>
      <c r="D67" s="32" t="s">
        <v>399</v>
      </c>
      <c r="E67" s="200"/>
      <c r="F67" s="43" t="s">
        <v>3876</v>
      </c>
      <c r="G67" s="38">
        <v>113261</v>
      </c>
      <c r="H67" s="202"/>
      <c r="I67" s="194"/>
      <c r="J67" s="194"/>
      <c r="K67" s="194"/>
      <c r="L67" s="194"/>
      <c r="M67" s="194"/>
      <c r="N67" s="194"/>
      <c r="O67" s="192"/>
      <c r="P67" s="148" t="s">
        <v>3877</v>
      </c>
      <c r="Q67" s="33" t="s">
        <v>86</v>
      </c>
      <c r="R67" s="34" t="s">
        <v>3862</v>
      </c>
      <c r="S67" s="44" t="s">
        <v>3878</v>
      </c>
      <c r="T67" s="46"/>
      <c r="U67" s="35"/>
      <c r="V67" s="56" t="s">
        <v>521</v>
      </c>
      <c r="W67" s="46">
        <v>40082</v>
      </c>
      <c r="X67" s="194"/>
      <c r="Y67" s="194"/>
      <c r="Z67" s="194"/>
      <c r="AA67" s="194"/>
      <c r="AB67" s="196"/>
      <c r="AC67"/>
    </row>
    <row r="68" spans="1:29" ht="17.100000000000001" customHeight="1" thickTop="1">
      <c r="A68" s="197" t="s">
        <v>3890</v>
      </c>
      <c r="B68" s="26">
        <v>45587</v>
      </c>
      <c r="C68" s="36">
        <v>743</v>
      </c>
      <c r="D68" s="28" t="s">
        <v>2455</v>
      </c>
      <c r="E68" s="199"/>
      <c r="F68" s="54" t="s">
        <v>3891</v>
      </c>
      <c r="G68" s="37"/>
      <c r="H68" s="201">
        <v>4</v>
      </c>
      <c r="I68" s="193">
        <v>1757000</v>
      </c>
      <c r="J68" s="193">
        <f>I68*0.1</f>
        <v>175700</v>
      </c>
      <c r="K68" s="193">
        <v>0</v>
      </c>
      <c r="L68" s="193">
        <v>13210</v>
      </c>
      <c r="M68" s="193">
        <v>14850</v>
      </c>
      <c r="N68" s="193">
        <f>SUM(I68:M69)</f>
        <v>1960760</v>
      </c>
      <c r="O68" s="191"/>
      <c r="P68" s="147" t="s">
        <v>3892</v>
      </c>
      <c r="Q68" s="29" t="s">
        <v>82</v>
      </c>
      <c r="R68" s="81"/>
      <c r="S68" s="48"/>
      <c r="T68" s="50"/>
      <c r="U68" s="30"/>
      <c r="V68" s="58">
        <v>46285</v>
      </c>
      <c r="W68" s="52"/>
      <c r="X68" s="193">
        <v>2900000</v>
      </c>
      <c r="Y68" s="206">
        <v>0</v>
      </c>
      <c r="Z68" s="193">
        <v>0</v>
      </c>
      <c r="AA68" s="193">
        <f>SUM(X68:Z68)</f>
        <v>2900000</v>
      </c>
      <c r="AB68" s="195">
        <v>46341</v>
      </c>
      <c r="AC68"/>
    </row>
    <row r="69" spans="1:29" ht="17.100000000000001" customHeight="1" thickBot="1">
      <c r="A69" s="198"/>
      <c r="B69" s="31" t="s">
        <v>3893</v>
      </c>
      <c r="C69" s="31">
        <v>5002</v>
      </c>
      <c r="D69" s="32" t="s">
        <v>399</v>
      </c>
      <c r="E69" s="200"/>
      <c r="F69" s="43" t="s">
        <v>3894</v>
      </c>
      <c r="G69" s="38">
        <v>59399</v>
      </c>
      <c r="H69" s="202"/>
      <c r="I69" s="194"/>
      <c r="J69" s="194"/>
      <c r="K69" s="194"/>
      <c r="L69" s="194"/>
      <c r="M69" s="194"/>
      <c r="N69" s="194"/>
      <c r="O69" s="192"/>
      <c r="P69" s="148" t="s">
        <v>3895</v>
      </c>
      <c r="Q69" s="33" t="s">
        <v>86</v>
      </c>
      <c r="R69" s="34" t="s">
        <v>3862</v>
      </c>
      <c r="S69" s="44"/>
      <c r="T69" s="46"/>
      <c r="U69" s="35"/>
      <c r="V69" s="56" t="s">
        <v>3896</v>
      </c>
      <c r="W69" s="46"/>
      <c r="X69" s="194"/>
      <c r="Y69" s="194"/>
      <c r="Z69" s="194"/>
      <c r="AA69" s="194"/>
      <c r="AB69" s="196"/>
      <c r="AC69"/>
    </row>
    <row r="70" spans="1:29" ht="17.100000000000001" customHeight="1" thickTop="1">
      <c r="A70" s="197" t="s">
        <v>3903</v>
      </c>
      <c r="B70" s="26">
        <v>45590</v>
      </c>
      <c r="C70" s="36">
        <v>1129</v>
      </c>
      <c r="D70" s="28" t="s">
        <v>2325</v>
      </c>
      <c r="E70" s="199"/>
      <c r="F70" s="54" t="s">
        <v>1844</v>
      </c>
      <c r="G70" s="37" t="s">
        <v>3904</v>
      </c>
      <c r="H70" s="201">
        <v>4.5</v>
      </c>
      <c r="I70" s="193">
        <v>1815000</v>
      </c>
      <c r="J70" s="193">
        <f>I70*0.1</f>
        <v>181500</v>
      </c>
      <c r="K70" s="193">
        <v>18040</v>
      </c>
      <c r="L70" s="193">
        <v>18960</v>
      </c>
      <c r="M70" s="193">
        <v>13200</v>
      </c>
      <c r="N70" s="193">
        <f>SUM(I70:M71)</f>
        <v>2046700</v>
      </c>
      <c r="O70" s="191"/>
      <c r="P70" s="147" t="s">
        <v>3905</v>
      </c>
      <c r="Q70" s="29" t="s">
        <v>82</v>
      </c>
      <c r="R70" s="81"/>
      <c r="S70" s="48" t="s">
        <v>1821</v>
      </c>
      <c r="T70" s="50"/>
      <c r="U70" s="30"/>
      <c r="V70" s="58">
        <v>46341</v>
      </c>
      <c r="W70" s="52"/>
      <c r="X70" s="193">
        <v>2200000</v>
      </c>
      <c r="Y70" s="206">
        <v>0</v>
      </c>
      <c r="Z70" s="193">
        <v>0</v>
      </c>
      <c r="AA70" s="193">
        <f>SUM(X70:Z70)</f>
        <v>2200000</v>
      </c>
      <c r="AB70" s="195">
        <v>46356</v>
      </c>
      <c r="AC70"/>
    </row>
    <row r="71" spans="1:29" ht="17.100000000000001" customHeight="1" thickBot="1">
      <c r="A71" s="198"/>
      <c r="B71" s="31" t="s">
        <v>2108</v>
      </c>
      <c r="C71" s="31">
        <v>88110</v>
      </c>
      <c r="D71" s="32" t="s">
        <v>244</v>
      </c>
      <c r="E71" s="200"/>
      <c r="F71" s="43" t="s">
        <v>3906</v>
      </c>
      <c r="G71" s="38">
        <v>42499</v>
      </c>
      <c r="H71" s="202"/>
      <c r="I71" s="194"/>
      <c r="J71" s="194"/>
      <c r="K71" s="194"/>
      <c r="L71" s="194"/>
      <c r="M71" s="194"/>
      <c r="N71" s="194"/>
      <c r="O71" s="192"/>
      <c r="P71" s="148" t="s">
        <v>3907</v>
      </c>
      <c r="Q71" s="33" t="s">
        <v>86</v>
      </c>
      <c r="R71" s="34" t="s">
        <v>3908</v>
      </c>
      <c r="S71" s="44" t="s">
        <v>3909</v>
      </c>
      <c r="T71" s="46"/>
      <c r="U71" s="142" t="s">
        <v>1100</v>
      </c>
      <c r="V71" s="56" t="s">
        <v>3910</v>
      </c>
      <c r="W71" s="46"/>
      <c r="X71" s="194"/>
      <c r="Y71" s="194"/>
      <c r="Z71" s="194"/>
      <c r="AA71" s="194"/>
      <c r="AB71" s="196"/>
      <c r="AC71"/>
    </row>
    <row r="72" spans="1:29" ht="17.100000000000001" customHeight="1" thickTop="1">
      <c r="A72" s="197" t="s">
        <v>3955</v>
      </c>
      <c r="B72" s="26">
        <v>45623</v>
      </c>
      <c r="C72" s="36">
        <v>2283</v>
      </c>
      <c r="D72" s="28" t="s">
        <v>3809</v>
      </c>
      <c r="E72" s="199"/>
      <c r="F72" s="54" t="s">
        <v>3058</v>
      </c>
      <c r="G72" s="37" t="s">
        <v>3956</v>
      </c>
      <c r="H72" s="201">
        <v>4.5</v>
      </c>
      <c r="I72" s="193">
        <v>1245000</v>
      </c>
      <c r="J72" s="193">
        <f>I72*0.1</f>
        <v>124500</v>
      </c>
      <c r="K72" s="193">
        <v>14410</v>
      </c>
      <c r="L72" s="193">
        <v>17700</v>
      </c>
      <c r="M72" s="193">
        <v>13200</v>
      </c>
      <c r="N72" s="193">
        <f>SUM(I72:M73)</f>
        <v>1414810</v>
      </c>
      <c r="O72" s="191"/>
      <c r="P72" s="147" t="s">
        <v>3957</v>
      </c>
      <c r="Q72" s="29" t="s">
        <v>82</v>
      </c>
      <c r="R72" s="81"/>
      <c r="S72" s="48"/>
      <c r="T72" s="50"/>
      <c r="U72" s="30"/>
      <c r="V72" s="58">
        <v>46296</v>
      </c>
      <c r="W72" s="52"/>
      <c r="X72" s="193">
        <v>1760000</v>
      </c>
      <c r="Y72" s="206">
        <v>0</v>
      </c>
      <c r="Z72" s="193">
        <v>0</v>
      </c>
      <c r="AA72" s="193">
        <f>SUM(X72:Z72)</f>
        <v>1760000</v>
      </c>
      <c r="AB72" s="195">
        <v>46370</v>
      </c>
      <c r="AC72"/>
    </row>
    <row r="73" spans="1:29" ht="17.100000000000001" customHeight="1" thickBot="1">
      <c r="A73" s="198"/>
      <c r="B73" s="31" t="s">
        <v>3958</v>
      </c>
      <c r="C73" s="31">
        <v>50096</v>
      </c>
      <c r="D73" s="32" t="s">
        <v>244</v>
      </c>
      <c r="E73" s="200"/>
      <c r="F73" s="43" t="s">
        <v>3959</v>
      </c>
      <c r="G73" s="38">
        <v>23064</v>
      </c>
      <c r="H73" s="202"/>
      <c r="I73" s="194"/>
      <c r="J73" s="194"/>
      <c r="K73" s="194"/>
      <c r="L73" s="194"/>
      <c r="M73" s="194"/>
      <c r="N73" s="194"/>
      <c r="O73" s="192"/>
      <c r="P73" s="148" t="s">
        <v>3960</v>
      </c>
      <c r="Q73" s="33" t="s">
        <v>86</v>
      </c>
      <c r="R73" s="34" t="s">
        <v>3961</v>
      </c>
      <c r="S73" s="44" t="s">
        <v>96</v>
      </c>
      <c r="T73" s="46"/>
      <c r="U73" s="35" t="s">
        <v>1100</v>
      </c>
      <c r="V73" s="56" t="s">
        <v>3962</v>
      </c>
      <c r="W73" s="46"/>
      <c r="X73" s="194"/>
      <c r="Y73" s="194"/>
      <c r="Z73" s="194"/>
      <c r="AA73" s="194"/>
      <c r="AB73" s="196"/>
      <c r="AC73"/>
    </row>
    <row r="74" spans="1:29" ht="17.100000000000001" customHeight="1" thickTop="1">
      <c r="A74" s="197" t="s">
        <v>3963</v>
      </c>
      <c r="B74" s="26">
        <v>45624</v>
      </c>
      <c r="C74" s="36">
        <v>1955</v>
      </c>
      <c r="D74" s="28" t="s">
        <v>1960</v>
      </c>
      <c r="E74" s="199"/>
      <c r="F74" s="54" t="s">
        <v>3058</v>
      </c>
      <c r="G74" s="37" t="s">
        <v>3843</v>
      </c>
      <c r="H74" s="201">
        <v>4</v>
      </c>
      <c r="I74" s="193">
        <v>1259000</v>
      </c>
      <c r="J74" s="193">
        <f>I74*0.1</f>
        <v>125900</v>
      </c>
      <c r="K74" s="193">
        <f>13100+1310</f>
        <v>14410</v>
      </c>
      <c r="L74" s="193">
        <v>18960</v>
      </c>
      <c r="M74" s="193">
        <v>22000</v>
      </c>
      <c r="N74" s="193">
        <f>SUM(I74:M75)</f>
        <v>1440270</v>
      </c>
      <c r="O74" s="191"/>
      <c r="P74" s="147" t="s">
        <v>3964</v>
      </c>
      <c r="Q74" s="29" t="s">
        <v>82</v>
      </c>
      <c r="R74" s="81"/>
      <c r="S74" s="48" t="s">
        <v>1494</v>
      </c>
      <c r="T74" s="50"/>
      <c r="U74" s="30"/>
      <c r="V74" s="58">
        <v>46058</v>
      </c>
      <c r="W74" s="52"/>
      <c r="X74" s="193">
        <v>1948718</v>
      </c>
      <c r="Y74" s="206">
        <v>0</v>
      </c>
      <c r="Z74" s="193">
        <v>0</v>
      </c>
      <c r="AA74" s="193">
        <f>SUM(X74:Z74)</f>
        <v>1948718</v>
      </c>
      <c r="AB74" s="195">
        <v>46105</v>
      </c>
      <c r="AC74"/>
    </row>
    <row r="75" spans="1:29" ht="17.100000000000001" customHeight="1" thickBot="1">
      <c r="A75" s="198"/>
      <c r="B75" s="31" t="s">
        <v>3140</v>
      </c>
      <c r="C75" s="31">
        <v>10036</v>
      </c>
      <c r="D75" s="32" t="s">
        <v>1097</v>
      </c>
      <c r="E75" s="200"/>
      <c r="F75" s="43" t="s">
        <v>3965</v>
      </c>
      <c r="G75" s="38">
        <v>39634</v>
      </c>
      <c r="H75" s="202"/>
      <c r="I75" s="194"/>
      <c r="J75" s="194"/>
      <c r="K75" s="194"/>
      <c r="L75" s="194"/>
      <c r="M75" s="194"/>
      <c r="N75" s="194"/>
      <c r="O75" s="192"/>
      <c r="P75" s="148" t="s">
        <v>3966</v>
      </c>
      <c r="Q75" s="33" t="s">
        <v>86</v>
      </c>
      <c r="R75" s="34" t="s">
        <v>2590</v>
      </c>
      <c r="S75" s="44" t="s">
        <v>96</v>
      </c>
      <c r="T75" s="46"/>
      <c r="U75" s="35" t="s">
        <v>153</v>
      </c>
      <c r="V75" s="56" t="s">
        <v>3967</v>
      </c>
      <c r="W75" s="46"/>
      <c r="X75" s="194"/>
      <c r="Y75" s="194"/>
      <c r="Z75" s="194"/>
      <c r="AA75" s="194"/>
      <c r="AB75" s="196"/>
      <c r="AC75"/>
    </row>
    <row r="76" spans="1:29" ht="17.100000000000001" customHeight="1" thickTop="1">
      <c r="A76" s="197" t="s">
        <v>3968</v>
      </c>
      <c r="B76" s="26">
        <v>45626</v>
      </c>
      <c r="C76" s="36">
        <v>1229</v>
      </c>
      <c r="D76" s="28" t="s">
        <v>3969</v>
      </c>
      <c r="E76" s="199" t="s">
        <v>3036</v>
      </c>
      <c r="F76" s="54" t="s">
        <v>3970</v>
      </c>
      <c r="G76" s="37" t="s">
        <v>3904</v>
      </c>
      <c r="H76" s="201">
        <v>4</v>
      </c>
      <c r="I76" s="193">
        <v>720000</v>
      </c>
      <c r="J76" s="193">
        <f>I76*0.1</f>
        <v>72000</v>
      </c>
      <c r="K76" s="193">
        <v>0</v>
      </c>
      <c r="L76" s="193">
        <v>9170</v>
      </c>
      <c r="M76" s="193">
        <v>12100</v>
      </c>
      <c r="N76" s="193">
        <f>SUM(I76:M77)</f>
        <v>813270</v>
      </c>
      <c r="O76" s="191"/>
      <c r="P76" s="147" t="s">
        <v>3971</v>
      </c>
      <c r="Q76" s="29" t="s">
        <v>82</v>
      </c>
      <c r="R76" s="81"/>
      <c r="S76" s="48" t="s">
        <v>1500</v>
      </c>
      <c r="T76" s="50"/>
      <c r="U76" s="30" t="s">
        <v>3972</v>
      </c>
      <c r="V76" s="58">
        <v>46144</v>
      </c>
      <c r="W76" s="52">
        <v>1299</v>
      </c>
      <c r="X76" s="193">
        <v>690000</v>
      </c>
      <c r="Y76" s="206">
        <f>X76*0.1</f>
        <v>69000</v>
      </c>
      <c r="Z76" s="193">
        <v>9170</v>
      </c>
      <c r="AA76" s="193">
        <f>SUM(X76:Z76)</f>
        <v>768170</v>
      </c>
      <c r="AB76" s="195">
        <v>46154</v>
      </c>
      <c r="AC76"/>
    </row>
    <row r="77" spans="1:29" ht="17.100000000000001" customHeight="1" thickBot="1">
      <c r="A77" s="198"/>
      <c r="B77" s="31" t="s">
        <v>521</v>
      </c>
      <c r="C77" s="31">
        <v>65179</v>
      </c>
      <c r="D77" s="32" t="s">
        <v>1987</v>
      </c>
      <c r="E77" s="200"/>
      <c r="F77" s="43" t="s">
        <v>3973</v>
      </c>
      <c r="G77" s="38">
        <v>74894</v>
      </c>
      <c r="H77" s="202"/>
      <c r="I77" s="194"/>
      <c r="J77" s="194"/>
      <c r="K77" s="194"/>
      <c r="L77" s="194"/>
      <c r="M77" s="194"/>
      <c r="N77" s="194"/>
      <c r="O77" s="192"/>
      <c r="P77" s="148" t="s">
        <v>3974</v>
      </c>
      <c r="Q77" s="33" t="s">
        <v>86</v>
      </c>
      <c r="R77" s="34" t="s">
        <v>2021</v>
      </c>
      <c r="S77" s="44" t="s">
        <v>2000</v>
      </c>
      <c r="T77" s="46"/>
      <c r="U77" s="35"/>
      <c r="V77" s="56" t="s">
        <v>521</v>
      </c>
      <c r="W77" s="46">
        <v>60101</v>
      </c>
      <c r="X77" s="194"/>
      <c r="Y77" s="194"/>
      <c r="Z77" s="194"/>
      <c r="AA77" s="194"/>
      <c r="AB77" s="196"/>
      <c r="AC77"/>
    </row>
    <row r="78" spans="1:29" ht="17.100000000000001" customHeight="1" thickTop="1">
      <c r="A78" s="197" t="s">
        <v>4037</v>
      </c>
      <c r="B78" s="26">
        <v>45647</v>
      </c>
      <c r="C78" s="36">
        <v>1232</v>
      </c>
      <c r="D78" s="28" t="s">
        <v>94</v>
      </c>
      <c r="E78" s="199"/>
      <c r="F78" s="54" t="s">
        <v>3058</v>
      </c>
      <c r="G78" s="37" t="s">
        <v>4038</v>
      </c>
      <c r="H78" s="201">
        <v>4.5</v>
      </c>
      <c r="I78" s="193">
        <v>1245000</v>
      </c>
      <c r="J78" s="193">
        <f>I78*0.1</f>
        <v>124500</v>
      </c>
      <c r="K78" s="193">
        <v>10780</v>
      </c>
      <c r="L78" s="193">
        <v>17700</v>
      </c>
      <c r="M78" s="193">
        <v>13200</v>
      </c>
      <c r="N78" s="193">
        <f>SUM(I78:M79)</f>
        <v>1411180</v>
      </c>
      <c r="O78" s="191"/>
      <c r="P78" s="147" t="s">
        <v>4039</v>
      </c>
      <c r="Q78" s="29" t="s">
        <v>82</v>
      </c>
      <c r="R78" s="81"/>
      <c r="S78" s="48" t="s">
        <v>1494</v>
      </c>
      <c r="T78" s="50"/>
      <c r="U78" s="30" t="s">
        <v>4040</v>
      </c>
      <c r="V78" s="58">
        <v>46075</v>
      </c>
      <c r="W78" s="52"/>
      <c r="X78" s="193">
        <v>2562000</v>
      </c>
      <c r="Y78" s="206">
        <v>0</v>
      </c>
      <c r="Z78" s="193">
        <v>0</v>
      </c>
      <c r="AA78" s="193">
        <f>SUM(X78:Z78)</f>
        <v>2562000</v>
      </c>
      <c r="AB78" s="195">
        <v>46110</v>
      </c>
      <c r="AC78"/>
    </row>
    <row r="79" spans="1:29" ht="17.100000000000001" customHeight="1" thickBot="1">
      <c r="A79" s="198"/>
      <c r="B79" s="31" t="s">
        <v>521</v>
      </c>
      <c r="C79" s="31">
        <v>82079</v>
      </c>
      <c r="D79" s="32" t="s">
        <v>244</v>
      </c>
      <c r="E79" s="200"/>
      <c r="F79" s="43" t="s">
        <v>4041</v>
      </c>
      <c r="G79" s="38">
        <v>42712</v>
      </c>
      <c r="H79" s="202"/>
      <c r="I79" s="194"/>
      <c r="J79" s="194"/>
      <c r="K79" s="194"/>
      <c r="L79" s="194"/>
      <c r="M79" s="194"/>
      <c r="N79" s="194"/>
      <c r="O79" s="192"/>
      <c r="P79" s="148" t="s">
        <v>4042</v>
      </c>
      <c r="Q79" s="33" t="s">
        <v>86</v>
      </c>
      <c r="R79" s="34" t="s">
        <v>4035</v>
      </c>
      <c r="S79" s="44" t="s">
        <v>96</v>
      </c>
      <c r="T79" s="46"/>
      <c r="U79" s="35"/>
      <c r="V79" s="56" t="s">
        <v>4043</v>
      </c>
      <c r="W79" s="46"/>
      <c r="X79" s="194"/>
      <c r="Y79" s="194"/>
      <c r="Z79" s="194"/>
      <c r="AA79" s="194"/>
      <c r="AB79" s="196"/>
      <c r="AC79"/>
    </row>
    <row r="80" spans="1:29" ht="17.100000000000001" customHeight="1" thickTop="1">
      <c r="A80" s="197" t="s">
        <v>4059</v>
      </c>
      <c r="B80" s="26">
        <v>45671</v>
      </c>
      <c r="C80" s="36">
        <v>1028</v>
      </c>
      <c r="D80" s="28" t="s">
        <v>3152</v>
      </c>
      <c r="E80" s="199"/>
      <c r="F80" s="54" t="s">
        <v>4060</v>
      </c>
      <c r="G80" s="37" t="s">
        <v>4061</v>
      </c>
      <c r="H80" s="201">
        <v>4.5</v>
      </c>
      <c r="I80" s="193">
        <v>2565000</v>
      </c>
      <c r="J80" s="193">
        <f>I80*0.1</f>
        <v>256500</v>
      </c>
      <c r="K80" s="193">
        <f>6000+600</f>
        <v>6600</v>
      </c>
      <c r="L80" s="193">
        <v>17800</v>
      </c>
      <c r="M80" s="193">
        <v>13200</v>
      </c>
      <c r="N80" s="193">
        <f>SUM(I80:M81)</f>
        <v>2859100</v>
      </c>
      <c r="O80" s="191"/>
      <c r="P80" s="147" t="s">
        <v>4062</v>
      </c>
      <c r="Q80" s="29" t="s">
        <v>82</v>
      </c>
      <c r="R80" s="81"/>
      <c r="S80" s="48" t="s">
        <v>1868</v>
      </c>
      <c r="T80" s="50"/>
      <c r="U80" s="30" t="s">
        <v>4063</v>
      </c>
      <c r="V80" s="58">
        <v>46377</v>
      </c>
      <c r="W80" s="52"/>
      <c r="X80" s="193">
        <v>3431300</v>
      </c>
      <c r="Y80" s="206">
        <v>0</v>
      </c>
      <c r="Z80" s="193">
        <v>0</v>
      </c>
      <c r="AA80" s="193">
        <f>SUM(X80:Z80)</f>
        <v>3431300</v>
      </c>
      <c r="AB80" s="195">
        <v>46046</v>
      </c>
      <c r="AC80"/>
    </row>
    <row r="81" spans="1:29" ht="17.100000000000001" customHeight="1" thickBot="1">
      <c r="A81" s="198"/>
      <c r="B81" s="31" t="s">
        <v>1848</v>
      </c>
      <c r="C81" s="31">
        <v>82068</v>
      </c>
      <c r="D81" s="32" t="s">
        <v>1849</v>
      </c>
      <c r="E81" s="200"/>
      <c r="F81" s="43" t="s">
        <v>4064</v>
      </c>
      <c r="G81" s="38">
        <v>26224</v>
      </c>
      <c r="H81" s="202"/>
      <c r="I81" s="194"/>
      <c r="J81" s="194"/>
      <c r="K81" s="194"/>
      <c r="L81" s="194"/>
      <c r="M81" s="194"/>
      <c r="N81" s="194"/>
      <c r="O81" s="192"/>
      <c r="P81" s="148" t="s">
        <v>4065</v>
      </c>
      <c r="Q81" s="33" t="s">
        <v>86</v>
      </c>
      <c r="R81" s="34" t="s">
        <v>4066</v>
      </c>
      <c r="S81" s="44" t="s">
        <v>96</v>
      </c>
      <c r="T81" s="46"/>
      <c r="U81" s="35"/>
      <c r="V81" s="56" t="s">
        <v>4067</v>
      </c>
      <c r="W81" s="46"/>
      <c r="X81" s="194"/>
      <c r="Y81" s="194"/>
      <c r="Z81" s="194"/>
      <c r="AA81" s="194"/>
      <c r="AB81" s="196"/>
      <c r="AC81"/>
    </row>
    <row r="82" spans="1:29" ht="17.100000000000001" customHeight="1" thickTop="1">
      <c r="A82" s="197" t="s">
        <v>4089</v>
      </c>
      <c r="B82" s="26">
        <v>45682</v>
      </c>
      <c r="C82" s="36">
        <v>1236</v>
      </c>
      <c r="D82" s="28" t="s">
        <v>2406</v>
      </c>
      <c r="E82" s="199"/>
      <c r="F82" s="54" t="s">
        <v>4090</v>
      </c>
      <c r="G82" s="37"/>
      <c r="H82" s="201">
        <v>4</v>
      </c>
      <c r="I82" s="193">
        <v>1060000</v>
      </c>
      <c r="J82" s="193">
        <f>I82*0.1</f>
        <v>106000</v>
      </c>
      <c r="K82" s="193">
        <v>0</v>
      </c>
      <c r="L82" s="193">
        <v>8790</v>
      </c>
      <c r="M82" s="193">
        <v>12100</v>
      </c>
      <c r="N82" s="193">
        <f>SUM(I82:M83)</f>
        <v>1186890</v>
      </c>
      <c r="O82" s="191"/>
      <c r="P82" s="147" t="s">
        <v>4091</v>
      </c>
      <c r="Q82" s="29" t="s">
        <v>82</v>
      </c>
      <c r="R82" s="81"/>
      <c r="S82" s="48" t="s">
        <v>940</v>
      </c>
      <c r="T82" s="50"/>
      <c r="U82" s="30"/>
      <c r="V82" s="58">
        <v>46043</v>
      </c>
      <c r="W82" s="52"/>
      <c r="X82" s="193">
        <v>1280000</v>
      </c>
      <c r="Y82" s="206">
        <f>X82*0.1</f>
        <v>128000</v>
      </c>
      <c r="Z82" s="193">
        <v>8790</v>
      </c>
      <c r="AA82" s="193">
        <f>SUM(X82:Z82)</f>
        <v>1416790</v>
      </c>
      <c r="AB82" s="195"/>
      <c r="AC82"/>
    </row>
    <row r="83" spans="1:29" ht="17.100000000000001" customHeight="1" thickBot="1">
      <c r="A83" s="198"/>
      <c r="B83" s="31" t="s">
        <v>521</v>
      </c>
      <c r="C83" s="31">
        <v>65515</v>
      </c>
      <c r="D83" s="32" t="s">
        <v>95</v>
      </c>
      <c r="E83" s="200"/>
      <c r="F83" s="43" t="s">
        <v>4092</v>
      </c>
      <c r="G83" s="38">
        <v>42607</v>
      </c>
      <c r="H83" s="202"/>
      <c r="I83" s="194"/>
      <c r="J83" s="194"/>
      <c r="K83" s="194"/>
      <c r="L83" s="194"/>
      <c r="M83" s="194"/>
      <c r="N83" s="194"/>
      <c r="O83" s="192"/>
      <c r="P83" s="148" t="s">
        <v>4093</v>
      </c>
      <c r="Q83" s="33" t="s">
        <v>86</v>
      </c>
      <c r="R83" s="34" t="s">
        <v>2677</v>
      </c>
      <c r="S83" s="44" t="s">
        <v>128</v>
      </c>
      <c r="T83" s="46"/>
      <c r="U83" s="35"/>
      <c r="V83" s="56" t="s">
        <v>2307</v>
      </c>
      <c r="W83" s="46">
        <v>52744</v>
      </c>
      <c r="X83" s="194"/>
      <c r="Y83" s="194"/>
      <c r="Z83" s="194"/>
      <c r="AA83" s="194"/>
      <c r="AB83" s="196"/>
      <c r="AC83"/>
    </row>
    <row r="84" spans="1:29" ht="17.100000000000001" customHeight="1" thickTop="1">
      <c r="A84" s="203" t="s">
        <v>4094</v>
      </c>
      <c r="B84" s="26">
        <v>45684</v>
      </c>
      <c r="C84" s="36"/>
      <c r="D84" s="28" t="s">
        <v>4095</v>
      </c>
      <c r="E84" s="199"/>
      <c r="F84" s="54" t="s">
        <v>4096</v>
      </c>
      <c r="G84" s="37" t="s">
        <v>4097</v>
      </c>
      <c r="H84" s="205" t="s">
        <v>1981</v>
      </c>
      <c r="I84" s="193">
        <f>1188000/1.1</f>
        <v>1080000</v>
      </c>
      <c r="J84" s="193">
        <f>I84*0.1</f>
        <v>108000</v>
      </c>
      <c r="K84" s="193">
        <v>0</v>
      </c>
      <c r="L84" s="193">
        <v>12340</v>
      </c>
      <c r="M84" s="193">
        <v>84700</v>
      </c>
      <c r="N84" s="193">
        <f>SUM(I84:M85)</f>
        <v>1285040</v>
      </c>
      <c r="O84" s="191"/>
      <c r="P84" s="147" t="s">
        <v>4098</v>
      </c>
      <c r="Q84" s="29" t="s">
        <v>82</v>
      </c>
      <c r="R84" s="81"/>
      <c r="S84" s="48" t="s">
        <v>2328</v>
      </c>
      <c r="T84" s="50"/>
      <c r="U84" s="30" t="s">
        <v>4099</v>
      </c>
      <c r="V84" s="58">
        <v>46032</v>
      </c>
      <c r="W84" s="52">
        <v>1283</v>
      </c>
      <c r="X84" s="193">
        <v>1450000</v>
      </c>
      <c r="Y84" s="206">
        <v>145000</v>
      </c>
      <c r="Z84" s="193">
        <v>12340</v>
      </c>
      <c r="AA84" s="193">
        <f>SUM(X84:Z84)</f>
        <v>1607340</v>
      </c>
      <c r="AB84" s="195">
        <v>46036</v>
      </c>
      <c r="AC84"/>
    </row>
    <row r="85" spans="1:29" ht="17.100000000000001" customHeight="1" thickBot="1">
      <c r="A85" s="204"/>
      <c r="B85" s="31" t="s">
        <v>1985</v>
      </c>
      <c r="C85" s="31" t="s">
        <v>4100</v>
      </c>
      <c r="D85" s="32" t="s">
        <v>399</v>
      </c>
      <c r="E85" s="200"/>
      <c r="F85" s="43" t="s">
        <v>4101</v>
      </c>
      <c r="G85" s="38">
        <v>58346</v>
      </c>
      <c r="H85" s="202"/>
      <c r="I85" s="194"/>
      <c r="J85" s="194"/>
      <c r="K85" s="194"/>
      <c r="L85" s="194"/>
      <c r="M85" s="194"/>
      <c r="N85" s="194"/>
      <c r="O85" s="192"/>
      <c r="P85" s="148" t="s">
        <v>4102</v>
      </c>
      <c r="Q85" s="33" t="s">
        <v>86</v>
      </c>
      <c r="R85" s="34" t="s">
        <v>3483</v>
      </c>
      <c r="S85" s="44" t="s">
        <v>4103</v>
      </c>
      <c r="T85" s="46"/>
      <c r="U85" s="35"/>
      <c r="V85" s="56" t="s">
        <v>521</v>
      </c>
      <c r="W85" s="46">
        <v>33124</v>
      </c>
      <c r="X85" s="194"/>
      <c r="Y85" s="194"/>
      <c r="Z85" s="194"/>
      <c r="AA85" s="194"/>
      <c r="AB85" s="196"/>
      <c r="AC85"/>
    </row>
    <row r="86" spans="1:29" ht="17.100000000000001" customHeight="1" thickTop="1">
      <c r="A86" s="197" t="s">
        <v>4104</v>
      </c>
      <c r="B86" s="26">
        <v>45687</v>
      </c>
      <c r="C86" s="36">
        <v>2095</v>
      </c>
      <c r="D86" s="28" t="s">
        <v>4105</v>
      </c>
      <c r="E86" s="199"/>
      <c r="F86" s="54" t="s">
        <v>3355</v>
      </c>
      <c r="G86" s="37" t="s">
        <v>4106</v>
      </c>
      <c r="H86" s="205" t="s">
        <v>1981</v>
      </c>
      <c r="I86" s="193">
        <v>492000</v>
      </c>
      <c r="J86" s="193">
        <f>I86*0.1</f>
        <v>49200</v>
      </c>
      <c r="K86" s="193">
        <v>0</v>
      </c>
      <c r="L86" s="193">
        <v>9170</v>
      </c>
      <c r="M86" s="193">
        <v>13750</v>
      </c>
      <c r="N86" s="193">
        <f>SUM(I86:M87)</f>
        <v>564120</v>
      </c>
      <c r="O86" s="191"/>
      <c r="P86" s="147" t="s">
        <v>4107</v>
      </c>
      <c r="Q86" s="29" t="s">
        <v>82</v>
      </c>
      <c r="R86" s="81"/>
      <c r="S86" s="48"/>
      <c r="T86" s="50"/>
      <c r="U86" s="30" t="s">
        <v>4108</v>
      </c>
      <c r="V86" s="58">
        <v>46063</v>
      </c>
      <c r="W86" s="52"/>
      <c r="X86" s="193">
        <v>500000</v>
      </c>
      <c r="Y86" s="206">
        <f>X86*0.1</f>
        <v>50000</v>
      </c>
      <c r="Z86" s="193">
        <v>9170</v>
      </c>
      <c r="AA86" s="193">
        <f>SUM(X86:Z86)</f>
        <v>559170</v>
      </c>
      <c r="AB86" s="195"/>
      <c r="AC86"/>
    </row>
    <row r="87" spans="1:29" ht="17.100000000000001" customHeight="1" thickBot="1">
      <c r="A87" s="198"/>
      <c r="B87" s="31" t="s">
        <v>2232</v>
      </c>
      <c r="C87" s="31">
        <v>152</v>
      </c>
      <c r="D87" s="32" t="s">
        <v>1987</v>
      </c>
      <c r="E87" s="200"/>
      <c r="F87" s="43" t="s">
        <v>4109</v>
      </c>
      <c r="G87" s="38">
        <v>57897</v>
      </c>
      <c r="H87" s="202"/>
      <c r="I87" s="194"/>
      <c r="J87" s="194"/>
      <c r="K87" s="194"/>
      <c r="L87" s="194"/>
      <c r="M87" s="194"/>
      <c r="N87" s="194"/>
      <c r="O87" s="192"/>
      <c r="P87" s="148" t="s">
        <v>4110</v>
      </c>
      <c r="Q87" s="33" t="s">
        <v>86</v>
      </c>
      <c r="R87" s="34" t="s">
        <v>4111</v>
      </c>
      <c r="S87" s="44"/>
      <c r="T87" s="46"/>
      <c r="U87" s="35"/>
      <c r="V87" s="56" t="s">
        <v>2307</v>
      </c>
      <c r="W87" s="46">
        <v>50637</v>
      </c>
      <c r="X87" s="194"/>
      <c r="Y87" s="194"/>
      <c r="Z87" s="194"/>
      <c r="AA87" s="194"/>
      <c r="AB87" s="196"/>
      <c r="AC87"/>
    </row>
    <row r="88" spans="1:29" ht="17.100000000000001" customHeight="1" thickTop="1">
      <c r="A88" s="197" t="s">
        <v>4117</v>
      </c>
      <c r="B88" s="26">
        <v>45692</v>
      </c>
      <c r="C88" s="36">
        <v>757</v>
      </c>
      <c r="D88" s="28" t="s">
        <v>2999</v>
      </c>
      <c r="E88" s="199"/>
      <c r="F88" s="54" t="s">
        <v>3137</v>
      </c>
      <c r="G88" s="37"/>
      <c r="H88" s="201">
        <v>4</v>
      </c>
      <c r="I88" s="193">
        <v>1720000</v>
      </c>
      <c r="J88" s="193">
        <f>I88*0.1</f>
        <v>172000</v>
      </c>
      <c r="K88" s="193">
        <v>0</v>
      </c>
      <c r="L88" s="193">
        <v>16240</v>
      </c>
      <c r="M88" s="193">
        <v>14850</v>
      </c>
      <c r="N88" s="193">
        <f>SUM(I88:M89)</f>
        <v>1923090</v>
      </c>
      <c r="O88" s="191"/>
      <c r="P88" s="147" t="s">
        <v>4118</v>
      </c>
      <c r="Q88" s="29" t="s">
        <v>82</v>
      </c>
      <c r="R88" s="81"/>
      <c r="S88" s="48"/>
      <c r="T88" s="50"/>
      <c r="U88" s="30"/>
      <c r="V88" s="58">
        <v>45962</v>
      </c>
      <c r="W88" s="52">
        <v>1274</v>
      </c>
      <c r="X88" s="193">
        <v>1650000</v>
      </c>
      <c r="Y88" s="206">
        <f>X88*0.1</f>
        <v>165000</v>
      </c>
      <c r="Z88" s="193">
        <v>16240</v>
      </c>
      <c r="AA88" s="193">
        <f>SUM(X88:Z88)</f>
        <v>1831240</v>
      </c>
      <c r="AB88" s="195">
        <v>45965</v>
      </c>
      <c r="AC88"/>
    </row>
    <row r="89" spans="1:29" ht="17.100000000000001" customHeight="1" thickBot="1">
      <c r="A89" s="198"/>
      <c r="B89" s="31" t="s">
        <v>3893</v>
      </c>
      <c r="C89" s="31">
        <v>5011</v>
      </c>
      <c r="D89" s="32" t="s">
        <v>2537</v>
      </c>
      <c r="E89" s="200"/>
      <c r="F89" s="43" t="s">
        <v>4119</v>
      </c>
      <c r="G89" s="38">
        <v>61155</v>
      </c>
      <c r="H89" s="202"/>
      <c r="I89" s="194"/>
      <c r="J89" s="194"/>
      <c r="K89" s="194"/>
      <c r="L89" s="194"/>
      <c r="M89" s="194"/>
      <c r="N89" s="194"/>
      <c r="O89" s="192"/>
      <c r="P89" s="148" t="s">
        <v>4120</v>
      </c>
      <c r="Q89" s="33" t="s">
        <v>86</v>
      </c>
      <c r="R89" s="34" t="s">
        <v>2136</v>
      </c>
      <c r="S89" s="44" t="s">
        <v>4121</v>
      </c>
      <c r="T89" s="46"/>
      <c r="U89" s="35"/>
      <c r="V89" s="56" t="s">
        <v>521</v>
      </c>
      <c r="W89" s="46">
        <v>80062</v>
      </c>
      <c r="X89" s="194"/>
      <c r="Y89" s="194"/>
      <c r="Z89" s="194"/>
      <c r="AA89" s="194"/>
      <c r="AB89" s="196"/>
      <c r="AC89"/>
    </row>
    <row r="90" spans="1:29" ht="17.100000000000001" customHeight="1" thickTop="1">
      <c r="A90" s="197" t="s">
        <v>4122</v>
      </c>
      <c r="B90" s="26">
        <v>45692</v>
      </c>
      <c r="C90" s="36">
        <v>877</v>
      </c>
      <c r="D90" s="28" t="s">
        <v>3363</v>
      </c>
      <c r="E90" s="199"/>
      <c r="F90" s="54" t="s">
        <v>3653</v>
      </c>
      <c r="G90" s="37" t="s">
        <v>2373</v>
      </c>
      <c r="H90" s="201">
        <v>4</v>
      </c>
      <c r="I90" s="193">
        <v>2014000</v>
      </c>
      <c r="J90" s="193">
        <f>I90*0.1</f>
        <v>201400</v>
      </c>
      <c r="K90" s="193">
        <v>3520</v>
      </c>
      <c r="L90" s="193">
        <v>19440</v>
      </c>
      <c r="M90" s="193">
        <v>18150</v>
      </c>
      <c r="N90" s="193">
        <f>SUM(I90:M91)</f>
        <v>2256510</v>
      </c>
      <c r="O90" s="191"/>
      <c r="P90" s="147" t="s">
        <v>4123</v>
      </c>
      <c r="Q90" s="29" t="s">
        <v>82</v>
      </c>
      <c r="R90" s="81"/>
      <c r="S90" s="48"/>
      <c r="T90" s="50"/>
      <c r="U90" s="30" t="s">
        <v>4124</v>
      </c>
      <c r="V90" s="58">
        <v>46300</v>
      </c>
      <c r="W90" s="52"/>
      <c r="X90" s="193">
        <v>3244000</v>
      </c>
      <c r="Y90" s="206">
        <v>0</v>
      </c>
      <c r="Z90" s="193">
        <v>0</v>
      </c>
      <c r="AA90" s="193">
        <f>SUM(X90:Z90)</f>
        <v>3244000</v>
      </c>
      <c r="AB90" s="195">
        <v>46334</v>
      </c>
      <c r="AC90"/>
    </row>
    <row r="91" spans="1:29" ht="17.100000000000001" customHeight="1" thickBot="1">
      <c r="A91" s="198"/>
      <c r="B91" s="31" t="s">
        <v>107</v>
      </c>
      <c r="C91" s="31">
        <v>5007</v>
      </c>
      <c r="D91" s="32" t="s">
        <v>244</v>
      </c>
      <c r="E91" s="200"/>
      <c r="F91" s="43" t="s">
        <v>4125</v>
      </c>
      <c r="G91" s="38">
        <v>13173</v>
      </c>
      <c r="H91" s="202"/>
      <c r="I91" s="194"/>
      <c r="J91" s="194"/>
      <c r="K91" s="194"/>
      <c r="L91" s="194"/>
      <c r="M91" s="194"/>
      <c r="N91" s="194"/>
      <c r="O91" s="192"/>
      <c r="P91" s="148" t="s">
        <v>4126</v>
      </c>
      <c r="Q91" s="33" t="s">
        <v>86</v>
      </c>
      <c r="R91" s="34" t="s">
        <v>2136</v>
      </c>
      <c r="S91" s="44" t="s">
        <v>3824</v>
      </c>
      <c r="T91" s="46"/>
      <c r="U91" s="35"/>
      <c r="V91" s="56" t="s">
        <v>4127</v>
      </c>
      <c r="W91" s="46"/>
      <c r="X91" s="194"/>
      <c r="Y91" s="194"/>
      <c r="Z91" s="194"/>
      <c r="AA91" s="194"/>
      <c r="AB91" s="196"/>
      <c r="AC91"/>
    </row>
    <row r="92" spans="1:29" ht="17.100000000000001" customHeight="1" thickTop="1">
      <c r="A92" s="197" t="s">
        <v>4128</v>
      </c>
      <c r="B92" s="26">
        <v>45692</v>
      </c>
      <c r="C92" s="36">
        <v>1178</v>
      </c>
      <c r="D92" s="28" t="s">
        <v>2415</v>
      </c>
      <c r="E92" s="199"/>
      <c r="F92" s="54" t="s">
        <v>4002</v>
      </c>
      <c r="G92" s="37"/>
      <c r="H92" s="201">
        <v>4</v>
      </c>
      <c r="I92" s="193">
        <v>1799000</v>
      </c>
      <c r="J92" s="193">
        <f>I92*0.1</f>
        <v>179900</v>
      </c>
      <c r="K92" s="193">
        <v>0</v>
      </c>
      <c r="L92" s="193">
        <v>21140</v>
      </c>
      <c r="M92" s="193">
        <v>14850</v>
      </c>
      <c r="N92" s="193">
        <f>SUM(I92:M93)</f>
        <v>2014890</v>
      </c>
      <c r="O92" s="191"/>
      <c r="P92" s="147" t="s">
        <v>4129</v>
      </c>
      <c r="Q92" s="29" t="s">
        <v>82</v>
      </c>
      <c r="R92" s="81"/>
      <c r="S92" s="48"/>
      <c r="T92" s="50"/>
      <c r="U92" s="30"/>
      <c r="V92" s="58">
        <v>45927</v>
      </c>
      <c r="W92" s="52"/>
      <c r="X92" s="193">
        <v>3260000</v>
      </c>
      <c r="Y92" s="206">
        <v>0</v>
      </c>
      <c r="Z92" s="193">
        <v>0</v>
      </c>
      <c r="AA92" s="193">
        <f>SUM(X92:Z92)</f>
        <v>3260000</v>
      </c>
      <c r="AB92" s="195">
        <v>45953</v>
      </c>
      <c r="AC92"/>
    </row>
    <row r="93" spans="1:29" ht="17.100000000000001" customHeight="1" thickBot="1">
      <c r="A93" s="198"/>
      <c r="B93" s="31" t="s">
        <v>2736</v>
      </c>
      <c r="C93" s="31">
        <v>5039</v>
      </c>
      <c r="D93" s="32" t="s">
        <v>1832</v>
      </c>
      <c r="E93" s="200"/>
      <c r="F93" s="43" t="s">
        <v>4130</v>
      </c>
      <c r="G93" s="38">
        <v>29654</v>
      </c>
      <c r="H93" s="202"/>
      <c r="I93" s="194"/>
      <c r="J93" s="194"/>
      <c r="K93" s="194"/>
      <c r="L93" s="194"/>
      <c r="M93" s="194"/>
      <c r="N93" s="194"/>
      <c r="O93" s="192"/>
      <c r="P93" s="148" t="s">
        <v>4131</v>
      </c>
      <c r="Q93" s="33" t="s">
        <v>86</v>
      </c>
      <c r="R93" s="34" t="s">
        <v>2136</v>
      </c>
      <c r="S93" s="44" t="s">
        <v>287</v>
      </c>
      <c r="T93" s="46"/>
      <c r="U93" s="35"/>
      <c r="V93" s="56" t="s">
        <v>4132</v>
      </c>
      <c r="W93" s="46"/>
      <c r="X93" s="194"/>
      <c r="Y93" s="194"/>
      <c r="Z93" s="194"/>
      <c r="AA93" s="194"/>
      <c r="AB93" s="196"/>
      <c r="AC93"/>
    </row>
    <row r="94" spans="1:29" ht="17.100000000000001" customHeight="1" thickTop="1">
      <c r="A94" s="197" t="s">
        <v>4140</v>
      </c>
      <c r="B94" s="26">
        <v>45696</v>
      </c>
      <c r="C94" s="36">
        <v>249</v>
      </c>
      <c r="D94" s="28" t="s">
        <v>2526</v>
      </c>
      <c r="E94" s="199"/>
      <c r="F94" s="54" t="s">
        <v>4141</v>
      </c>
      <c r="G94" s="37"/>
      <c r="H94" s="201">
        <v>4</v>
      </c>
      <c r="I94" s="193">
        <v>782000</v>
      </c>
      <c r="J94" s="193">
        <f>I94*0.1</f>
        <v>78200</v>
      </c>
      <c r="K94" s="193">
        <v>0</v>
      </c>
      <c r="L94" s="193">
        <v>20170</v>
      </c>
      <c r="M94" s="193">
        <v>14850</v>
      </c>
      <c r="N94" s="193">
        <f>SUM(I94:M95)</f>
        <v>895220</v>
      </c>
      <c r="O94" s="191"/>
      <c r="P94" s="147" t="s">
        <v>4142</v>
      </c>
      <c r="Q94" s="29" t="s">
        <v>82</v>
      </c>
      <c r="R94" s="81"/>
      <c r="S94" s="48" t="s">
        <v>1596</v>
      </c>
      <c r="T94" s="50"/>
      <c r="U94" s="30"/>
      <c r="V94" s="58">
        <v>46002</v>
      </c>
      <c r="W94" s="52">
        <v>1310</v>
      </c>
      <c r="X94" s="193">
        <v>890000</v>
      </c>
      <c r="Y94" s="206">
        <f>X94*0.1</f>
        <v>89000</v>
      </c>
      <c r="Z94" s="193">
        <v>20170</v>
      </c>
      <c r="AA94" s="193">
        <f>SUM(X94:Z94)</f>
        <v>999170</v>
      </c>
      <c r="AB94" s="195">
        <v>46003</v>
      </c>
      <c r="AC94"/>
    </row>
    <row r="95" spans="1:29" ht="17.100000000000001" customHeight="1" thickBot="1">
      <c r="A95" s="198"/>
      <c r="B95" s="31" t="s">
        <v>4143</v>
      </c>
      <c r="C95" s="31">
        <v>5027</v>
      </c>
      <c r="D95" s="32" t="s">
        <v>1097</v>
      </c>
      <c r="E95" s="200"/>
      <c r="F95" s="43" t="s">
        <v>4144</v>
      </c>
      <c r="G95" s="38">
        <v>51741</v>
      </c>
      <c r="H95" s="202"/>
      <c r="I95" s="194"/>
      <c r="J95" s="194"/>
      <c r="K95" s="194"/>
      <c r="L95" s="194"/>
      <c r="M95" s="194"/>
      <c r="N95" s="194"/>
      <c r="O95" s="192"/>
      <c r="P95" s="148" t="s">
        <v>4145</v>
      </c>
      <c r="Q95" s="33" t="s">
        <v>86</v>
      </c>
      <c r="R95" s="34" t="s">
        <v>110</v>
      </c>
      <c r="S95" s="44" t="s">
        <v>4146</v>
      </c>
      <c r="T95" s="46"/>
      <c r="U95" s="35"/>
      <c r="V95" s="56" t="s">
        <v>2017</v>
      </c>
      <c r="W95" s="46">
        <v>21</v>
      </c>
      <c r="X95" s="194"/>
      <c r="Y95" s="194"/>
      <c r="Z95" s="194"/>
      <c r="AA95" s="194"/>
      <c r="AB95" s="196"/>
      <c r="AC95"/>
    </row>
    <row r="96" spans="1:29" ht="17.100000000000001" customHeight="1" thickTop="1">
      <c r="A96" s="197" t="s">
        <v>4147</v>
      </c>
      <c r="B96" s="26">
        <v>45698</v>
      </c>
      <c r="C96" s="36">
        <v>2031</v>
      </c>
      <c r="D96" s="28" t="s">
        <v>1950</v>
      </c>
      <c r="E96" s="199"/>
      <c r="F96" s="54" t="s">
        <v>4148</v>
      </c>
      <c r="G96" s="37"/>
      <c r="H96" s="201">
        <v>4.5</v>
      </c>
      <c r="I96" s="193">
        <v>924000</v>
      </c>
      <c r="J96" s="193">
        <f>I96*0.1</f>
        <v>92400</v>
      </c>
      <c r="K96" s="193">
        <v>0</v>
      </c>
      <c r="L96" s="193">
        <v>15640</v>
      </c>
      <c r="M96" s="193">
        <v>11000</v>
      </c>
      <c r="N96" s="193">
        <f>SUM(I96:M97)</f>
        <v>1043040</v>
      </c>
      <c r="O96" s="191"/>
      <c r="P96" s="147" t="s">
        <v>4149</v>
      </c>
      <c r="Q96" s="29" t="s">
        <v>82</v>
      </c>
      <c r="R96" s="81"/>
      <c r="S96" s="48" t="s">
        <v>4150</v>
      </c>
      <c r="T96" s="50"/>
      <c r="U96" s="30"/>
      <c r="V96" s="58">
        <v>45960</v>
      </c>
      <c r="W96" s="52">
        <v>1304</v>
      </c>
      <c r="X96" s="193">
        <v>875000</v>
      </c>
      <c r="Y96" s="206">
        <f>X96*0.1</f>
        <v>87500</v>
      </c>
      <c r="Z96" s="193">
        <v>15640</v>
      </c>
      <c r="AA96" s="193">
        <f>SUM(X96:Z96)</f>
        <v>978140</v>
      </c>
      <c r="AB96" s="195">
        <v>45961</v>
      </c>
      <c r="AC96"/>
    </row>
    <row r="97" spans="1:29" ht="17.100000000000001" customHeight="1" thickBot="1">
      <c r="A97" s="198"/>
      <c r="B97" s="31" t="s">
        <v>189</v>
      </c>
      <c r="C97" s="31">
        <v>33515</v>
      </c>
      <c r="D97" s="32" t="s">
        <v>1987</v>
      </c>
      <c r="E97" s="200"/>
      <c r="F97" s="43" t="s">
        <v>4151</v>
      </c>
      <c r="G97" s="38">
        <v>43522</v>
      </c>
      <c r="H97" s="202"/>
      <c r="I97" s="194"/>
      <c r="J97" s="194"/>
      <c r="K97" s="194"/>
      <c r="L97" s="194"/>
      <c r="M97" s="194"/>
      <c r="N97" s="194"/>
      <c r="O97" s="192"/>
      <c r="P97" s="148" t="s">
        <v>3069</v>
      </c>
      <c r="Q97" s="33" t="s">
        <v>86</v>
      </c>
      <c r="R97" s="34" t="s">
        <v>4152</v>
      </c>
      <c r="S97" s="44" t="s">
        <v>96</v>
      </c>
      <c r="T97" s="46"/>
      <c r="U97" s="35"/>
      <c r="V97" s="56" t="s">
        <v>2017</v>
      </c>
      <c r="W97" s="46">
        <v>25</v>
      </c>
      <c r="X97" s="194"/>
      <c r="Y97" s="194"/>
      <c r="Z97" s="194"/>
      <c r="AA97" s="194"/>
      <c r="AB97" s="196"/>
      <c r="AC97"/>
    </row>
    <row r="98" spans="1:29" ht="17.100000000000001" customHeight="1" thickTop="1">
      <c r="A98" s="197" t="s">
        <v>4153</v>
      </c>
      <c r="B98" s="26">
        <v>45701</v>
      </c>
      <c r="C98" s="36">
        <v>1269</v>
      </c>
      <c r="D98" s="28" t="s">
        <v>2247</v>
      </c>
      <c r="E98" s="199"/>
      <c r="F98" s="54" t="s">
        <v>4154</v>
      </c>
      <c r="G98" s="37" t="s">
        <v>4155</v>
      </c>
      <c r="H98" s="201">
        <v>4.5</v>
      </c>
      <c r="I98" s="193">
        <v>1960000</v>
      </c>
      <c r="J98" s="193">
        <f>I98*0.1</f>
        <v>196000</v>
      </c>
      <c r="K98" s="193">
        <v>4070</v>
      </c>
      <c r="L98" s="193">
        <v>18240</v>
      </c>
      <c r="M98" s="193">
        <v>13200</v>
      </c>
      <c r="N98" s="193">
        <f>SUM(I98:M99)</f>
        <v>2191510</v>
      </c>
      <c r="O98" s="191"/>
      <c r="P98" s="147" t="s">
        <v>4156</v>
      </c>
      <c r="Q98" s="29" t="s">
        <v>82</v>
      </c>
      <c r="R98" s="81"/>
      <c r="S98" s="48" t="s">
        <v>1821</v>
      </c>
      <c r="T98" s="50"/>
      <c r="U98" s="30" t="s">
        <v>4157</v>
      </c>
      <c r="V98" s="58">
        <v>46002</v>
      </c>
      <c r="W98" s="52">
        <v>1310</v>
      </c>
      <c r="X98" s="193">
        <v>1890000</v>
      </c>
      <c r="Y98" s="206">
        <f>X98*0.1</f>
        <v>189000</v>
      </c>
      <c r="Z98" s="193">
        <v>18240</v>
      </c>
      <c r="AA98" s="193">
        <f>SUM(X98:Z98)</f>
        <v>2097240</v>
      </c>
      <c r="AB98" s="195">
        <v>46003</v>
      </c>
      <c r="AC98"/>
    </row>
    <row r="99" spans="1:29" ht="17.100000000000001" customHeight="1" thickBot="1">
      <c r="A99" s="198"/>
      <c r="B99" s="31" t="s">
        <v>2017</v>
      </c>
      <c r="C99" s="31">
        <v>107</v>
      </c>
      <c r="D99" s="32" t="s">
        <v>1097</v>
      </c>
      <c r="E99" s="200"/>
      <c r="F99" s="43" t="s">
        <v>4158</v>
      </c>
      <c r="G99" s="38">
        <v>44289</v>
      </c>
      <c r="H99" s="202"/>
      <c r="I99" s="194"/>
      <c r="J99" s="194"/>
      <c r="K99" s="194"/>
      <c r="L99" s="194"/>
      <c r="M99" s="194"/>
      <c r="N99" s="194"/>
      <c r="O99" s="192"/>
      <c r="P99" s="148" t="s">
        <v>2144</v>
      </c>
      <c r="Q99" s="33" t="s">
        <v>86</v>
      </c>
      <c r="R99" s="34" t="s">
        <v>2161</v>
      </c>
      <c r="S99" s="44" t="s">
        <v>4159</v>
      </c>
      <c r="T99" s="46"/>
      <c r="U99" s="35"/>
      <c r="V99" s="56" t="s">
        <v>3336</v>
      </c>
      <c r="W99" s="46" t="s">
        <v>4160</v>
      </c>
      <c r="X99" s="194"/>
      <c r="Y99" s="194"/>
      <c r="Z99" s="194"/>
      <c r="AA99" s="194"/>
      <c r="AB99" s="196"/>
      <c r="AC99"/>
    </row>
    <row r="100" spans="1:29" ht="17.100000000000001" customHeight="1" thickTop="1">
      <c r="A100" s="197" t="s">
        <v>4169</v>
      </c>
      <c r="B100" s="26">
        <v>45706</v>
      </c>
      <c r="C100" s="36">
        <v>1229</v>
      </c>
      <c r="D100" s="28" t="s">
        <v>3297</v>
      </c>
      <c r="E100" s="199"/>
      <c r="F100" s="54" t="s">
        <v>4170</v>
      </c>
      <c r="G100" s="37" t="s">
        <v>3299</v>
      </c>
      <c r="H100" s="201">
        <v>4.5</v>
      </c>
      <c r="I100" s="193">
        <v>1351000</v>
      </c>
      <c r="J100" s="193">
        <f>I100*0.1</f>
        <v>135100</v>
      </c>
      <c r="K100" s="193">
        <v>3520</v>
      </c>
      <c r="L100" s="193">
        <v>20170</v>
      </c>
      <c r="M100" s="193">
        <v>18150</v>
      </c>
      <c r="N100" s="193">
        <f>SUM(I100:M101)</f>
        <v>1527940</v>
      </c>
      <c r="O100" s="191"/>
      <c r="P100" s="147" t="s">
        <v>4171</v>
      </c>
      <c r="Q100" s="29" t="s">
        <v>82</v>
      </c>
      <c r="R100" s="81"/>
      <c r="S100" s="48"/>
      <c r="T100" s="50"/>
      <c r="U100" s="30" t="s">
        <v>4172</v>
      </c>
      <c r="V100" s="58">
        <v>45941</v>
      </c>
      <c r="W100" s="52">
        <v>1271</v>
      </c>
      <c r="X100" s="193">
        <v>1195000</v>
      </c>
      <c r="Y100" s="206">
        <f>X100*0.1</f>
        <v>119500</v>
      </c>
      <c r="Z100" s="193">
        <v>20170</v>
      </c>
      <c r="AA100" s="193">
        <f>SUM(X100:Z100)</f>
        <v>1334670</v>
      </c>
      <c r="AB100" s="195">
        <v>45944</v>
      </c>
      <c r="AC100"/>
    </row>
    <row r="101" spans="1:29" ht="17.100000000000001" customHeight="1" thickBot="1">
      <c r="A101" s="198"/>
      <c r="B101" s="31" t="s">
        <v>4173</v>
      </c>
      <c r="C101" s="31">
        <v>38022</v>
      </c>
      <c r="D101" s="32" t="s">
        <v>399</v>
      </c>
      <c r="E101" s="200"/>
      <c r="F101" s="43" t="s">
        <v>4174</v>
      </c>
      <c r="G101" s="38">
        <v>53736</v>
      </c>
      <c r="H101" s="202"/>
      <c r="I101" s="194"/>
      <c r="J101" s="194"/>
      <c r="K101" s="194"/>
      <c r="L101" s="194"/>
      <c r="M101" s="194"/>
      <c r="N101" s="194"/>
      <c r="O101" s="192"/>
      <c r="P101" s="148" t="s">
        <v>4175</v>
      </c>
      <c r="Q101" s="33" t="s">
        <v>86</v>
      </c>
      <c r="R101" s="34" t="s">
        <v>4176</v>
      </c>
      <c r="S101" s="44" t="s">
        <v>4177</v>
      </c>
      <c r="T101" s="46"/>
      <c r="U101" s="35"/>
      <c r="V101" s="56" t="s">
        <v>521</v>
      </c>
      <c r="W101" s="46">
        <v>82013</v>
      </c>
      <c r="X101" s="194"/>
      <c r="Y101" s="194"/>
      <c r="Z101" s="194"/>
      <c r="AA101" s="194"/>
      <c r="AB101" s="196"/>
      <c r="AC101"/>
    </row>
    <row r="102" spans="1:29" ht="17.100000000000001" customHeight="1" thickTop="1">
      <c r="A102" s="197" t="s">
        <v>4178</v>
      </c>
      <c r="B102" s="26">
        <v>45708</v>
      </c>
      <c r="C102" s="36">
        <v>2185</v>
      </c>
      <c r="D102" s="28" t="s">
        <v>4026</v>
      </c>
      <c r="E102" s="199"/>
      <c r="F102" s="54" t="s">
        <v>3469</v>
      </c>
      <c r="G102" s="37"/>
      <c r="H102" s="201">
        <v>4</v>
      </c>
      <c r="I102" s="193">
        <v>1321000</v>
      </c>
      <c r="J102" s="193">
        <f>I102*0.1</f>
        <v>132100</v>
      </c>
      <c r="K102" s="193">
        <v>0</v>
      </c>
      <c r="L102" s="193">
        <v>17600</v>
      </c>
      <c r="M102" s="193">
        <v>14850</v>
      </c>
      <c r="N102" s="193">
        <f>SUM(I102:M103)</f>
        <v>1485550</v>
      </c>
      <c r="O102" s="191"/>
      <c r="P102" s="147" t="s">
        <v>4179</v>
      </c>
      <c r="Q102" s="29" t="s">
        <v>82</v>
      </c>
      <c r="R102" s="81"/>
      <c r="S102" s="48" t="s">
        <v>1279</v>
      </c>
      <c r="T102" s="50"/>
      <c r="U102" s="30"/>
      <c r="V102" s="58">
        <v>46366</v>
      </c>
      <c r="W102" s="52"/>
      <c r="X102" s="193">
        <v>2270000</v>
      </c>
      <c r="Y102" s="206">
        <v>0</v>
      </c>
      <c r="Z102" s="193">
        <v>0</v>
      </c>
      <c r="AA102" s="193">
        <f>SUM(X102:Z102)</f>
        <v>2270000</v>
      </c>
      <c r="AB102" s="195">
        <v>46385</v>
      </c>
      <c r="AC102"/>
    </row>
    <row r="103" spans="1:29" ht="17.100000000000001" customHeight="1" thickBot="1">
      <c r="A103" s="198"/>
      <c r="B103" s="31" t="s">
        <v>4180</v>
      </c>
      <c r="C103" s="31">
        <v>7012</v>
      </c>
      <c r="D103" s="32" t="s">
        <v>1849</v>
      </c>
      <c r="E103" s="200"/>
      <c r="F103" s="43" t="s">
        <v>4181</v>
      </c>
      <c r="G103" s="38">
        <v>41356</v>
      </c>
      <c r="H103" s="202"/>
      <c r="I103" s="194"/>
      <c r="J103" s="194"/>
      <c r="K103" s="194"/>
      <c r="L103" s="194"/>
      <c r="M103" s="194"/>
      <c r="N103" s="194"/>
      <c r="O103" s="192"/>
      <c r="P103" s="148" t="s">
        <v>4182</v>
      </c>
      <c r="Q103" s="33" t="s">
        <v>86</v>
      </c>
      <c r="R103" s="34" t="s">
        <v>2696</v>
      </c>
      <c r="S103" s="44" t="s">
        <v>4183</v>
      </c>
      <c r="T103" s="46"/>
      <c r="U103" s="35"/>
      <c r="V103" s="56" t="s">
        <v>4184</v>
      </c>
      <c r="W103" s="46"/>
      <c r="X103" s="194"/>
      <c r="Y103" s="194"/>
      <c r="Z103" s="194"/>
      <c r="AA103" s="194"/>
      <c r="AB103" s="196"/>
      <c r="AC103"/>
    </row>
    <row r="104" spans="1:29" ht="17.100000000000001" customHeight="1" thickTop="1">
      <c r="A104" s="197" t="s">
        <v>4185</v>
      </c>
      <c r="B104" s="26">
        <v>45708</v>
      </c>
      <c r="C104" s="36">
        <v>2098</v>
      </c>
      <c r="D104" s="28" t="s">
        <v>4186</v>
      </c>
      <c r="E104" s="199"/>
      <c r="F104" s="54" t="s">
        <v>4187</v>
      </c>
      <c r="G104" s="37" t="s">
        <v>4097</v>
      </c>
      <c r="H104" s="201">
        <v>4</v>
      </c>
      <c r="I104" s="193">
        <v>774000</v>
      </c>
      <c r="J104" s="193">
        <f>I104*0.1</f>
        <v>77400</v>
      </c>
      <c r="K104" s="193">
        <v>0</v>
      </c>
      <c r="L104" s="193">
        <v>8860</v>
      </c>
      <c r="M104" s="193">
        <v>13750</v>
      </c>
      <c r="N104" s="193">
        <f>SUM(I104:M105)</f>
        <v>874010</v>
      </c>
      <c r="O104" s="191"/>
      <c r="P104" s="147" t="s">
        <v>4188</v>
      </c>
      <c r="Q104" s="29" t="s">
        <v>82</v>
      </c>
      <c r="R104" s="81"/>
      <c r="S104" s="48"/>
      <c r="T104" s="50"/>
      <c r="U104" s="30" t="s">
        <v>4189</v>
      </c>
      <c r="V104" s="58">
        <v>46011</v>
      </c>
      <c r="W104" s="52">
        <v>1281</v>
      </c>
      <c r="X104" s="193">
        <v>750000</v>
      </c>
      <c r="Y104" s="206">
        <f>X104*0.1</f>
        <v>75000</v>
      </c>
      <c r="Z104" s="193">
        <v>8860</v>
      </c>
      <c r="AA104" s="193">
        <f>SUM(X104:Z104)</f>
        <v>833860</v>
      </c>
      <c r="AB104" s="195">
        <v>46014</v>
      </c>
      <c r="AC104"/>
    </row>
    <row r="105" spans="1:29" ht="17.100000000000001" customHeight="1" thickBot="1">
      <c r="A105" s="198"/>
      <c r="B105" s="31" t="s">
        <v>2232</v>
      </c>
      <c r="C105" s="31">
        <v>2525</v>
      </c>
      <c r="D105" s="32" t="s">
        <v>95</v>
      </c>
      <c r="E105" s="200"/>
      <c r="F105" s="43" t="s">
        <v>4190</v>
      </c>
      <c r="G105" s="38">
        <v>54610</v>
      </c>
      <c r="H105" s="202"/>
      <c r="I105" s="194"/>
      <c r="J105" s="194"/>
      <c r="K105" s="194"/>
      <c r="L105" s="194"/>
      <c r="M105" s="194"/>
      <c r="N105" s="194"/>
      <c r="O105" s="192"/>
      <c r="P105" s="148" t="s">
        <v>4191</v>
      </c>
      <c r="Q105" s="33" t="s">
        <v>86</v>
      </c>
      <c r="R105" s="34" t="s">
        <v>4192</v>
      </c>
      <c r="S105" s="44"/>
      <c r="T105" s="46"/>
      <c r="U105" s="35"/>
      <c r="V105" s="56" t="s">
        <v>521</v>
      </c>
      <c r="W105" s="46">
        <v>60152</v>
      </c>
      <c r="X105" s="194"/>
      <c r="Y105" s="194"/>
      <c r="Z105" s="194"/>
      <c r="AA105" s="194"/>
      <c r="AB105" s="196"/>
      <c r="AC105"/>
    </row>
    <row r="106" spans="1:29" ht="17.100000000000001" customHeight="1" thickTop="1">
      <c r="A106" s="197" t="s">
        <v>4193</v>
      </c>
      <c r="B106" s="26">
        <v>45708</v>
      </c>
      <c r="C106" s="36">
        <v>2098</v>
      </c>
      <c r="D106" s="28" t="s">
        <v>1978</v>
      </c>
      <c r="E106" s="199"/>
      <c r="F106" s="54" t="s">
        <v>4194</v>
      </c>
      <c r="G106" s="37" t="s">
        <v>4195</v>
      </c>
      <c r="H106" s="201">
        <v>3.5</v>
      </c>
      <c r="I106" s="193">
        <v>545000</v>
      </c>
      <c r="J106" s="193">
        <f>I106*0.1</f>
        <v>54500</v>
      </c>
      <c r="K106" s="193">
        <v>0</v>
      </c>
      <c r="L106" s="193">
        <v>9320</v>
      </c>
      <c r="M106" s="193">
        <v>13750</v>
      </c>
      <c r="N106" s="193">
        <f>SUM(I106:M107)</f>
        <v>622570</v>
      </c>
      <c r="O106" s="191"/>
      <c r="P106" s="147" t="s">
        <v>4196</v>
      </c>
      <c r="Q106" s="29" t="s">
        <v>82</v>
      </c>
      <c r="R106" s="81"/>
      <c r="S106" s="48" t="s">
        <v>4197</v>
      </c>
      <c r="T106" s="50"/>
      <c r="U106" s="30" t="s">
        <v>4198</v>
      </c>
      <c r="V106" s="58">
        <v>45934</v>
      </c>
      <c r="W106" s="52">
        <v>1270</v>
      </c>
      <c r="X106" s="193">
        <v>590000</v>
      </c>
      <c r="Y106" s="206">
        <f>X106*0.1</f>
        <v>59000</v>
      </c>
      <c r="Z106" s="193">
        <v>9320</v>
      </c>
      <c r="AA106" s="193">
        <f>SUM(X106:Z106)</f>
        <v>658320</v>
      </c>
      <c r="AB106" s="195">
        <v>45937</v>
      </c>
      <c r="AC106"/>
    </row>
    <row r="107" spans="1:29" ht="17.100000000000001" customHeight="1" thickBot="1">
      <c r="A107" s="198"/>
      <c r="B107" s="31" t="s">
        <v>2232</v>
      </c>
      <c r="C107" s="31">
        <v>2564</v>
      </c>
      <c r="D107" s="32" t="s">
        <v>2346</v>
      </c>
      <c r="E107" s="200"/>
      <c r="F107" s="43" t="s">
        <v>4199</v>
      </c>
      <c r="G107" s="38">
        <v>57163</v>
      </c>
      <c r="H107" s="202"/>
      <c r="I107" s="194"/>
      <c r="J107" s="194"/>
      <c r="K107" s="194"/>
      <c r="L107" s="194"/>
      <c r="M107" s="194"/>
      <c r="N107" s="194"/>
      <c r="O107" s="192"/>
      <c r="P107" s="148" t="s">
        <v>4200</v>
      </c>
      <c r="Q107" s="33" t="s">
        <v>86</v>
      </c>
      <c r="R107" s="34" t="s">
        <v>4192</v>
      </c>
      <c r="S107" s="44" t="s">
        <v>4201</v>
      </c>
      <c r="T107" s="46" t="s">
        <v>4168</v>
      </c>
      <c r="U107" s="35"/>
      <c r="V107" s="56" t="s">
        <v>3800</v>
      </c>
      <c r="W107" s="46">
        <v>60170</v>
      </c>
      <c r="X107" s="194"/>
      <c r="Y107" s="194"/>
      <c r="Z107" s="194"/>
      <c r="AA107" s="194"/>
      <c r="AB107" s="196"/>
      <c r="AC107"/>
    </row>
    <row r="108" spans="1:29" ht="17.100000000000001" customHeight="1" thickTop="1">
      <c r="A108" s="197" t="s">
        <v>4207</v>
      </c>
      <c r="B108" s="26">
        <v>45715</v>
      </c>
      <c r="C108" s="36">
        <v>2099</v>
      </c>
      <c r="D108" s="28" t="s">
        <v>281</v>
      </c>
      <c r="E108" s="199"/>
      <c r="F108" s="54" t="s">
        <v>4208</v>
      </c>
      <c r="G108" s="37" t="s">
        <v>4209</v>
      </c>
      <c r="H108" s="201">
        <v>4</v>
      </c>
      <c r="I108" s="193">
        <v>547000</v>
      </c>
      <c r="J108" s="193">
        <f>I108*0.1</f>
        <v>54700</v>
      </c>
      <c r="K108" s="193">
        <v>0</v>
      </c>
      <c r="L108" s="193">
        <v>8540</v>
      </c>
      <c r="M108" s="193">
        <v>13750</v>
      </c>
      <c r="N108" s="193">
        <f>SUM(I108:M109)</f>
        <v>623990</v>
      </c>
      <c r="O108" s="191"/>
      <c r="P108" s="147" t="s">
        <v>4210</v>
      </c>
      <c r="Q108" s="29" t="s">
        <v>82</v>
      </c>
      <c r="R108" s="81"/>
      <c r="S108" s="48" t="s">
        <v>1494</v>
      </c>
      <c r="T108" s="50"/>
      <c r="U108" s="30" t="s">
        <v>4211</v>
      </c>
      <c r="V108" s="58">
        <v>45941</v>
      </c>
      <c r="W108" s="52">
        <v>1271</v>
      </c>
      <c r="X108" s="193">
        <v>550000</v>
      </c>
      <c r="Y108" s="206">
        <f>X108*0.1</f>
        <v>55000</v>
      </c>
      <c r="Z108" s="193">
        <v>8540</v>
      </c>
      <c r="AA108" s="193">
        <f>SUM(X108:Z108)</f>
        <v>613540</v>
      </c>
      <c r="AB108" s="195">
        <v>45950</v>
      </c>
      <c r="AC108"/>
    </row>
    <row r="109" spans="1:29" ht="17.100000000000001" customHeight="1" thickBot="1">
      <c r="A109" s="198"/>
      <c r="B109" s="31" t="s">
        <v>2232</v>
      </c>
      <c r="C109" s="31">
        <v>2084</v>
      </c>
      <c r="D109" s="32" t="s">
        <v>95</v>
      </c>
      <c r="E109" s="200"/>
      <c r="F109" s="43" t="s">
        <v>4212</v>
      </c>
      <c r="G109" s="38">
        <v>67321</v>
      </c>
      <c r="H109" s="202"/>
      <c r="I109" s="194"/>
      <c r="J109" s="194"/>
      <c r="K109" s="194"/>
      <c r="L109" s="194"/>
      <c r="M109" s="194"/>
      <c r="N109" s="194"/>
      <c r="O109" s="192"/>
      <c r="P109" s="148" t="s">
        <v>4213</v>
      </c>
      <c r="Q109" s="33" t="s">
        <v>86</v>
      </c>
      <c r="R109" s="34" t="s">
        <v>3429</v>
      </c>
      <c r="S109" s="44" t="s">
        <v>4214</v>
      </c>
      <c r="T109" s="46"/>
      <c r="U109" s="35"/>
      <c r="V109" s="56" t="s">
        <v>4215</v>
      </c>
      <c r="W109" s="46">
        <v>60100</v>
      </c>
      <c r="X109" s="194"/>
      <c r="Y109" s="194"/>
      <c r="Z109" s="194"/>
      <c r="AA109" s="194"/>
      <c r="AB109" s="196"/>
      <c r="AC109"/>
    </row>
    <row r="110" spans="1:29" ht="17.100000000000001" customHeight="1" thickTop="1">
      <c r="A110" s="197" t="s">
        <v>4216</v>
      </c>
      <c r="B110" s="26">
        <v>45716</v>
      </c>
      <c r="C110" s="36">
        <v>1146</v>
      </c>
      <c r="D110" s="28" t="s">
        <v>3297</v>
      </c>
      <c r="E110" s="199"/>
      <c r="F110" s="54" t="s">
        <v>4217</v>
      </c>
      <c r="G110" s="37"/>
      <c r="H110" s="201">
        <v>5</v>
      </c>
      <c r="I110" s="193">
        <v>2010000</v>
      </c>
      <c r="J110" s="193">
        <f>I110*0.1</f>
        <v>201000</v>
      </c>
      <c r="K110" s="193">
        <v>0</v>
      </c>
      <c r="L110" s="193">
        <v>16240</v>
      </c>
      <c r="M110" s="193">
        <v>13200</v>
      </c>
      <c r="N110" s="193">
        <f>SUM(I110:M111)</f>
        <v>2240440</v>
      </c>
      <c r="O110" s="191"/>
      <c r="P110" s="147" t="s">
        <v>4218</v>
      </c>
      <c r="Q110" s="29" t="s">
        <v>82</v>
      </c>
      <c r="R110" s="81"/>
      <c r="S110" s="48" t="s">
        <v>4219</v>
      </c>
      <c r="T110" s="50"/>
      <c r="U110" s="30"/>
      <c r="V110" s="58">
        <v>45914</v>
      </c>
      <c r="W110" s="52"/>
      <c r="X110" s="193">
        <v>2870000</v>
      </c>
      <c r="Y110" s="206">
        <v>0</v>
      </c>
      <c r="Z110" s="193">
        <v>0</v>
      </c>
      <c r="AA110" s="193">
        <f>SUM(X110:Z110)</f>
        <v>2870000</v>
      </c>
      <c r="AB110" s="195">
        <v>45943</v>
      </c>
      <c r="AC110"/>
    </row>
    <row r="111" spans="1:29" ht="17.100000000000001" customHeight="1" thickBot="1">
      <c r="A111" s="198"/>
      <c r="B111" s="31" t="s">
        <v>2108</v>
      </c>
      <c r="C111" s="31">
        <v>88044</v>
      </c>
      <c r="D111" s="32" t="s">
        <v>1832</v>
      </c>
      <c r="E111" s="200"/>
      <c r="F111" s="43" t="s">
        <v>4220</v>
      </c>
      <c r="G111" s="38">
        <v>32650</v>
      </c>
      <c r="H111" s="202"/>
      <c r="I111" s="194"/>
      <c r="J111" s="194"/>
      <c r="K111" s="194"/>
      <c r="L111" s="194"/>
      <c r="M111" s="194"/>
      <c r="N111" s="194"/>
      <c r="O111" s="192"/>
      <c r="P111" s="148" t="s">
        <v>4221</v>
      </c>
      <c r="Q111" s="33" t="s">
        <v>86</v>
      </c>
      <c r="R111" s="34" t="s">
        <v>3429</v>
      </c>
      <c r="S111" s="44" t="s">
        <v>4222</v>
      </c>
      <c r="T111" s="46"/>
      <c r="U111" s="35"/>
      <c r="V111" s="56" t="s">
        <v>4223</v>
      </c>
      <c r="W111" s="46"/>
      <c r="X111" s="194"/>
      <c r="Y111" s="194"/>
      <c r="Z111" s="194"/>
      <c r="AA111" s="194"/>
      <c r="AB111" s="196"/>
      <c r="AC111"/>
    </row>
    <row r="112" spans="1:29" ht="17.100000000000001" customHeight="1" thickTop="1">
      <c r="A112" s="197" t="s">
        <v>4232</v>
      </c>
      <c r="B112" s="26">
        <v>45724</v>
      </c>
      <c r="C112" s="36">
        <v>964</v>
      </c>
      <c r="D112" s="28" t="s">
        <v>2677</v>
      </c>
      <c r="E112" s="199"/>
      <c r="F112" s="54" t="s">
        <v>2657</v>
      </c>
      <c r="G112" s="37"/>
      <c r="H112" s="201">
        <v>4.5</v>
      </c>
      <c r="I112" s="193">
        <v>1949000</v>
      </c>
      <c r="J112" s="193">
        <f>I112*0.1</f>
        <v>194900</v>
      </c>
      <c r="K112" s="193">
        <v>0</v>
      </c>
      <c r="L112" s="193">
        <v>16240</v>
      </c>
      <c r="M112" s="193">
        <v>14850</v>
      </c>
      <c r="N112" s="193">
        <f>SUM(I112:M113)</f>
        <v>2174990</v>
      </c>
      <c r="O112" s="191"/>
      <c r="P112" s="147" t="s">
        <v>4233</v>
      </c>
      <c r="Q112" s="29" t="s">
        <v>82</v>
      </c>
      <c r="R112" s="81"/>
      <c r="S112" s="48" t="s">
        <v>4234</v>
      </c>
      <c r="T112" s="50"/>
      <c r="U112" s="30"/>
      <c r="V112" s="58">
        <v>45990</v>
      </c>
      <c r="W112" s="52">
        <v>1278</v>
      </c>
      <c r="X112" s="193">
        <v>3060000</v>
      </c>
      <c r="Y112" s="206">
        <f>X112*0.1</f>
        <v>306000</v>
      </c>
      <c r="Z112" s="193">
        <v>16240</v>
      </c>
      <c r="AA112" s="193">
        <f>SUM(X112:Z112)</f>
        <v>3382240</v>
      </c>
      <c r="AB112" s="195">
        <v>45994</v>
      </c>
      <c r="AC112"/>
    </row>
    <row r="113" spans="1:29" ht="17.100000000000001" customHeight="1" thickBot="1">
      <c r="A113" s="198"/>
      <c r="B113" s="31" t="s">
        <v>1972</v>
      </c>
      <c r="C113" s="31">
        <v>5015</v>
      </c>
      <c r="D113" s="32" t="s">
        <v>1097</v>
      </c>
      <c r="E113" s="200"/>
      <c r="F113" s="43" t="s">
        <v>4235</v>
      </c>
      <c r="G113" s="38">
        <v>45218</v>
      </c>
      <c r="H113" s="202"/>
      <c r="I113" s="194"/>
      <c r="J113" s="194"/>
      <c r="K113" s="194"/>
      <c r="L113" s="194"/>
      <c r="M113" s="194"/>
      <c r="N113" s="194"/>
      <c r="O113" s="192"/>
      <c r="P113" s="148" t="s">
        <v>4236</v>
      </c>
      <c r="Q113" s="33" t="s">
        <v>86</v>
      </c>
      <c r="R113" s="34" t="s">
        <v>4237</v>
      </c>
      <c r="S113" s="44" t="s">
        <v>3264</v>
      </c>
      <c r="T113" s="46"/>
      <c r="U113" s="35"/>
      <c r="V113" s="56" t="s">
        <v>521</v>
      </c>
      <c r="W113" s="46">
        <v>82127</v>
      </c>
      <c r="X113" s="194"/>
      <c r="Y113" s="194"/>
      <c r="Z113" s="194"/>
      <c r="AA113" s="194"/>
      <c r="AB113" s="196"/>
      <c r="AC113"/>
    </row>
    <row r="114" spans="1:29" ht="17.100000000000001" customHeight="1" thickTop="1">
      <c r="A114" s="197" t="s">
        <v>4253</v>
      </c>
      <c r="B114" s="26">
        <v>45730</v>
      </c>
      <c r="C114" s="36">
        <v>1361</v>
      </c>
      <c r="D114" s="28" t="s">
        <v>3405</v>
      </c>
      <c r="E114" s="199"/>
      <c r="F114" s="54" t="s">
        <v>4254</v>
      </c>
      <c r="G114" s="37" t="s">
        <v>4255</v>
      </c>
      <c r="H114" s="201">
        <v>4</v>
      </c>
      <c r="I114" s="193">
        <v>884000</v>
      </c>
      <c r="J114" s="193">
        <f>I114*0.1</f>
        <v>88400</v>
      </c>
      <c r="K114" s="193">
        <v>25000</v>
      </c>
      <c r="L114" s="193">
        <v>9750</v>
      </c>
      <c r="M114" s="193">
        <v>13200</v>
      </c>
      <c r="N114" s="193">
        <f>SUM(I114:M115)</f>
        <v>1020350</v>
      </c>
      <c r="O114" s="191"/>
      <c r="P114" s="147" t="s">
        <v>4256</v>
      </c>
      <c r="Q114" s="29" t="s">
        <v>82</v>
      </c>
      <c r="R114" s="81"/>
      <c r="S114" s="48" t="s">
        <v>1540</v>
      </c>
      <c r="T114" s="50"/>
      <c r="U114" s="30" t="s">
        <v>4257</v>
      </c>
      <c r="V114" s="58">
        <v>45934</v>
      </c>
      <c r="W114" s="52">
        <v>1270</v>
      </c>
      <c r="X114" s="193">
        <v>1110000</v>
      </c>
      <c r="Y114" s="206">
        <f>X114*0.1</f>
        <v>111000</v>
      </c>
      <c r="Z114" s="193">
        <v>9750</v>
      </c>
      <c r="AA114" s="193">
        <f>SUM(X114:Z114)</f>
        <v>1230750</v>
      </c>
      <c r="AB114" s="195">
        <v>45937</v>
      </c>
      <c r="AC114"/>
    </row>
    <row r="115" spans="1:29" ht="17.100000000000001" customHeight="1" thickBot="1">
      <c r="A115" s="198"/>
      <c r="B115" s="31" t="s">
        <v>3039</v>
      </c>
      <c r="C115" s="31">
        <v>3297</v>
      </c>
      <c r="D115" s="32" t="s">
        <v>399</v>
      </c>
      <c r="E115" s="200"/>
      <c r="F115" s="43" t="s">
        <v>4258</v>
      </c>
      <c r="G115" s="38">
        <v>81323</v>
      </c>
      <c r="H115" s="202"/>
      <c r="I115" s="194"/>
      <c r="J115" s="194"/>
      <c r="K115" s="194"/>
      <c r="L115" s="194"/>
      <c r="M115" s="194"/>
      <c r="N115" s="194"/>
      <c r="O115" s="192"/>
      <c r="P115" s="148" t="s">
        <v>4259</v>
      </c>
      <c r="Q115" s="33" t="s">
        <v>86</v>
      </c>
      <c r="R115" s="34" t="s">
        <v>2199</v>
      </c>
      <c r="S115" s="44" t="s">
        <v>1872</v>
      </c>
      <c r="T115" s="46"/>
      <c r="U115" s="35"/>
      <c r="V115" s="56" t="s">
        <v>3800</v>
      </c>
      <c r="W115" s="46">
        <v>37099</v>
      </c>
      <c r="X115" s="194"/>
      <c r="Y115" s="194"/>
      <c r="Z115" s="194"/>
      <c r="AA115" s="194"/>
      <c r="AB115" s="196"/>
      <c r="AC115"/>
    </row>
    <row r="116" spans="1:29" ht="17.100000000000001" customHeight="1" thickTop="1">
      <c r="A116" s="197" t="s">
        <v>4260</v>
      </c>
      <c r="B116" s="26">
        <v>45733</v>
      </c>
      <c r="C116" s="36"/>
      <c r="D116" s="28" t="s">
        <v>1901</v>
      </c>
      <c r="E116" s="199"/>
      <c r="F116" s="54" t="s">
        <v>4261</v>
      </c>
      <c r="G116" s="37" t="s">
        <v>4262</v>
      </c>
      <c r="H116" s="201">
        <v>4</v>
      </c>
      <c r="I116" s="193">
        <f>3558500/1.1</f>
        <v>3234999.9999999995</v>
      </c>
      <c r="J116" s="193">
        <f>I116*0.1</f>
        <v>323500</v>
      </c>
      <c r="K116" s="193">
        <v>0</v>
      </c>
      <c r="L116" s="193">
        <v>14980</v>
      </c>
      <c r="M116" s="193">
        <v>143963</v>
      </c>
      <c r="N116" s="193">
        <f>SUM(I116:M117)</f>
        <v>3717442.9999999995</v>
      </c>
      <c r="O116" s="191"/>
      <c r="P116" s="147" t="s">
        <v>4263</v>
      </c>
      <c r="Q116" s="29" t="s">
        <v>82</v>
      </c>
      <c r="R116" s="81"/>
      <c r="S116" s="48" t="s">
        <v>1983</v>
      </c>
      <c r="T116" s="50"/>
      <c r="U116" s="30" t="s">
        <v>4264</v>
      </c>
      <c r="V116" s="58">
        <v>45990</v>
      </c>
      <c r="W116" s="52">
        <v>1278</v>
      </c>
      <c r="X116" s="193">
        <v>3030000</v>
      </c>
      <c r="Y116" s="206">
        <f>X116*0.1</f>
        <v>303000</v>
      </c>
      <c r="Z116" s="193">
        <v>14980</v>
      </c>
      <c r="AA116" s="193">
        <f>SUM(X116:Z116)</f>
        <v>3347980</v>
      </c>
      <c r="AB116" s="195">
        <v>45994</v>
      </c>
      <c r="AC116"/>
    </row>
    <row r="117" spans="1:29" ht="17.100000000000001" customHeight="1" thickBot="1">
      <c r="A117" s="198"/>
      <c r="B117" s="31" t="s">
        <v>1985</v>
      </c>
      <c r="C117" s="31" t="s">
        <v>4265</v>
      </c>
      <c r="D117" s="32" t="s">
        <v>95</v>
      </c>
      <c r="E117" s="200"/>
      <c r="F117" s="43" t="s">
        <v>4266</v>
      </c>
      <c r="G117" s="38">
        <v>78589</v>
      </c>
      <c r="H117" s="202"/>
      <c r="I117" s="194"/>
      <c r="J117" s="194"/>
      <c r="K117" s="194"/>
      <c r="L117" s="194"/>
      <c r="M117" s="194"/>
      <c r="N117" s="194"/>
      <c r="O117" s="192"/>
      <c r="P117" s="148" t="s">
        <v>4267</v>
      </c>
      <c r="Q117" s="33" t="s">
        <v>86</v>
      </c>
      <c r="R117" s="34" t="s">
        <v>2767</v>
      </c>
      <c r="S117" s="44" t="s">
        <v>4268</v>
      </c>
      <c r="T117" s="46"/>
      <c r="U117" s="35"/>
      <c r="V117" s="56" t="s">
        <v>521</v>
      </c>
      <c r="W117" s="46">
        <v>31024</v>
      </c>
      <c r="X117" s="194"/>
      <c r="Y117" s="194"/>
      <c r="Z117" s="194"/>
      <c r="AA117" s="194"/>
      <c r="AB117" s="196"/>
      <c r="AC117"/>
    </row>
    <row r="118" spans="1:29" ht="17.100000000000001" customHeight="1" thickTop="1">
      <c r="A118" s="197" t="s">
        <v>4276</v>
      </c>
      <c r="B118" s="26">
        <v>45751</v>
      </c>
      <c r="C118" s="36">
        <v>1364</v>
      </c>
      <c r="D118" s="28" t="s">
        <v>2999</v>
      </c>
      <c r="E118" s="199"/>
      <c r="F118" s="54" t="s">
        <v>4277</v>
      </c>
      <c r="G118" s="37"/>
      <c r="H118" s="201">
        <v>4</v>
      </c>
      <c r="I118" s="193">
        <v>1382000</v>
      </c>
      <c r="J118" s="193">
        <f>I118*0.1</f>
        <v>138200</v>
      </c>
      <c r="K118" s="193">
        <v>0</v>
      </c>
      <c r="L118" s="193">
        <v>19180</v>
      </c>
      <c r="M118" s="193">
        <v>13200</v>
      </c>
      <c r="N118" s="193">
        <f>SUM(I118:M119)</f>
        <v>1552580</v>
      </c>
      <c r="O118" s="191"/>
      <c r="P118" s="147" t="s">
        <v>4278</v>
      </c>
      <c r="Q118" s="29" t="s">
        <v>82</v>
      </c>
      <c r="R118" s="81"/>
      <c r="S118" s="48" t="s">
        <v>1983</v>
      </c>
      <c r="T118" s="50"/>
      <c r="U118" s="30"/>
      <c r="V118" s="58">
        <v>45955</v>
      </c>
      <c r="W118" s="52">
        <v>1273</v>
      </c>
      <c r="X118" s="193">
        <v>1400000</v>
      </c>
      <c r="Y118" s="206">
        <f>X118*0.1</f>
        <v>140000</v>
      </c>
      <c r="Z118" s="193">
        <v>19180</v>
      </c>
      <c r="AA118" s="193">
        <f>SUM(X118:Z118)</f>
        <v>1559180</v>
      </c>
      <c r="AB118" s="195">
        <v>45958</v>
      </c>
      <c r="AC118"/>
    </row>
    <row r="119" spans="1:29" ht="17.100000000000001" customHeight="1" thickBot="1">
      <c r="A119" s="198"/>
      <c r="B119" s="31" t="s">
        <v>3039</v>
      </c>
      <c r="C119" s="31">
        <v>7029</v>
      </c>
      <c r="D119" s="32" t="s">
        <v>1811</v>
      </c>
      <c r="E119" s="200"/>
      <c r="F119" s="43" t="s">
        <v>4279</v>
      </c>
      <c r="G119" s="38">
        <v>89522</v>
      </c>
      <c r="H119" s="202"/>
      <c r="I119" s="194"/>
      <c r="J119" s="194"/>
      <c r="K119" s="194"/>
      <c r="L119" s="194"/>
      <c r="M119" s="194"/>
      <c r="N119" s="194"/>
      <c r="O119" s="192"/>
      <c r="P119" s="148" t="s">
        <v>4280</v>
      </c>
      <c r="Q119" s="33" t="s">
        <v>86</v>
      </c>
      <c r="R119" s="34" t="s">
        <v>2071</v>
      </c>
      <c r="S119" s="44" t="s">
        <v>1872</v>
      </c>
      <c r="T119" s="186"/>
      <c r="U119" s="35"/>
      <c r="V119" s="56" t="s">
        <v>521</v>
      </c>
      <c r="W119" s="46">
        <v>80050</v>
      </c>
      <c r="X119" s="194"/>
      <c r="Y119" s="194"/>
      <c r="Z119" s="194"/>
      <c r="AA119" s="194"/>
      <c r="AB119" s="196"/>
      <c r="AC119"/>
    </row>
    <row r="120" spans="1:29" ht="17.100000000000001" customHeight="1" thickTop="1">
      <c r="A120" s="197" t="s">
        <v>4281</v>
      </c>
      <c r="B120" s="26">
        <v>45752</v>
      </c>
      <c r="C120" s="36">
        <v>1489</v>
      </c>
      <c r="D120" s="28" t="s">
        <v>2112</v>
      </c>
      <c r="E120" s="199"/>
      <c r="F120" s="54" t="s">
        <v>4282</v>
      </c>
      <c r="G120" s="37" t="s">
        <v>4283</v>
      </c>
      <c r="H120" s="201">
        <v>4.5</v>
      </c>
      <c r="I120" s="193">
        <v>2225000</v>
      </c>
      <c r="J120" s="193">
        <f>I120*0.1</f>
        <v>222500</v>
      </c>
      <c r="K120" s="193">
        <f>36200+3620</f>
        <v>39820</v>
      </c>
      <c r="L120" s="193">
        <v>13210</v>
      </c>
      <c r="M120" s="193">
        <v>16500</v>
      </c>
      <c r="N120" s="193">
        <f>SUM(I120:M121)</f>
        <v>2517030</v>
      </c>
      <c r="O120" s="191"/>
      <c r="P120" s="147" t="s">
        <v>4284</v>
      </c>
      <c r="Q120" s="29" t="s">
        <v>82</v>
      </c>
      <c r="R120" s="81"/>
      <c r="S120" s="48" t="s">
        <v>1494</v>
      </c>
      <c r="T120" s="50"/>
      <c r="U120" s="30"/>
      <c r="V120" s="58">
        <v>46304</v>
      </c>
      <c r="W120" s="52"/>
      <c r="X120" s="193">
        <v>3509000</v>
      </c>
      <c r="Y120" s="206">
        <v>0</v>
      </c>
      <c r="Z120" s="193">
        <v>0</v>
      </c>
      <c r="AA120" s="193">
        <f>SUM(X120:Z120)</f>
        <v>3509000</v>
      </c>
      <c r="AB120" s="195">
        <v>46340</v>
      </c>
      <c r="AC120"/>
    </row>
    <row r="121" spans="1:29" ht="17.100000000000001" customHeight="1" thickBot="1">
      <c r="A121" s="198"/>
      <c r="B121" s="31" t="s">
        <v>1810</v>
      </c>
      <c r="C121" s="31">
        <v>50149</v>
      </c>
      <c r="D121" s="32" t="s">
        <v>3269</v>
      </c>
      <c r="E121" s="200"/>
      <c r="F121" s="43" t="s">
        <v>4285</v>
      </c>
      <c r="G121" s="38">
        <v>17575</v>
      </c>
      <c r="H121" s="202"/>
      <c r="I121" s="194"/>
      <c r="J121" s="194"/>
      <c r="K121" s="194"/>
      <c r="L121" s="194"/>
      <c r="M121" s="194"/>
      <c r="N121" s="194"/>
      <c r="O121" s="192"/>
      <c r="P121" s="148" t="s">
        <v>4286</v>
      </c>
      <c r="Q121" s="33" t="s">
        <v>86</v>
      </c>
      <c r="R121" s="34" t="s">
        <v>2071</v>
      </c>
      <c r="S121" s="44" t="s">
        <v>96</v>
      </c>
      <c r="T121" s="46"/>
      <c r="U121" s="35"/>
      <c r="V121" s="56" t="s">
        <v>4287</v>
      </c>
      <c r="W121" s="46"/>
      <c r="X121" s="194"/>
      <c r="Y121" s="194"/>
      <c r="Z121" s="194"/>
      <c r="AA121" s="194"/>
      <c r="AB121" s="196"/>
      <c r="AC121"/>
    </row>
    <row r="122" spans="1:29" ht="17.100000000000001" customHeight="1" thickTop="1">
      <c r="A122" s="197" t="s">
        <v>4300</v>
      </c>
      <c r="B122" s="26">
        <v>45759</v>
      </c>
      <c r="C122" s="36">
        <v>1247</v>
      </c>
      <c r="D122" s="28" t="s">
        <v>4301</v>
      </c>
      <c r="E122" s="199"/>
      <c r="F122" s="54" t="s">
        <v>4302</v>
      </c>
      <c r="G122" s="37" t="s">
        <v>4303</v>
      </c>
      <c r="H122" s="201">
        <v>3.5</v>
      </c>
      <c r="I122" s="193">
        <v>505000</v>
      </c>
      <c r="J122" s="193">
        <f>I122*0.1</f>
        <v>50500</v>
      </c>
      <c r="K122" s="193">
        <v>77000</v>
      </c>
      <c r="L122" s="193">
        <v>15590</v>
      </c>
      <c r="M122" s="193">
        <v>16500</v>
      </c>
      <c r="N122" s="193">
        <f>SUM(I122:M123)</f>
        <v>664590</v>
      </c>
      <c r="O122" s="191"/>
      <c r="P122" s="147" t="s">
        <v>4304</v>
      </c>
      <c r="Q122" s="29" t="s">
        <v>82</v>
      </c>
      <c r="R122" s="81"/>
      <c r="S122" s="48"/>
      <c r="T122" s="50"/>
      <c r="U122" s="30"/>
      <c r="V122" s="58">
        <v>46357</v>
      </c>
      <c r="W122" s="52"/>
      <c r="X122" s="193">
        <v>2400000</v>
      </c>
      <c r="Y122" s="206">
        <v>0</v>
      </c>
      <c r="Z122" s="193">
        <v>0</v>
      </c>
      <c r="AA122" s="193">
        <f>SUM(X122:Z122)</f>
        <v>2400000</v>
      </c>
      <c r="AB122" s="195">
        <v>46074</v>
      </c>
      <c r="AC122"/>
    </row>
    <row r="123" spans="1:29" ht="17.100000000000001" customHeight="1" thickBot="1">
      <c r="A123" s="198"/>
      <c r="B123" s="31" t="s">
        <v>521</v>
      </c>
      <c r="C123" s="31">
        <v>82229</v>
      </c>
      <c r="D123" s="32" t="s">
        <v>1849</v>
      </c>
      <c r="E123" s="200"/>
      <c r="F123" s="43" t="s">
        <v>4305</v>
      </c>
      <c r="G123" s="38">
        <v>59923</v>
      </c>
      <c r="H123" s="202"/>
      <c r="I123" s="194"/>
      <c r="J123" s="194"/>
      <c r="K123" s="194"/>
      <c r="L123" s="194"/>
      <c r="M123" s="194"/>
      <c r="N123" s="194"/>
      <c r="O123" s="192"/>
      <c r="P123" s="148" t="s">
        <v>4306</v>
      </c>
      <c r="Q123" s="33" t="s">
        <v>86</v>
      </c>
      <c r="R123" s="34" t="s">
        <v>4307</v>
      </c>
      <c r="S123" s="44" t="s">
        <v>4308</v>
      </c>
      <c r="T123" s="46"/>
      <c r="U123" s="35"/>
      <c r="V123" s="56" t="s">
        <v>4309</v>
      </c>
      <c r="W123" s="46"/>
      <c r="X123" s="194"/>
      <c r="Y123" s="194"/>
      <c r="Z123" s="194"/>
      <c r="AA123" s="194"/>
      <c r="AB123" s="196"/>
      <c r="AC123"/>
    </row>
    <row r="124" spans="1:29" ht="17.100000000000001" customHeight="1" thickTop="1">
      <c r="A124" s="197" t="s">
        <v>4318</v>
      </c>
      <c r="B124" s="26">
        <v>45768</v>
      </c>
      <c r="C124" s="36"/>
      <c r="D124" s="28" t="s">
        <v>1222</v>
      </c>
      <c r="E124" s="199"/>
      <c r="F124" s="54" t="s">
        <v>4319</v>
      </c>
      <c r="G124" s="37" t="s">
        <v>4320</v>
      </c>
      <c r="H124" s="201">
        <v>3</v>
      </c>
      <c r="I124" s="193">
        <v>406000</v>
      </c>
      <c r="J124" s="193">
        <f>I124*0.1</f>
        <v>40600</v>
      </c>
      <c r="K124" s="193">
        <v>0</v>
      </c>
      <c r="L124" s="193">
        <v>8460</v>
      </c>
      <c r="M124" s="193">
        <v>15950</v>
      </c>
      <c r="N124" s="193">
        <f>SUM(I124:M125)</f>
        <v>471010</v>
      </c>
      <c r="O124" s="191"/>
      <c r="P124" s="147" t="s">
        <v>4321</v>
      </c>
      <c r="Q124" s="29" t="s">
        <v>82</v>
      </c>
      <c r="R124" s="81"/>
      <c r="S124" s="48" t="s">
        <v>1596</v>
      </c>
      <c r="T124" s="50"/>
      <c r="U124" s="30" t="s">
        <v>4322</v>
      </c>
      <c r="V124" s="58">
        <v>45934</v>
      </c>
      <c r="W124" s="52">
        <v>1270</v>
      </c>
      <c r="X124" s="193">
        <v>410000</v>
      </c>
      <c r="Y124" s="206">
        <f>X124*0.1</f>
        <v>41000</v>
      </c>
      <c r="Z124" s="193">
        <v>8460</v>
      </c>
      <c r="AA124" s="193">
        <f>SUM(X124:Z124)</f>
        <v>459460</v>
      </c>
      <c r="AB124" s="195">
        <v>45937</v>
      </c>
      <c r="AC124"/>
    </row>
    <row r="125" spans="1:29" ht="17.100000000000001" customHeight="1" thickBot="1">
      <c r="A125" s="198"/>
      <c r="B125" s="31" t="s">
        <v>4323</v>
      </c>
      <c r="C125" s="31">
        <v>55046</v>
      </c>
      <c r="D125" s="32" t="s">
        <v>399</v>
      </c>
      <c r="E125" s="200"/>
      <c r="F125" s="43" t="s">
        <v>4324</v>
      </c>
      <c r="G125" s="38">
        <v>56246</v>
      </c>
      <c r="H125" s="202"/>
      <c r="I125" s="194"/>
      <c r="J125" s="194"/>
      <c r="K125" s="194"/>
      <c r="L125" s="194"/>
      <c r="M125" s="194"/>
      <c r="N125" s="194"/>
      <c r="O125" s="192"/>
      <c r="P125" s="148" t="s">
        <v>4325</v>
      </c>
      <c r="Q125" s="33" t="s">
        <v>86</v>
      </c>
      <c r="R125" s="34" t="s">
        <v>2760</v>
      </c>
      <c r="S125" s="44" t="s">
        <v>287</v>
      </c>
      <c r="T125" s="46" t="s">
        <v>4326</v>
      </c>
      <c r="U125" s="35"/>
      <c r="V125" s="56" t="s">
        <v>3800</v>
      </c>
      <c r="W125" s="46">
        <v>60197</v>
      </c>
      <c r="X125" s="194"/>
      <c r="Y125" s="194"/>
      <c r="Z125" s="194"/>
      <c r="AA125" s="194"/>
      <c r="AB125" s="196"/>
      <c r="AC125"/>
    </row>
    <row r="126" spans="1:29" ht="17.100000000000001" customHeight="1" thickTop="1">
      <c r="A126" s="197" t="s">
        <v>4339</v>
      </c>
      <c r="B126" s="26">
        <v>45786</v>
      </c>
      <c r="C126" s="36">
        <v>2084</v>
      </c>
      <c r="D126" s="28" t="s">
        <v>106</v>
      </c>
      <c r="E126" s="199"/>
      <c r="F126" s="54" t="s">
        <v>4340</v>
      </c>
      <c r="G126" s="37" t="s">
        <v>3295</v>
      </c>
      <c r="H126" s="201">
        <v>4.5</v>
      </c>
      <c r="I126" s="193">
        <v>3850000</v>
      </c>
      <c r="J126" s="193">
        <f>I126*0.1</f>
        <v>385000</v>
      </c>
      <c r="K126" s="193">
        <f>42500+4250</f>
        <v>46750</v>
      </c>
      <c r="L126" s="193">
        <v>20860</v>
      </c>
      <c r="M126" s="193">
        <v>16500</v>
      </c>
      <c r="N126" s="193">
        <f>SUM(I126:M127)</f>
        <v>4319110</v>
      </c>
      <c r="O126" s="191"/>
      <c r="P126" s="147" t="s">
        <v>4341</v>
      </c>
      <c r="Q126" s="29" t="s">
        <v>82</v>
      </c>
      <c r="R126" s="81"/>
      <c r="S126" s="48" t="s">
        <v>4342</v>
      </c>
      <c r="T126" s="50"/>
      <c r="U126" s="30"/>
      <c r="V126" s="58">
        <v>46056</v>
      </c>
      <c r="W126" s="52"/>
      <c r="X126" s="193">
        <v>5250000</v>
      </c>
      <c r="Y126" s="206">
        <v>0</v>
      </c>
      <c r="Z126" s="193">
        <v>0</v>
      </c>
      <c r="AA126" s="193">
        <f>SUM(X126:Z126)</f>
        <v>5250000</v>
      </c>
      <c r="AB126" s="195">
        <v>46091</v>
      </c>
      <c r="AC126"/>
    </row>
    <row r="127" spans="1:29" ht="17.100000000000001" customHeight="1" thickBot="1">
      <c r="A127" s="198"/>
      <c r="B127" s="31" t="s">
        <v>1797</v>
      </c>
      <c r="C127" s="31">
        <v>58155</v>
      </c>
      <c r="D127" s="32" t="s">
        <v>1832</v>
      </c>
      <c r="E127" s="200"/>
      <c r="F127" s="43" t="s">
        <v>4343</v>
      </c>
      <c r="G127" s="38">
        <v>46095</v>
      </c>
      <c r="H127" s="202"/>
      <c r="I127" s="194"/>
      <c r="J127" s="194"/>
      <c r="K127" s="194"/>
      <c r="L127" s="194"/>
      <c r="M127" s="194"/>
      <c r="N127" s="194"/>
      <c r="O127" s="192"/>
      <c r="P127" s="148" t="s">
        <v>4344</v>
      </c>
      <c r="Q127" s="33" t="s">
        <v>86</v>
      </c>
      <c r="R127" s="34" t="s">
        <v>4345</v>
      </c>
      <c r="S127" s="44" t="s">
        <v>4346</v>
      </c>
      <c r="T127" s="46"/>
      <c r="U127" s="35"/>
      <c r="V127" s="56" t="s">
        <v>4347</v>
      </c>
      <c r="W127" s="46"/>
      <c r="X127" s="194"/>
      <c r="Y127" s="194"/>
      <c r="Z127" s="194"/>
      <c r="AA127" s="194"/>
      <c r="AB127" s="196"/>
      <c r="AC127"/>
    </row>
    <row r="128" spans="1:29" ht="17.100000000000001" customHeight="1" thickTop="1">
      <c r="A128" s="197" t="s">
        <v>4354</v>
      </c>
      <c r="B128" s="26">
        <v>45793</v>
      </c>
      <c r="C128" s="36">
        <v>2085</v>
      </c>
      <c r="D128" s="28" t="s">
        <v>4355</v>
      </c>
      <c r="E128" s="199"/>
      <c r="F128" s="54" t="s">
        <v>4356</v>
      </c>
      <c r="G128" s="37"/>
      <c r="H128" s="201">
        <v>4.5</v>
      </c>
      <c r="I128" s="193">
        <v>3810000</v>
      </c>
      <c r="J128" s="193">
        <f>I128*0.1</f>
        <v>381000</v>
      </c>
      <c r="K128" s="193">
        <v>0</v>
      </c>
      <c r="L128" s="193">
        <v>20990</v>
      </c>
      <c r="M128" s="193">
        <v>16500</v>
      </c>
      <c r="N128" s="193">
        <f>SUM(I128:M129)</f>
        <v>4228490</v>
      </c>
      <c r="O128" s="191"/>
      <c r="P128" s="147" t="s">
        <v>4357</v>
      </c>
      <c r="Q128" s="29" t="s">
        <v>82</v>
      </c>
      <c r="R128" s="81"/>
      <c r="S128" s="48" t="s">
        <v>1596</v>
      </c>
      <c r="T128" s="50"/>
      <c r="U128" s="30"/>
      <c r="V128" s="58">
        <v>46311</v>
      </c>
      <c r="W128" s="52"/>
      <c r="X128" s="193">
        <v>5480000</v>
      </c>
      <c r="Y128" s="206">
        <v>0</v>
      </c>
      <c r="Z128" s="193">
        <v>0</v>
      </c>
      <c r="AA128" s="193">
        <f>SUM(X128:Z128)</f>
        <v>5480000</v>
      </c>
      <c r="AB128" s="195">
        <v>46350</v>
      </c>
      <c r="AC128"/>
    </row>
    <row r="129" spans="1:29" ht="17.100000000000001" customHeight="1" thickBot="1">
      <c r="A129" s="198"/>
      <c r="B129" s="31" t="s">
        <v>1797</v>
      </c>
      <c r="C129" s="31">
        <v>58353</v>
      </c>
      <c r="D129" s="32" t="s">
        <v>3269</v>
      </c>
      <c r="E129" s="200"/>
      <c r="F129" s="43" t="s">
        <v>4358</v>
      </c>
      <c r="G129" s="38">
        <v>25590</v>
      </c>
      <c r="H129" s="202"/>
      <c r="I129" s="194"/>
      <c r="J129" s="194"/>
      <c r="K129" s="194"/>
      <c r="L129" s="194"/>
      <c r="M129" s="194"/>
      <c r="N129" s="194"/>
      <c r="O129" s="192"/>
      <c r="P129" s="148" t="s">
        <v>4359</v>
      </c>
      <c r="Q129" s="33" t="s">
        <v>86</v>
      </c>
      <c r="R129" s="34" t="s">
        <v>2280</v>
      </c>
      <c r="S129" s="44" t="s">
        <v>2358</v>
      </c>
      <c r="T129" s="46"/>
      <c r="U129" s="35"/>
      <c r="V129" s="56" t="s">
        <v>4360</v>
      </c>
      <c r="W129" s="46"/>
      <c r="X129" s="194"/>
      <c r="Y129" s="194"/>
      <c r="Z129" s="194"/>
      <c r="AA129" s="194"/>
      <c r="AB129" s="196"/>
      <c r="AC129"/>
    </row>
    <row r="130" spans="1:29" ht="17.100000000000001" customHeight="1" thickTop="1">
      <c r="A130" s="197" t="s">
        <v>4367</v>
      </c>
      <c r="B130" s="26">
        <v>45797</v>
      </c>
      <c r="C130" s="36">
        <v>1045</v>
      </c>
      <c r="D130" s="28" t="s">
        <v>2878</v>
      </c>
      <c r="E130" s="199"/>
      <c r="F130" s="54" t="s">
        <v>4368</v>
      </c>
      <c r="G130" s="37" t="s">
        <v>4369</v>
      </c>
      <c r="H130" s="201">
        <v>4.5</v>
      </c>
      <c r="I130" s="193">
        <v>2900000</v>
      </c>
      <c r="J130" s="193">
        <f>I130*0.1</f>
        <v>290000</v>
      </c>
      <c r="K130" s="193">
        <v>0</v>
      </c>
      <c r="L130" s="193">
        <v>23280</v>
      </c>
      <c r="M130" s="193">
        <v>16500</v>
      </c>
      <c r="N130" s="193">
        <f>SUM(I130:M131)</f>
        <v>3229780</v>
      </c>
      <c r="O130" s="191"/>
      <c r="P130" s="147" t="s">
        <v>4370</v>
      </c>
      <c r="Q130" s="29" t="s">
        <v>82</v>
      </c>
      <c r="R130" s="81"/>
      <c r="S130" s="48" t="s">
        <v>1540</v>
      </c>
      <c r="T130" s="50"/>
      <c r="U130" s="30"/>
      <c r="V130" s="58">
        <v>46308</v>
      </c>
      <c r="W130" s="52"/>
      <c r="X130" s="193">
        <v>4800000</v>
      </c>
      <c r="Y130" s="206">
        <v>0</v>
      </c>
      <c r="Z130" s="193">
        <v>0</v>
      </c>
      <c r="AA130" s="193">
        <f>SUM(X130:Z130)</f>
        <v>4800000</v>
      </c>
      <c r="AB130" s="195">
        <v>46348</v>
      </c>
      <c r="AC130"/>
    </row>
    <row r="131" spans="1:29" ht="17.100000000000001" customHeight="1" thickBot="1">
      <c r="A131" s="198"/>
      <c r="B131" s="31" t="s">
        <v>1848</v>
      </c>
      <c r="C131" s="31">
        <v>84027</v>
      </c>
      <c r="D131" s="32" t="s">
        <v>399</v>
      </c>
      <c r="E131" s="200"/>
      <c r="F131" s="43" t="s">
        <v>4371</v>
      </c>
      <c r="G131" s="38">
        <v>32323</v>
      </c>
      <c r="H131" s="202"/>
      <c r="I131" s="194"/>
      <c r="J131" s="194"/>
      <c r="K131" s="194"/>
      <c r="L131" s="194"/>
      <c r="M131" s="194"/>
      <c r="N131" s="194"/>
      <c r="O131" s="192"/>
      <c r="P131" s="148" t="s">
        <v>4372</v>
      </c>
      <c r="Q131" s="33" t="s">
        <v>86</v>
      </c>
      <c r="R131" s="34" t="s">
        <v>4373</v>
      </c>
      <c r="S131" s="44" t="s">
        <v>4374</v>
      </c>
      <c r="T131" s="46"/>
      <c r="U131" s="35"/>
      <c r="V131" s="56" t="s">
        <v>4375</v>
      </c>
      <c r="W131" s="46"/>
      <c r="X131" s="194"/>
      <c r="Y131" s="194"/>
      <c r="Z131" s="194"/>
      <c r="AA131" s="194"/>
      <c r="AB131" s="196"/>
      <c r="AC131"/>
    </row>
    <row r="132" spans="1:29" ht="17.100000000000001" customHeight="1" thickTop="1">
      <c r="A132" s="197" t="s">
        <v>4376</v>
      </c>
      <c r="B132" s="26">
        <v>45800</v>
      </c>
      <c r="C132" s="36"/>
      <c r="D132" s="28" t="s">
        <v>4016</v>
      </c>
      <c r="E132" s="199"/>
      <c r="F132" s="54" t="s">
        <v>4377</v>
      </c>
      <c r="G132" s="37" t="s">
        <v>4378</v>
      </c>
      <c r="H132" s="201">
        <v>4</v>
      </c>
      <c r="I132" s="193">
        <f>1688500/1.1</f>
        <v>1534999.9999999998</v>
      </c>
      <c r="J132" s="193">
        <f>I132*0.1</f>
        <v>153499.99999999997</v>
      </c>
      <c r="K132" s="193">
        <v>38700</v>
      </c>
      <c r="L132" s="193">
        <v>15110</v>
      </c>
      <c r="M132" s="193">
        <v>139425</v>
      </c>
      <c r="N132" s="193">
        <f>SUM(I132:M133)</f>
        <v>1881734.9999999998</v>
      </c>
      <c r="O132" s="191"/>
      <c r="P132" s="147" t="s">
        <v>4379</v>
      </c>
      <c r="Q132" s="29" t="s">
        <v>82</v>
      </c>
      <c r="R132" s="81"/>
      <c r="S132" s="48" t="s">
        <v>1596</v>
      </c>
      <c r="T132" s="50"/>
      <c r="U132" s="30" t="s">
        <v>4380</v>
      </c>
      <c r="V132" s="58">
        <v>46136</v>
      </c>
      <c r="W132" s="52"/>
      <c r="X132" s="193">
        <v>1400000</v>
      </c>
      <c r="Y132" s="206">
        <f>X132*0.1</f>
        <v>140000</v>
      </c>
      <c r="Z132" s="193">
        <v>15110</v>
      </c>
      <c r="AA132" s="193">
        <f>SUM(X132:Z132)</f>
        <v>1555110</v>
      </c>
      <c r="AB132" s="195"/>
      <c r="AC132"/>
    </row>
    <row r="133" spans="1:29" ht="17.100000000000001" customHeight="1" thickBot="1">
      <c r="A133" s="198"/>
      <c r="B133" s="31" t="s">
        <v>1985</v>
      </c>
      <c r="C133" s="31" t="s">
        <v>4381</v>
      </c>
      <c r="D133" s="32" t="s">
        <v>1097</v>
      </c>
      <c r="E133" s="200"/>
      <c r="F133" s="43" t="s">
        <v>4382</v>
      </c>
      <c r="G133" s="38">
        <v>30217</v>
      </c>
      <c r="H133" s="202"/>
      <c r="I133" s="194"/>
      <c r="J133" s="194"/>
      <c r="K133" s="194"/>
      <c r="L133" s="194"/>
      <c r="M133" s="194"/>
      <c r="N133" s="194"/>
      <c r="O133" s="192"/>
      <c r="P133" s="148" t="s">
        <v>4383</v>
      </c>
      <c r="Q133" s="33" t="s">
        <v>86</v>
      </c>
      <c r="R133" s="34" t="s">
        <v>2611</v>
      </c>
      <c r="S133" s="44" t="s">
        <v>287</v>
      </c>
      <c r="T133" s="46"/>
      <c r="U133" s="35"/>
      <c r="V133" s="56" t="s">
        <v>2307</v>
      </c>
      <c r="W133" s="46">
        <v>51591</v>
      </c>
      <c r="X133" s="194"/>
      <c r="Y133" s="194"/>
      <c r="Z133" s="194"/>
      <c r="AA133" s="194"/>
      <c r="AB133" s="196"/>
      <c r="AC133"/>
    </row>
    <row r="134" spans="1:29" ht="17.100000000000001" customHeight="1" thickTop="1">
      <c r="A134" s="197" t="s">
        <v>4404</v>
      </c>
      <c r="B134" s="26">
        <v>45806</v>
      </c>
      <c r="C134" s="36">
        <v>1935</v>
      </c>
      <c r="D134" s="28" t="s">
        <v>2507</v>
      </c>
      <c r="E134" s="199"/>
      <c r="F134" s="54" t="s">
        <v>4405</v>
      </c>
      <c r="G134" s="37"/>
      <c r="H134" s="201">
        <v>4</v>
      </c>
      <c r="I134" s="193">
        <v>616000</v>
      </c>
      <c r="J134" s="193">
        <v>0</v>
      </c>
      <c r="K134" s="193">
        <v>0</v>
      </c>
      <c r="L134" s="193">
        <v>9290</v>
      </c>
      <c r="M134" s="193">
        <v>14850</v>
      </c>
      <c r="N134" s="193">
        <f>SUM(I134:M135)</f>
        <v>640140</v>
      </c>
      <c r="O134" s="191"/>
      <c r="P134" s="147" t="s">
        <v>4406</v>
      </c>
      <c r="Q134" s="29" t="s">
        <v>82</v>
      </c>
      <c r="R134" s="81"/>
      <c r="S134" s="48"/>
      <c r="T134" s="50" t="s">
        <v>4407</v>
      </c>
      <c r="U134" s="30"/>
      <c r="V134" s="58">
        <v>45962</v>
      </c>
      <c r="W134" s="52">
        <v>1274</v>
      </c>
      <c r="X134" s="193">
        <v>650000</v>
      </c>
      <c r="Y134" s="193">
        <v>0</v>
      </c>
      <c r="Z134" s="193">
        <v>9290</v>
      </c>
      <c r="AA134" s="193">
        <f>SUM(X134:Z134)</f>
        <v>659290</v>
      </c>
      <c r="AB134" s="195">
        <v>45965</v>
      </c>
      <c r="AC134"/>
    </row>
    <row r="135" spans="1:29" ht="17.100000000000001" customHeight="1" thickBot="1">
      <c r="A135" s="198"/>
      <c r="B135" s="31" t="s">
        <v>4408</v>
      </c>
      <c r="C135" s="31">
        <v>9007</v>
      </c>
      <c r="D135" s="32" t="s">
        <v>4409</v>
      </c>
      <c r="E135" s="200"/>
      <c r="F135" s="43" t="s">
        <v>4410</v>
      </c>
      <c r="G135" s="38">
        <v>26430</v>
      </c>
      <c r="H135" s="202"/>
      <c r="I135" s="194"/>
      <c r="J135" s="194"/>
      <c r="K135" s="194"/>
      <c r="L135" s="194"/>
      <c r="M135" s="194"/>
      <c r="N135" s="194"/>
      <c r="O135" s="192"/>
      <c r="P135" s="148" t="s">
        <v>4411</v>
      </c>
      <c r="Q135" s="33" t="s">
        <v>86</v>
      </c>
      <c r="R135" s="34" t="s">
        <v>2793</v>
      </c>
      <c r="S135" s="44" t="s">
        <v>4412</v>
      </c>
      <c r="T135" s="46"/>
      <c r="U135" s="35"/>
      <c r="V135" s="56" t="s">
        <v>521</v>
      </c>
      <c r="W135" s="46">
        <v>60239</v>
      </c>
      <c r="X135" s="194"/>
      <c r="Y135" s="194"/>
      <c r="Z135" s="194"/>
      <c r="AA135" s="194"/>
      <c r="AB135" s="196"/>
      <c r="AC135"/>
    </row>
    <row r="136" spans="1:29" ht="17.100000000000001" customHeight="1" thickTop="1">
      <c r="A136" s="197" t="s">
        <v>4423</v>
      </c>
      <c r="B136" s="26">
        <v>45810</v>
      </c>
      <c r="C136" s="36"/>
      <c r="D136" s="28" t="s">
        <v>2121</v>
      </c>
      <c r="E136" s="199"/>
      <c r="F136" s="54" t="s">
        <v>4424</v>
      </c>
      <c r="G136" s="37" t="s">
        <v>4425</v>
      </c>
      <c r="H136" s="201">
        <v>3.5</v>
      </c>
      <c r="I136" s="193">
        <f>225500/1.1</f>
        <v>204999.99999999997</v>
      </c>
      <c r="J136" s="193">
        <f>I136*0.1</f>
        <v>20500</v>
      </c>
      <c r="K136" s="193">
        <v>0</v>
      </c>
      <c r="L136" s="193">
        <v>8140</v>
      </c>
      <c r="M136" s="193">
        <v>37922</v>
      </c>
      <c r="N136" s="193">
        <f>SUM(I136:M137)</f>
        <v>271562</v>
      </c>
      <c r="O136" s="191"/>
      <c r="P136" s="147" t="s">
        <v>4426</v>
      </c>
      <c r="Q136" s="29" t="s">
        <v>82</v>
      </c>
      <c r="R136" s="81"/>
      <c r="S136" s="48" t="s">
        <v>4427</v>
      </c>
      <c r="T136" s="50"/>
      <c r="U136" s="30"/>
      <c r="V136" s="58">
        <v>45979</v>
      </c>
      <c r="W136" s="52">
        <v>1918</v>
      </c>
      <c r="X136" s="193">
        <v>379000</v>
      </c>
      <c r="Y136" s="193">
        <f>X136*0.1</f>
        <v>37900</v>
      </c>
      <c r="Z136" s="193">
        <v>8140</v>
      </c>
      <c r="AA136" s="193">
        <f>SUM(X136:Z136)</f>
        <v>425040</v>
      </c>
      <c r="AB136" s="195">
        <v>45986</v>
      </c>
      <c r="AC136"/>
    </row>
    <row r="137" spans="1:29" ht="17.100000000000001" customHeight="1" thickBot="1">
      <c r="A137" s="198"/>
      <c r="B137" s="31" t="s">
        <v>1985</v>
      </c>
      <c r="C137" s="31" t="s">
        <v>4428</v>
      </c>
      <c r="D137" s="32" t="s">
        <v>4429</v>
      </c>
      <c r="E137" s="200"/>
      <c r="F137" s="43" t="s">
        <v>4430</v>
      </c>
      <c r="G137" s="38">
        <v>41313</v>
      </c>
      <c r="H137" s="202"/>
      <c r="I137" s="194"/>
      <c r="J137" s="194"/>
      <c r="K137" s="194"/>
      <c r="L137" s="194"/>
      <c r="M137" s="194"/>
      <c r="N137" s="194"/>
      <c r="O137" s="192"/>
      <c r="P137" s="148" t="s">
        <v>4431</v>
      </c>
      <c r="Q137" s="33" t="s">
        <v>86</v>
      </c>
      <c r="R137" s="34" t="s">
        <v>1946</v>
      </c>
      <c r="S137" s="44" t="s">
        <v>1872</v>
      </c>
      <c r="T137" s="46"/>
      <c r="U137" s="35"/>
      <c r="V137" s="56" t="s">
        <v>2450</v>
      </c>
      <c r="W137" s="46">
        <v>3129</v>
      </c>
      <c r="X137" s="194"/>
      <c r="Y137" s="194"/>
      <c r="Z137" s="194"/>
      <c r="AA137" s="194"/>
      <c r="AB137" s="196"/>
      <c r="AC137"/>
    </row>
    <row r="138" spans="1:29" ht="17.100000000000001" customHeight="1" thickTop="1">
      <c r="A138" s="197" t="s">
        <v>4441</v>
      </c>
      <c r="B138" s="26">
        <v>45813</v>
      </c>
      <c r="C138" s="36">
        <v>1284</v>
      </c>
      <c r="D138" s="28" t="s">
        <v>3912</v>
      </c>
      <c r="E138" s="199"/>
      <c r="F138" s="54" t="s">
        <v>4442</v>
      </c>
      <c r="G138" s="37" t="s">
        <v>4443</v>
      </c>
      <c r="H138" s="201">
        <v>4.5</v>
      </c>
      <c r="I138" s="193">
        <v>700000</v>
      </c>
      <c r="J138" s="193">
        <f>I138*0.1</f>
        <v>70000</v>
      </c>
      <c r="K138" s="193">
        <v>28380</v>
      </c>
      <c r="L138" s="193">
        <v>21980</v>
      </c>
      <c r="M138" s="193">
        <v>23100</v>
      </c>
      <c r="N138" s="193">
        <f>SUM(I138:M139)</f>
        <v>843460</v>
      </c>
      <c r="O138" s="191"/>
      <c r="P138" s="147" t="s">
        <v>4444</v>
      </c>
      <c r="Q138" s="29" t="s">
        <v>82</v>
      </c>
      <c r="R138" s="81"/>
      <c r="S138" s="48" t="s">
        <v>4445</v>
      </c>
      <c r="T138" s="187" t="s">
        <v>4446</v>
      </c>
      <c r="U138" s="30"/>
      <c r="V138" s="58">
        <v>45934</v>
      </c>
      <c r="W138" s="52">
        <v>1270</v>
      </c>
      <c r="X138" s="193">
        <v>765000</v>
      </c>
      <c r="Y138" s="193">
        <f>X138*0.1</f>
        <v>76500</v>
      </c>
      <c r="Z138" s="193">
        <v>21980</v>
      </c>
      <c r="AA138" s="193">
        <f>SUM(X138:Z138)</f>
        <v>863480</v>
      </c>
      <c r="AB138" s="195">
        <v>45938</v>
      </c>
      <c r="AC138"/>
    </row>
    <row r="139" spans="1:29" ht="17.100000000000001" customHeight="1" thickBot="1">
      <c r="A139" s="198"/>
      <c r="B139" s="31" t="s">
        <v>2017</v>
      </c>
      <c r="C139" s="31">
        <v>3</v>
      </c>
      <c r="D139" s="32" t="s">
        <v>1849</v>
      </c>
      <c r="E139" s="200"/>
      <c r="F139" s="43" t="s">
        <v>4447</v>
      </c>
      <c r="G139" s="38">
        <v>52417</v>
      </c>
      <c r="H139" s="202"/>
      <c r="I139" s="194"/>
      <c r="J139" s="194"/>
      <c r="K139" s="194"/>
      <c r="L139" s="194"/>
      <c r="M139" s="194"/>
      <c r="N139" s="194"/>
      <c r="O139" s="192"/>
      <c r="P139" s="148" t="s">
        <v>4448</v>
      </c>
      <c r="Q139" s="33" t="s">
        <v>86</v>
      </c>
      <c r="R139" s="34" t="s">
        <v>2778</v>
      </c>
      <c r="S139" s="44" t="s">
        <v>4449</v>
      </c>
      <c r="T139" s="186" t="s">
        <v>4450</v>
      </c>
      <c r="U139" s="35" t="s">
        <v>103</v>
      </c>
      <c r="V139" s="56" t="s">
        <v>3800</v>
      </c>
      <c r="W139" s="46">
        <v>80054</v>
      </c>
      <c r="X139" s="194"/>
      <c r="Y139" s="194"/>
      <c r="Z139" s="194"/>
      <c r="AA139" s="194"/>
      <c r="AB139" s="196"/>
      <c r="AC139"/>
    </row>
    <row r="140" spans="1:29" ht="17.100000000000001" customHeight="1" thickTop="1">
      <c r="A140" s="197" t="s">
        <v>4451</v>
      </c>
      <c r="B140" s="26">
        <v>45813</v>
      </c>
      <c r="C140" s="36">
        <v>1519</v>
      </c>
      <c r="D140" s="28" t="s">
        <v>2014</v>
      </c>
      <c r="E140" s="199"/>
      <c r="F140" s="54" t="s">
        <v>4452</v>
      </c>
      <c r="G140" s="37" t="s">
        <v>4453</v>
      </c>
      <c r="H140" s="201">
        <v>4.5</v>
      </c>
      <c r="I140" s="193">
        <v>2300000</v>
      </c>
      <c r="J140" s="193">
        <f>I140*0.1</f>
        <v>230000</v>
      </c>
      <c r="K140" s="193">
        <v>28380</v>
      </c>
      <c r="L140" s="193">
        <v>11740</v>
      </c>
      <c r="M140" s="193">
        <v>16500</v>
      </c>
      <c r="N140" s="193">
        <f>SUM(I140:M141)</f>
        <v>2586620</v>
      </c>
      <c r="O140" s="191"/>
      <c r="P140" s="147" t="s">
        <v>4454</v>
      </c>
      <c r="Q140" s="29" t="s">
        <v>82</v>
      </c>
      <c r="R140" s="81"/>
      <c r="S140" s="48" t="s">
        <v>604</v>
      </c>
      <c r="T140" s="50"/>
      <c r="U140" s="30"/>
      <c r="V140" s="58">
        <v>46284</v>
      </c>
      <c r="W140" s="52"/>
      <c r="X140" s="193">
        <v>3327200</v>
      </c>
      <c r="Y140" s="193">
        <v>0</v>
      </c>
      <c r="Z140" s="193">
        <v>0</v>
      </c>
      <c r="AA140" s="193">
        <f>SUM(X140:Z140)</f>
        <v>3327200</v>
      </c>
      <c r="AB140" s="195">
        <v>46334</v>
      </c>
      <c r="AC140"/>
    </row>
    <row r="141" spans="1:29" ht="17.100000000000001" customHeight="1" thickBot="1">
      <c r="A141" s="198"/>
      <c r="B141" s="31" t="s">
        <v>1858</v>
      </c>
      <c r="C141" s="31">
        <v>76138</v>
      </c>
      <c r="D141" s="32" t="s">
        <v>244</v>
      </c>
      <c r="E141" s="200"/>
      <c r="F141" s="43" t="s">
        <v>4455</v>
      </c>
      <c r="G141" s="38">
        <v>25864</v>
      </c>
      <c r="H141" s="202"/>
      <c r="I141" s="194"/>
      <c r="J141" s="194"/>
      <c r="K141" s="194"/>
      <c r="L141" s="194"/>
      <c r="M141" s="194"/>
      <c r="N141" s="194"/>
      <c r="O141" s="192"/>
      <c r="P141" s="148" t="s">
        <v>4456</v>
      </c>
      <c r="Q141" s="33" t="s">
        <v>86</v>
      </c>
      <c r="R141" s="34" t="s">
        <v>2559</v>
      </c>
      <c r="S141" s="44" t="s">
        <v>4457</v>
      </c>
      <c r="T141" s="46"/>
      <c r="U141" s="35" t="s">
        <v>103</v>
      </c>
      <c r="V141" s="56" t="s">
        <v>4458</v>
      </c>
      <c r="W141" s="46"/>
      <c r="X141" s="194"/>
      <c r="Y141" s="194"/>
      <c r="Z141" s="194"/>
      <c r="AA141" s="194"/>
      <c r="AB141" s="196"/>
      <c r="AC141"/>
    </row>
    <row r="142" spans="1:29" ht="17.100000000000001" customHeight="1" thickTop="1">
      <c r="A142" s="197" t="s">
        <v>4465</v>
      </c>
      <c r="B142" s="26">
        <v>45815</v>
      </c>
      <c r="C142" s="36">
        <v>1254</v>
      </c>
      <c r="D142" s="28" t="s">
        <v>4466</v>
      </c>
      <c r="E142" s="199"/>
      <c r="F142" s="54" t="s">
        <v>4467</v>
      </c>
      <c r="G142" s="37" t="s">
        <v>4468</v>
      </c>
      <c r="H142" s="201">
        <v>4</v>
      </c>
      <c r="I142" s="193">
        <v>400000</v>
      </c>
      <c r="J142" s="193">
        <f>I142*0.1</f>
        <v>40000</v>
      </c>
      <c r="K142" s="193">
        <v>0</v>
      </c>
      <c r="L142" s="193">
        <v>9790</v>
      </c>
      <c r="M142" s="193">
        <v>13200</v>
      </c>
      <c r="N142" s="193">
        <f>SUM(I142:M143)</f>
        <v>462990</v>
      </c>
      <c r="O142" s="191"/>
      <c r="P142" s="147" t="s">
        <v>4469</v>
      </c>
      <c r="Q142" s="29" t="s">
        <v>82</v>
      </c>
      <c r="R142" s="81"/>
      <c r="S142" s="48" t="s">
        <v>940</v>
      </c>
      <c r="T142" s="187" t="s">
        <v>4470</v>
      </c>
      <c r="U142" s="30" t="s">
        <v>4471</v>
      </c>
      <c r="V142" s="58">
        <v>46011</v>
      </c>
      <c r="W142" s="52">
        <v>1281</v>
      </c>
      <c r="X142" s="193">
        <v>410000</v>
      </c>
      <c r="Y142" s="193">
        <f>X142*0.1</f>
        <v>41000</v>
      </c>
      <c r="Z142" s="193">
        <v>9790</v>
      </c>
      <c r="AA142" s="193">
        <f>SUM(X142:Z142)</f>
        <v>460790</v>
      </c>
      <c r="AB142" s="195">
        <v>46014</v>
      </c>
      <c r="AC142"/>
    </row>
    <row r="143" spans="1:29" ht="17.100000000000001" customHeight="1" thickBot="1">
      <c r="A143" s="198"/>
      <c r="B143" s="31" t="s">
        <v>521</v>
      </c>
      <c r="C143" s="31">
        <v>65339</v>
      </c>
      <c r="D143" s="32" t="s">
        <v>1987</v>
      </c>
      <c r="E143" s="200"/>
      <c r="F143" s="43" t="s">
        <v>4472</v>
      </c>
      <c r="G143" s="38">
        <v>45345</v>
      </c>
      <c r="H143" s="202"/>
      <c r="I143" s="194"/>
      <c r="J143" s="194"/>
      <c r="K143" s="194"/>
      <c r="L143" s="194"/>
      <c r="M143" s="194"/>
      <c r="N143" s="194"/>
      <c r="O143" s="192"/>
      <c r="P143" s="148" t="s">
        <v>4473</v>
      </c>
      <c r="Q143" s="33" t="s">
        <v>86</v>
      </c>
      <c r="R143" s="34" t="s">
        <v>2322</v>
      </c>
      <c r="S143" s="44" t="s">
        <v>4474</v>
      </c>
      <c r="T143" s="46" t="s">
        <v>4475</v>
      </c>
      <c r="U143" s="35"/>
      <c r="V143" s="56" t="s">
        <v>521</v>
      </c>
      <c r="W143" s="46">
        <v>60191</v>
      </c>
      <c r="X143" s="194"/>
      <c r="Y143" s="194"/>
      <c r="Z143" s="194"/>
      <c r="AA143" s="194"/>
      <c r="AB143" s="196"/>
      <c r="AC143"/>
    </row>
    <row r="144" spans="1:29" ht="17.100000000000001" customHeight="1" thickTop="1">
      <c r="A144" s="197" t="s">
        <v>4484</v>
      </c>
      <c r="B144" s="26">
        <v>45820</v>
      </c>
      <c r="C144" s="36">
        <v>2113</v>
      </c>
      <c r="D144" s="28" t="s">
        <v>2023</v>
      </c>
      <c r="E144" s="199"/>
      <c r="F144" s="54" t="s">
        <v>4485</v>
      </c>
      <c r="G144" s="37"/>
      <c r="H144" s="201">
        <v>4</v>
      </c>
      <c r="I144" s="193">
        <v>403000</v>
      </c>
      <c r="J144" s="193">
        <f>I144*0.1</f>
        <v>40300</v>
      </c>
      <c r="K144" s="193">
        <v>0</v>
      </c>
      <c r="L144" s="193">
        <v>9070</v>
      </c>
      <c r="M144" s="193">
        <v>13750</v>
      </c>
      <c r="N144" s="193">
        <f>SUM(I144:M145)</f>
        <v>466120</v>
      </c>
      <c r="O144" s="191"/>
      <c r="P144" s="147" t="s">
        <v>4486</v>
      </c>
      <c r="Q144" s="29" t="s">
        <v>82</v>
      </c>
      <c r="R144" s="81"/>
      <c r="S144" s="48"/>
      <c r="T144" s="50"/>
      <c r="U144" s="30"/>
      <c r="V144" s="58">
        <v>45997</v>
      </c>
      <c r="W144" s="52">
        <v>1279</v>
      </c>
      <c r="X144" s="193">
        <v>410000</v>
      </c>
      <c r="Y144" s="193">
        <f>X144*0.1</f>
        <v>41000</v>
      </c>
      <c r="Z144" s="193">
        <v>9070</v>
      </c>
      <c r="AA144" s="193">
        <f>SUM(X144:Z144)</f>
        <v>460070</v>
      </c>
      <c r="AB144" s="195">
        <v>46000</v>
      </c>
      <c r="AC144"/>
    </row>
    <row r="145" spans="1:29" ht="17.100000000000001" customHeight="1" thickBot="1">
      <c r="A145" s="198"/>
      <c r="B145" s="31" t="s">
        <v>2232</v>
      </c>
      <c r="C145" s="31">
        <v>35072</v>
      </c>
      <c r="D145" s="32" t="s">
        <v>4487</v>
      </c>
      <c r="E145" s="200"/>
      <c r="F145" s="43" t="s">
        <v>4488</v>
      </c>
      <c r="G145" s="38">
        <v>47194</v>
      </c>
      <c r="H145" s="202"/>
      <c r="I145" s="194"/>
      <c r="J145" s="194"/>
      <c r="K145" s="194"/>
      <c r="L145" s="194"/>
      <c r="M145" s="194"/>
      <c r="N145" s="194"/>
      <c r="O145" s="192"/>
      <c r="P145" s="148" t="s">
        <v>4489</v>
      </c>
      <c r="Q145" s="33" t="s">
        <v>86</v>
      </c>
      <c r="R145" s="34" t="s">
        <v>4490</v>
      </c>
      <c r="S145" s="44" t="s">
        <v>4491</v>
      </c>
      <c r="T145" s="46"/>
      <c r="U145" s="35"/>
      <c r="V145" s="56" t="s">
        <v>521</v>
      </c>
      <c r="W145" s="46">
        <v>60121</v>
      </c>
      <c r="X145" s="194"/>
      <c r="Y145" s="194"/>
      <c r="Z145" s="194"/>
      <c r="AA145" s="194"/>
      <c r="AB145" s="196"/>
      <c r="AC145"/>
    </row>
    <row r="146" spans="1:29" ht="17.100000000000001" customHeight="1" thickTop="1">
      <c r="A146" s="197" t="s">
        <v>4492</v>
      </c>
      <c r="B146" s="26">
        <v>45822</v>
      </c>
      <c r="C146" s="36">
        <v>1255</v>
      </c>
      <c r="D146" s="28" t="s">
        <v>2030</v>
      </c>
      <c r="E146" s="199"/>
      <c r="F146" s="54" t="s">
        <v>4493</v>
      </c>
      <c r="G146" s="37" t="s">
        <v>4494</v>
      </c>
      <c r="H146" s="201">
        <v>4.5</v>
      </c>
      <c r="I146" s="193">
        <v>700000</v>
      </c>
      <c r="J146" s="193">
        <f>I146*0.1</f>
        <v>70000</v>
      </c>
      <c r="K146" s="193">
        <f>29600+2960</f>
        <v>32560</v>
      </c>
      <c r="L146" s="193">
        <v>17490</v>
      </c>
      <c r="M146" s="193">
        <v>16500</v>
      </c>
      <c r="N146" s="193">
        <f>SUM(I146:M147)</f>
        <v>836550</v>
      </c>
      <c r="O146" s="191"/>
      <c r="P146" s="147" t="s">
        <v>4495</v>
      </c>
      <c r="Q146" s="29" t="s">
        <v>82</v>
      </c>
      <c r="R146" s="81"/>
      <c r="S146" s="48" t="s">
        <v>4496</v>
      </c>
      <c r="T146" s="50"/>
      <c r="U146" s="30" t="s">
        <v>4497</v>
      </c>
      <c r="V146" s="58">
        <v>46011</v>
      </c>
      <c r="W146" s="52">
        <v>1281</v>
      </c>
      <c r="X146" s="193">
        <v>750000</v>
      </c>
      <c r="Y146" s="193">
        <f>X146*0.1</f>
        <v>75000</v>
      </c>
      <c r="Z146" s="193">
        <v>17490</v>
      </c>
      <c r="AA146" s="193">
        <f>SUM(X146:Z146)</f>
        <v>842490</v>
      </c>
      <c r="AB146" s="195">
        <v>46014</v>
      </c>
      <c r="AC146"/>
    </row>
    <row r="147" spans="1:29" ht="17.100000000000001" customHeight="1" thickBot="1">
      <c r="A147" s="198"/>
      <c r="B147" s="31" t="s">
        <v>521</v>
      </c>
      <c r="C147" s="31">
        <v>81089</v>
      </c>
      <c r="D147" s="32" t="s">
        <v>1832</v>
      </c>
      <c r="E147" s="200"/>
      <c r="F147" s="43" t="s">
        <v>4498</v>
      </c>
      <c r="G147" s="38">
        <v>58420</v>
      </c>
      <c r="H147" s="202"/>
      <c r="I147" s="194"/>
      <c r="J147" s="194"/>
      <c r="K147" s="194"/>
      <c r="L147" s="194"/>
      <c r="M147" s="194"/>
      <c r="N147" s="194"/>
      <c r="O147" s="192"/>
      <c r="P147" s="148" t="s">
        <v>4499</v>
      </c>
      <c r="Q147" s="33" t="s">
        <v>86</v>
      </c>
      <c r="R147" s="34" t="s">
        <v>4500</v>
      </c>
      <c r="S147" s="44" t="s">
        <v>4501</v>
      </c>
      <c r="T147" s="188"/>
      <c r="U147" s="35"/>
      <c r="V147" s="56" t="s">
        <v>521</v>
      </c>
      <c r="W147" s="46">
        <v>80073</v>
      </c>
      <c r="X147" s="194"/>
      <c r="Y147" s="194"/>
      <c r="Z147" s="194"/>
      <c r="AA147" s="194"/>
      <c r="AB147" s="196"/>
      <c r="AC147"/>
    </row>
    <row r="148" spans="1:29" ht="17.100000000000001" customHeight="1" thickTop="1">
      <c r="A148" s="197" t="s">
        <v>4508</v>
      </c>
      <c r="B148" s="26">
        <v>45822</v>
      </c>
      <c r="C148" s="36"/>
      <c r="D148" s="28" t="s">
        <v>2190</v>
      </c>
      <c r="E148" s="199"/>
      <c r="F148" s="54" t="s">
        <v>2657</v>
      </c>
      <c r="G148" s="37" t="s">
        <v>4509</v>
      </c>
      <c r="H148" s="201"/>
      <c r="I148" s="193">
        <v>3000000</v>
      </c>
      <c r="J148" s="193">
        <v>0</v>
      </c>
      <c r="K148" s="193">
        <v>26300</v>
      </c>
      <c r="L148" s="193">
        <v>0</v>
      </c>
      <c r="M148" s="193">
        <v>0</v>
      </c>
      <c r="N148" s="193">
        <f>SUM(I148:M149)</f>
        <v>3026300</v>
      </c>
      <c r="O148" s="191"/>
      <c r="P148" s="147" t="s">
        <v>4510</v>
      </c>
      <c r="Q148" s="29" t="s">
        <v>82</v>
      </c>
      <c r="R148" s="81"/>
      <c r="S148" s="48"/>
      <c r="T148" s="50"/>
      <c r="U148" s="30" t="s">
        <v>4511</v>
      </c>
      <c r="V148" s="58">
        <v>46269</v>
      </c>
      <c r="W148" s="52"/>
      <c r="X148" s="193">
        <v>3832500</v>
      </c>
      <c r="Y148" s="193">
        <v>0</v>
      </c>
      <c r="Z148" s="193">
        <v>0</v>
      </c>
      <c r="AA148" s="193">
        <f>SUM(X148:Z148)</f>
        <v>3832500</v>
      </c>
      <c r="AB148" s="195">
        <v>46335</v>
      </c>
      <c r="AC148"/>
    </row>
    <row r="149" spans="1:29" ht="17.100000000000001" customHeight="1" thickBot="1">
      <c r="A149" s="198"/>
      <c r="B149" s="31" t="s">
        <v>4512</v>
      </c>
      <c r="C149" s="31"/>
      <c r="D149" s="32"/>
      <c r="E149" s="200"/>
      <c r="F149" s="43" t="s">
        <v>4513</v>
      </c>
      <c r="G149" s="38"/>
      <c r="H149" s="202"/>
      <c r="I149" s="194"/>
      <c r="J149" s="194"/>
      <c r="K149" s="194"/>
      <c r="L149" s="194"/>
      <c r="M149" s="194"/>
      <c r="N149" s="194"/>
      <c r="O149" s="192"/>
      <c r="P149" s="148" t="s">
        <v>4514</v>
      </c>
      <c r="Q149" s="33" t="s">
        <v>86</v>
      </c>
      <c r="R149" s="34" t="s">
        <v>4515</v>
      </c>
      <c r="S149" s="44" t="s">
        <v>2808</v>
      </c>
      <c r="T149" s="46"/>
      <c r="U149" s="35"/>
      <c r="V149" s="56" t="s">
        <v>4516</v>
      </c>
      <c r="W149" s="46"/>
      <c r="X149" s="194"/>
      <c r="Y149" s="194"/>
      <c r="Z149" s="194"/>
      <c r="AA149" s="194"/>
      <c r="AB149" s="196"/>
      <c r="AC149"/>
    </row>
    <row r="150" spans="1:29" ht="17.100000000000001" customHeight="1" thickTop="1">
      <c r="A150" s="197" t="s">
        <v>4524</v>
      </c>
      <c r="B150" s="26">
        <v>45827</v>
      </c>
      <c r="C150" s="36">
        <v>1938</v>
      </c>
      <c r="D150" s="28" t="s">
        <v>1843</v>
      </c>
      <c r="E150" s="199"/>
      <c r="F150" s="54" t="s">
        <v>4525</v>
      </c>
      <c r="G150" s="37"/>
      <c r="H150" s="201">
        <v>5</v>
      </c>
      <c r="I150" s="193">
        <v>772000</v>
      </c>
      <c r="J150" s="193">
        <f>I150*0.1</f>
        <v>77200</v>
      </c>
      <c r="K150" s="193">
        <v>0</v>
      </c>
      <c r="L150" s="193">
        <v>8400</v>
      </c>
      <c r="M150" s="193">
        <v>14850</v>
      </c>
      <c r="N150" s="193">
        <f>SUM(I150:M151)</f>
        <v>872450</v>
      </c>
      <c r="O150" s="191"/>
      <c r="P150" s="147" t="s">
        <v>4526</v>
      </c>
      <c r="Q150" s="29" t="s">
        <v>82</v>
      </c>
      <c r="R150" s="81"/>
      <c r="S150" s="48" t="s">
        <v>4527</v>
      </c>
      <c r="T150" s="50"/>
      <c r="U150" s="30"/>
      <c r="V150" s="58">
        <v>45927</v>
      </c>
      <c r="W150" s="52">
        <v>1269</v>
      </c>
      <c r="X150" s="193">
        <v>875000</v>
      </c>
      <c r="Y150" s="193">
        <f>X150*0.1</f>
        <v>87500</v>
      </c>
      <c r="Z150" s="193">
        <v>8400</v>
      </c>
      <c r="AA150" s="193">
        <f>SUM(X150:Z150)</f>
        <v>970900</v>
      </c>
      <c r="AB150" s="195">
        <v>45937</v>
      </c>
      <c r="AC150"/>
    </row>
    <row r="151" spans="1:29" ht="17.100000000000001" customHeight="1" thickBot="1">
      <c r="A151" s="198"/>
      <c r="B151" s="31" t="s">
        <v>4408</v>
      </c>
      <c r="C151" s="31">
        <v>3542</v>
      </c>
      <c r="D151" s="32" t="s">
        <v>1811</v>
      </c>
      <c r="E151" s="200"/>
      <c r="F151" s="43" t="s">
        <v>4528</v>
      </c>
      <c r="G151" s="38">
        <v>23440</v>
      </c>
      <c r="H151" s="202"/>
      <c r="I151" s="194"/>
      <c r="J151" s="194"/>
      <c r="K151" s="194"/>
      <c r="L151" s="194"/>
      <c r="M151" s="194"/>
      <c r="N151" s="194"/>
      <c r="O151" s="192"/>
      <c r="P151" s="148" t="s">
        <v>4529</v>
      </c>
      <c r="Q151" s="33" t="s">
        <v>86</v>
      </c>
      <c r="R151" s="34" t="s">
        <v>4530</v>
      </c>
      <c r="S151" s="44" t="s">
        <v>4531</v>
      </c>
      <c r="T151" s="46"/>
      <c r="U151" s="35"/>
      <c r="V151" s="56" t="s">
        <v>3200</v>
      </c>
      <c r="W151" s="46">
        <v>60420</v>
      </c>
      <c r="X151" s="194"/>
      <c r="Y151" s="194"/>
      <c r="Z151" s="194"/>
      <c r="AA151" s="194"/>
      <c r="AB151" s="196"/>
      <c r="AC151"/>
    </row>
    <row r="152" spans="1:29" ht="17.100000000000001" customHeight="1" thickTop="1">
      <c r="A152" s="197" t="s">
        <v>4532</v>
      </c>
      <c r="B152" s="26">
        <v>45827</v>
      </c>
      <c r="C152" s="36">
        <v>1982</v>
      </c>
      <c r="D152" s="28" t="s">
        <v>1817</v>
      </c>
      <c r="E152" s="199"/>
      <c r="F152" s="54" t="s">
        <v>4533</v>
      </c>
      <c r="G152" s="37" t="s">
        <v>4534</v>
      </c>
      <c r="H152" s="201">
        <v>3.5</v>
      </c>
      <c r="I152" s="193">
        <v>1050000</v>
      </c>
      <c r="J152" s="193">
        <f>I152*0.1</f>
        <v>105000</v>
      </c>
      <c r="K152" s="193">
        <v>0</v>
      </c>
      <c r="L152" s="193">
        <v>9010</v>
      </c>
      <c r="M152" s="193">
        <v>22000</v>
      </c>
      <c r="N152" s="193">
        <f>SUM(I152:M153)</f>
        <v>1186010</v>
      </c>
      <c r="O152" s="191"/>
      <c r="P152" s="147" t="s">
        <v>4535</v>
      </c>
      <c r="Q152" s="29" t="s">
        <v>82</v>
      </c>
      <c r="R152" s="81"/>
      <c r="S152" s="48" t="s">
        <v>4536</v>
      </c>
      <c r="T152" s="50"/>
      <c r="U152" s="30" t="s">
        <v>4537</v>
      </c>
      <c r="V152" s="58">
        <v>45938</v>
      </c>
      <c r="W152" s="52">
        <v>987</v>
      </c>
      <c r="X152" s="193">
        <v>1120000</v>
      </c>
      <c r="Y152" s="193">
        <f>X152*0.1</f>
        <v>112000</v>
      </c>
      <c r="Z152" s="193">
        <v>9010</v>
      </c>
      <c r="AA152" s="193">
        <f>SUM(X152:Z152)</f>
        <v>1241010</v>
      </c>
      <c r="AB152" s="195">
        <v>45944</v>
      </c>
      <c r="AC152"/>
    </row>
    <row r="153" spans="1:29" ht="17.100000000000001" customHeight="1" thickBot="1">
      <c r="A153" s="198"/>
      <c r="B153" s="31" t="s">
        <v>2530</v>
      </c>
      <c r="C153" s="31">
        <v>50181</v>
      </c>
      <c r="D153" s="32" t="s">
        <v>2089</v>
      </c>
      <c r="E153" s="200"/>
      <c r="F153" s="43" t="s">
        <v>4538</v>
      </c>
      <c r="G153" s="38">
        <v>63591</v>
      </c>
      <c r="H153" s="202"/>
      <c r="I153" s="194"/>
      <c r="J153" s="194"/>
      <c r="K153" s="194"/>
      <c r="L153" s="194"/>
      <c r="M153" s="194"/>
      <c r="N153" s="194"/>
      <c r="O153" s="192"/>
      <c r="P153" s="148" t="s">
        <v>4539</v>
      </c>
      <c r="Q153" s="33" t="s">
        <v>86</v>
      </c>
      <c r="R153" s="34" t="s">
        <v>4530</v>
      </c>
      <c r="S153" s="44" t="s">
        <v>4540</v>
      </c>
      <c r="T153" s="46" t="s">
        <v>4541</v>
      </c>
      <c r="U153" s="35"/>
      <c r="V153" s="56" t="s">
        <v>104</v>
      </c>
      <c r="W153" s="46">
        <v>2020</v>
      </c>
      <c r="X153" s="194"/>
      <c r="Y153" s="194"/>
      <c r="Z153" s="194"/>
      <c r="AA153" s="194"/>
      <c r="AB153" s="196"/>
      <c r="AC153"/>
    </row>
    <row r="154" spans="1:29" ht="17.100000000000001" customHeight="1" thickTop="1">
      <c r="A154" s="197" t="s">
        <v>4542</v>
      </c>
      <c r="B154" s="26">
        <v>45828</v>
      </c>
      <c r="C154" s="36"/>
      <c r="D154" s="28" t="s">
        <v>2342</v>
      </c>
      <c r="E154" s="199"/>
      <c r="F154" s="54" t="s">
        <v>4543</v>
      </c>
      <c r="G154" s="37"/>
      <c r="H154" s="205" t="s">
        <v>4544</v>
      </c>
      <c r="I154" s="193">
        <f>346500/1.1</f>
        <v>315000</v>
      </c>
      <c r="J154" s="193">
        <f>I154*0.1</f>
        <v>31500</v>
      </c>
      <c r="K154" s="193">
        <v>0</v>
      </c>
      <c r="L154" s="193">
        <v>0</v>
      </c>
      <c r="M154" s="193">
        <v>44291</v>
      </c>
      <c r="N154" s="193">
        <f>SUM(I154:M155)</f>
        <v>390791</v>
      </c>
      <c r="O154" s="191"/>
      <c r="P154" s="147" t="s">
        <v>4545</v>
      </c>
      <c r="Q154" s="29" t="s">
        <v>82</v>
      </c>
      <c r="R154" s="81"/>
      <c r="S154" s="48"/>
      <c r="T154" s="50"/>
      <c r="U154" s="189" t="s">
        <v>4546</v>
      </c>
      <c r="V154" s="58">
        <v>46050</v>
      </c>
      <c r="W154" s="52">
        <v>1002</v>
      </c>
      <c r="X154" s="193">
        <v>325000</v>
      </c>
      <c r="Y154" s="193">
        <f>X154*0.1</f>
        <v>32500</v>
      </c>
      <c r="Z154" s="193">
        <v>0</v>
      </c>
      <c r="AA154" s="193">
        <f>SUM(X154:Z154)</f>
        <v>357500</v>
      </c>
      <c r="AB154" s="195"/>
      <c r="AC154"/>
    </row>
    <row r="155" spans="1:29" ht="17.100000000000001" customHeight="1" thickBot="1">
      <c r="A155" s="198"/>
      <c r="B155" s="31" t="s">
        <v>1985</v>
      </c>
      <c r="C155" s="31" t="s">
        <v>4547</v>
      </c>
      <c r="D155" s="32" t="s">
        <v>2537</v>
      </c>
      <c r="E155" s="200"/>
      <c r="F155" s="43" t="s">
        <v>4548</v>
      </c>
      <c r="G155" s="38">
        <v>1015</v>
      </c>
      <c r="H155" s="202"/>
      <c r="I155" s="194"/>
      <c r="J155" s="194"/>
      <c r="K155" s="194"/>
      <c r="L155" s="194"/>
      <c r="M155" s="194"/>
      <c r="N155" s="194"/>
      <c r="O155" s="192"/>
      <c r="P155" s="148" t="s">
        <v>4549</v>
      </c>
      <c r="Q155" s="33" t="s">
        <v>86</v>
      </c>
      <c r="R155" s="34" t="s">
        <v>2887</v>
      </c>
      <c r="S155" s="44" t="s">
        <v>2732</v>
      </c>
      <c r="T155" s="46"/>
      <c r="U155" s="35"/>
      <c r="V155" s="56" t="s">
        <v>104</v>
      </c>
      <c r="W155" s="46">
        <v>89017</v>
      </c>
      <c r="X155" s="194"/>
      <c r="Y155" s="194"/>
      <c r="Z155" s="194"/>
      <c r="AA155" s="194"/>
      <c r="AB155" s="196"/>
      <c r="AC155"/>
    </row>
    <row r="156" spans="1:29" ht="17.100000000000001" customHeight="1" thickTop="1">
      <c r="A156" s="197" t="s">
        <v>4550</v>
      </c>
      <c r="B156" s="26">
        <v>45828</v>
      </c>
      <c r="C156" s="36">
        <v>1374</v>
      </c>
      <c r="D156" s="28" t="s">
        <v>3177</v>
      </c>
      <c r="E156" s="199"/>
      <c r="F156" s="54" t="s">
        <v>4551</v>
      </c>
      <c r="G156" s="37" t="s">
        <v>4552</v>
      </c>
      <c r="H156" s="205" t="s">
        <v>1981</v>
      </c>
      <c r="I156" s="193">
        <v>300000</v>
      </c>
      <c r="J156" s="193">
        <f>I156*0.1</f>
        <v>30000</v>
      </c>
      <c r="K156" s="193">
        <v>0</v>
      </c>
      <c r="L156" s="193">
        <v>7950</v>
      </c>
      <c r="M156" s="193">
        <v>13200</v>
      </c>
      <c r="N156" s="193">
        <f>SUM(I156:M157)</f>
        <v>351150</v>
      </c>
      <c r="O156" s="191"/>
      <c r="P156" s="147" t="s">
        <v>4553</v>
      </c>
      <c r="Q156" s="29" t="s">
        <v>82</v>
      </c>
      <c r="R156" s="81"/>
      <c r="S156" s="48"/>
      <c r="T156" s="50"/>
      <c r="U156" s="30"/>
      <c r="V156" s="58">
        <v>46074</v>
      </c>
      <c r="W156" s="52">
        <v>1289</v>
      </c>
      <c r="X156" s="193">
        <v>290000</v>
      </c>
      <c r="Y156" s="193">
        <f>X156*0.1</f>
        <v>29000</v>
      </c>
      <c r="Z156" s="193">
        <v>7950</v>
      </c>
      <c r="AA156" s="193">
        <f>SUM(X156:Z156)</f>
        <v>326950</v>
      </c>
      <c r="AB156" s="195">
        <v>46077</v>
      </c>
      <c r="AC156"/>
    </row>
    <row r="157" spans="1:29" ht="17.100000000000001" customHeight="1" thickBot="1">
      <c r="A157" s="198"/>
      <c r="B157" s="31" t="s">
        <v>3039</v>
      </c>
      <c r="C157" s="31">
        <v>2033</v>
      </c>
      <c r="D157" s="32" t="s">
        <v>1097</v>
      </c>
      <c r="E157" s="200"/>
      <c r="F157" s="43" t="s">
        <v>4554</v>
      </c>
      <c r="G157" s="38">
        <v>57298</v>
      </c>
      <c r="H157" s="202"/>
      <c r="I157" s="194"/>
      <c r="J157" s="194"/>
      <c r="K157" s="194"/>
      <c r="L157" s="194"/>
      <c r="M157" s="194"/>
      <c r="N157" s="194"/>
      <c r="O157" s="192"/>
      <c r="P157" s="148" t="s">
        <v>4555</v>
      </c>
      <c r="Q157" s="33" t="s">
        <v>86</v>
      </c>
      <c r="R157" s="34" t="s">
        <v>4530</v>
      </c>
      <c r="S157" s="44" t="s">
        <v>4556</v>
      </c>
      <c r="T157" s="46"/>
      <c r="U157" s="35" t="s">
        <v>153</v>
      </c>
      <c r="V157" s="56" t="s">
        <v>521</v>
      </c>
      <c r="W157" s="46">
        <v>60099</v>
      </c>
      <c r="X157" s="194"/>
      <c r="Y157" s="194"/>
      <c r="Z157" s="194"/>
      <c r="AA157" s="194"/>
      <c r="AB157" s="196"/>
      <c r="AC157"/>
    </row>
    <row r="158" spans="1:29" ht="17.100000000000001" customHeight="1" thickTop="1">
      <c r="A158" s="203" t="s">
        <v>4557</v>
      </c>
      <c r="B158" s="26">
        <v>45828</v>
      </c>
      <c r="C158" s="36">
        <v>1374</v>
      </c>
      <c r="D158" s="28" t="s">
        <v>4558</v>
      </c>
      <c r="E158" s="199"/>
      <c r="F158" s="54" t="s">
        <v>4559</v>
      </c>
      <c r="G158" s="37" t="s">
        <v>4560</v>
      </c>
      <c r="H158" s="201">
        <v>4</v>
      </c>
      <c r="I158" s="193">
        <v>354000</v>
      </c>
      <c r="J158" s="193">
        <f>I158*0.1</f>
        <v>35400</v>
      </c>
      <c r="K158" s="193">
        <v>0</v>
      </c>
      <c r="L158" s="193">
        <v>8670</v>
      </c>
      <c r="M158" s="193">
        <v>13200</v>
      </c>
      <c r="N158" s="193">
        <f>SUM(I158:M159)</f>
        <v>411270</v>
      </c>
      <c r="O158" s="191"/>
      <c r="P158" s="147" t="s">
        <v>4561</v>
      </c>
      <c r="Q158" s="29" t="s">
        <v>82</v>
      </c>
      <c r="R158" s="81"/>
      <c r="S158" s="48" t="s">
        <v>1596</v>
      </c>
      <c r="T158" s="50"/>
      <c r="U158" s="30" t="s">
        <v>4562</v>
      </c>
      <c r="V158" s="58">
        <v>46032</v>
      </c>
      <c r="W158" s="52">
        <v>1283</v>
      </c>
      <c r="X158" s="193">
        <v>390000</v>
      </c>
      <c r="Y158" s="193">
        <f>X158*0.1</f>
        <v>39000</v>
      </c>
      <c r="Z158" s="193">
        <v>8670</v>
      </c>
      <c r="AA158" s="193">
        <f>SUM(X158:Z158)</f>
        <v>437670</v>
      </c>
      <c r="AB158" s="195">
        <v>46036</v>
      </c>
      <c r="AC158"/>
    </row>
    <row r="159" spans="1:29" ht="17.100000000000001" customHeight="1" thickBot="1">
      <c r="A159" s="204"/>
      <c r="B159" s="31" t="s">
        <v>3039</v>
      </c>
      <c r="C159" s="31">
        <v>3202</v>
      </c>
      <c r="D159" s="32" t="s">
        <v>1832</v>
      </c>
      <c r="E159" s="200"/>
      <c r="F159" s="43" t="s">
        <v>4563</v>
      </c>
      <c r="G159" s="38">
        <v>45100</v>
      </c>
      <c r="H159" s="202"/>
      <c r="I159" s="194"/>
      <c r="J159" s="194"/>
      <c r="K159" s="194"/>
      <c r="L159" s="194"/>
      <c r="M159" s="194"/>
      <c r="N159" s="194"/>
      <c r="O159" s="192"/>
      <c r="P159" s="148" t="s">
        <v>4564</v>
      </c>
      <c r="Q159" s="33" t="s">
        <v>86</v>
      </c>
      <c r="R159" s="34" t="s">
        <v>3255</v>
      </c>
      <c r="S159" s="44" t="s">
        <v>2101</v>
      </c>
      <c r="T159" s="46" t="s">
        <v>4326</v>
      </c>
      <c r="U159" s="35"/>
      <c r="V159" s="56" t="s">
        <v>521</v>
      </c>
      <c r="W159" s="46">
        <v>60307</v>
      </c>
      <c r="X159" s="194"/>
      <c r="Y159" s="194"/>
      <c r="Z159" s="194"/>
      <c r="AA159" s="194"/>
      <c r="AB159" s="196"/>
      <c r="AC159"/>
    </row>
    <row r="160" spans="1:29" ht="17.100000000000001" customHeight="1" thickTop="1">
      <c r="A160" s="197" t="s">
        <v>4565</v>
      </c>
      <c r="B160" s="26">
        <v>45829</v>
      </c>
      <c r="C160" s="36">
        <v>1256</v>
      </c>
      <c r="D160" s="28" t="s">
        <v>4566</v>
      </c>
      <c r="E160" s="199"/>
      <c r="F160" s="54" t="s">
        <v>4567</v>
      </c>
      <c r="G160" s="37" t="s">
        <v>4568</v>
      </c>
      <c r="H160" s="201">
        <v>4.5</v>
      </c>
      <c r="I160" s="193">
        <v>1700000</v>
      </c>
      <c r="J160" s="193">
        <f>I160*0.1</f>
        <v>170000</v>
      </c>
      <c r="K160" s="193">
        <v>32560</v>
      </c>
      <c r="L160" s="193">
        <v>16240</v>
      </c>
      <c r="M160" s="193">
        <v>23100</v>
      </c>
      <c r="N160" s="193">
        <f>SUM(I160:M161)</f>
        <v>1941900</v>
      </c>
      <c r="O160" s="191"/>
      <c r="P160" s="147" t="s">
        <v>4569</v>
      </c>
      <c r="Q160" s="29" t="s">
        <v>82</v>
      </c>
      <c r="R160" s="81"/>
      <c r="S160" s="48" t="s">
        <v>4570</v>
      </c>
      <c r="T160" s="50"/>
      <c r="U160" s="30" t="s">
        <v>4571</v>
      </c>
      <c r="V160" s="58">
        <v>46301</v>
      </c>
      <c r="W160" s="52"/>
      <c r="X160" s="193">
        <v>2866000</v>
      </c>
      <c r="Y160" s="193">
        <v>0</v>
      </c>
      <c r="Z160" s="193">
        <v>0</v>
      </c>
      <c r="AA160" s="193">
        <f>SUM(X160:Z160)</f>
        <v>2866000</v>
      </c>
      <c r="AB160" s="195">
        <v>46351</v>
      </c>
      <c r="AC160"/>
    </row>
    <row r="161" spans="1:29" ht="17.100000000000001" customHeight="1" thickBot="1">
      <c r="A161" s="198"/>
      <c r="B161" s="31" t="s">
        <v>521</v>
      </c>
      <c r="C161" s="31">
        <v>82565</v>
      </c>
      <c r="D161" s="32" t="s">
        <v>399</v>
      </c>
      <c r="E161" s="200"/>
      <c r="F161" s="43" t="s">
        <v>4572</v>
      </c>
      <c r="G161" s="38">
        <v>47906</v>
      </c>
      <c r="H161" s="202"/>
      <c r="I161" s="194"/>
      <c r="J161" s="194"/>
      <c r="K161" s="194"/>
      <c r="L161" s="194"/>
      <c r="M161" s="194"/>
      <c r="N161" s="194"/>
      <c r="O161" s="192"/>
      <c r="P161" s="148" t="s">
        <v>4573</v>
      </c>
      <c r="Q161" s="33" t="s">
        <v>86</v>
      </c>
      <c r="R161" s="34" t="s">
        <v>4574</v>
      </c>
      <c r="S161" s="44" t="s">
        <v>96</v>
      </c>
      <c r="T161" s="46"/>
      <c r="U161" s="35"/>
      <c r="V161" s="56" t="s">
        <v>4575</v>
      </c>
      <c r="W161" s="46"/>
      <c r="X161" s="194"/>
      <c r="Y161" s="194"/>
      <c r="Z161" s="194"/>
      <c r="AA161" s="194"/>
      <c r="AB161" s="196"/>
      <c r="AC161"/>
    </row>
    <row r="162" spans="1:29" ht="17.100000000000001" customHeight="1" thickTop="1">
      <c r="A162" s="197" t="s">
        <v>4584</v>
      </c>
      <c r="B162" s="26">
        <v>45831</v>
      </c>
      <c r="C162" s="36"/>
      <c r="D162" s="28" t="s">
        <v>4585</v>
      </c>
      <c r="E162" s="199"/>
      <c r="F162" s="54" t="s">
        <v>4586</v>
      </c>
      <c r="G162" s="37" t="s">
        <v>4587</v>
      </c>
      <c r="H162" s="205" t="s">
        <v>1981</v>
      </c>
      <c r="I162" s="193">
        <f>698500/1.1</f>
        <v>635000</v>
      </c>
      <c r="J162" s="193">
        <f>I162*0.1</f>
        <v>63500</v>
      </c>
      <c r="K162" s="193">
        <v>0</v>
      </c>
      <c r="L162" s="193">
        <v>8570</v>
      </c>
      <c r="M162" s="193">
        <v>89925</v>
      </c>
      <c r="N162" s="193">
        <f>SUM(I162:M163)</f>
        <v>796995</v>
      </c>
      <c r="O162" s="191"/>
      <c r="P162" s="147" t="s">
        <v>4588</v>
      </c>
      <c r="Q162" s="29" t="s">
        <v>82</v>
      </c>
      <c r="R162" s="81"/>
      <c r="S162" s="48" t="s">
        <v>4589</v>
      </c>
      <c r="T162" s="50"/>
      <c r="U162" s="30" t="s">
        <v>4590</v>
      </c>
      <c r="V162" s="58">
        <v>45938</v>
      </c>
      <c r="W162" s="52">
        <v>987</v>
      </c>
      <c r="X162" s="193">
        <v>850000</v>
      </c>
      <c r="Y162" s="193">
        <f>X162*0.1</f>
        <v>85000</v>
      </c>
      <c r="Z162" s="193">
        <v>8570</v>
      </c>
      <c r="AA162" s="193">
        <f>SUM(X162:Z162)</f>
        <v>943570</v>
      </c>
      <c r="AB162" s="195">
        <v>45944</v>
      </c>
      <c r="AC162"/>
    </row>
    <row r="163" spans="1:29" ht="17.100000000000001" customHeight="1" thickBot="1">
      <c r="A163" s="198"/>
      <c r="B163" s="31" t="s">
        <v>1985</v>
      </c>
      <c r="C163" s="31" t="s">
        <v>4591</v>
      </c>
      <c r="D163" s="32" t="s">
        <v>1832</v>
      </c>
      <c r="E163" s="200"/>
      <c r="F163" s="43" t="s">
        <v>4592</v>
      </c>
      <c r="G163" s="38">
        <v>79074</v>
      </c>
      <c r="H163" s="202"/>
      <c r="I163" s="194"/>
      <c r="J163" s="194"/>
      <c r="K163" s="194"/>
      <c r="L163" s="194"/>
      <c r="M163" s="194"/>
      <c r="N163" s="194"/>
      <c r="O163" s="192"/>
      <c r="P163" s="148" t="s">
        <v>4593</v>
      </c>
      <c r="Q163" s="33" t="s">
        <v>86</v>
      </c>
      <c r="R163" s="34" t="s">
        <v>2849</v>
      </c>
      <c r="S163" s="44" t="s">
        <v>3175</v>
      </c>
      <c r="T163" s="46"/>
      <c r="U163" s="35"/>
      <c r="V163" s="56" t="s">
        <v>104</v>
      </c>
      <c r="W163" s="46">
        <v>2017</v>
      </c>
      <c r="X163" s="194"/>
      <c r="Y163" s="194"/>
      <c r="Z163" s="194"/>
      <c r="AA163" s="194"/>
      <c r="AB163" s="196"/>
      <c r="AC163"/>
    </row>
    <row r="164" spans="1:29" ht="17.100000000000001" customHeight="1" thickTop="1">
      <c r="A164" s="197" t="s">
        <v>4594</v>
      </c>
      <c r="B164" s="26">
        <v>45832</v>
      </c>
      <c r="C164" s="36">
        <v>946</v>
      </c>
      <c r="D164" s="28" t="s">
        <v>1843</v>
      </c>
      <c r="E164" s="199"/>
      <c r="F164" s="54" t="s">
        <v>4595</v>
      </c>
      <c r="G164" s="37"/>
      <c r="H164" s="201">
        <v>3.5</v>
      </c>
      <c r="I164" s="193">
        <v>1089000</v>
      </c>
      <c r="J164" s="193">
        <f>I164*0.1</f>
        <v>108900</v>
      </c>
      <c r="K164" s="193">
        <v>0</v>
      </c>
      <c r="L164" s="193">
        <v>5870</v>
      </c>
      <c r="M164" s="193">
        <v>22000</v>
      </c>
      <c r="N164" s="193">
        <f>SUM(I164:M165)</f>
        <v>1225770</v>
      </c>
      <c r="O164" s="191"/>
      <c r="P164" s="147" t="s">
        <v>4596</v>
      </c>
      <c r="Q164" s="29" t="s">
        <v>82</v>
      </c>
      <c r="R164" s="81"/>
      <c r="S164" s="48" t="s">
        <v>4597</v>
      </c>
      <c r="T164" s="50"/>
      <c r="U164" s="30"/>
      <c r="V164" s="58">
        <v>45934</v>
      </c>
      <c r="W164" s="52">
        <v>1270</v>
      </c>
      <c r="X164" s="193">
        <v>1085000</v>
      </c>
      <c r="Y164" s="193">
        <f>X164*0.1</f>
        <v>108500</v>
      </c>
      <c r="Z164" s="193">
        <v>5870</v>
      </c>
      <c r="AA164" s="193">
        <f>SUM(X164:Z164)</f>
        <v>1199370</v>
      </c>
      <c r="AB164" s="195">
        <v>45937</v>
      </c>
      <c r="AC164"/>
    </row>
    <row r="165" spans="1:29" ht="17.100000000000001" customHeight="1" thickBot="1">
      <c r="A165" s="198"/>
      <c r="B165" s="31" t="s">
        <v>2363</v>
      </c>
      <c r="C165" s="31">
        <v>163</v>
      </c>
      <c r="D165" s="32" t="s">
        <v>1849</v>
      </c>
      <c r="E165" s="200"/>
      <c r="F165" s="43" t="s">
        <v>4598</v>
      </c>
      <c r="G165" s="38">
        <v>41225</v>
      </c>
      <c r="H165" s="202"/>
      <c r="I165" s="194"/>
      <c r="J165" s="194"/>
      <c r="K165" s="194"/>
      <c r="L165" s="194"/>
      <c r="M165" s="194"/>
      <c r="N165" s="194"/>
      <c r="O165" s="192"/>
      <c r="P165" s="148" t="s">
        <v>4599</v>
      </c>
      <c r="Q165" s="33" t="s">
        <v>86</v>
      </c>
      <c r="R165" s="34" t="s">
        <v>2911</v>
      </c>
      <c r="S165" s="44"/>
      <c r="T165" s="46"/>
      <c r="U165" s="35"/>
      <c r="V165" s="56" t="s">
        <v>3800</v>
      </c>
      <c r="W165" s="46">
        <v>60206</v>
      </c>
      <c r="X165" s="194"/>
      <c r="Y165" s="194"/>
      <c r="Z165" s="194"/>
      <c r="AA165" s="194"/>
      <c r="AB165" s="196"/>
      <c r="AC165"/>
    </row>
    <row r="166" spans="1:29" ht="17.100000000000001" customHeight="1" thickTop="1">
      <c r="A166" s="197" t="s">
        <v>4600</v>
      </c>
      <c r="B166" s="26">
        <v>45833</v>
      </c>
      <c r="C166" s="36">
        <v>1794</v>
      </c>
      <c r="D166" s="28" t="s">
        <v>2644</v>
      </c>
      <c r="E166" s="199"/>
      <c r="F166" s="54" t="s">
        <v>3707</v>
      </c>
      <c r="G166" s="37"/>
      <c r="H166" s="201">
        <v>4.5</v>
      </c>
      <c r="I166" s="193">
        <v>865000</v>
      </c>
      <c r="J166" s="193">
        <f>I166*0.1</f>
        <v>86500</v>
      </c>
      <c r="K166" s="193">
        <v>0</v>
      </c>
      <c r="L166" s="193">
        <v>17250</v>
      </c>
      <c r="M166" s="193">
        <v>18150</v>
      </c>
      <c r="N166" s="193">
        <f>SUM(I166:M167)</f>
        <v>986900</v>
      </c>
      <c r="O166" s="191"/>
      <c r="P166" s="147" t="s">
        <v>4601</v>
      </c>
      <c r="Q166" s="29" t="s">
        <v>82</v>
      </c>
      <c r="R166" s="81"/>
      <c r="S166" s="48" t="s">
        <v>4602</v>
      </c>
      <c r="T166" s="50"/>
      <c r="U166" s="30"/>
      <c r="V166" s="58">
        <v>46067</v>
      </c>
      <c r="W166" s="52">
        <v>1288</v>
      </c>
      <c r="X166" s="193">
        <v>920000</v>
      </c>
      <c r="Y166" s="193">
        <f>X166*0.1</f>
        <v>92000</v>
      </c>
      <c r="Z166" s="193">
        <v>17250</v>
      </c>
      <c r="AA166" s="193">
        <f>SUM(X166:Z166)</f>
        <v>1029250</v>
      </c>
      <c r="AB166" s="195">
        <v>46071</v>
      </c>
      <c r="AC166"/>
    </row>
    <row r="167" spans="1:29" ht="17.100000000000001" customHeight="1" thickBot="1">
      <c r="A167" s="198"/>
      <c r="B167" s="31" t="s">
        <v>2945</v>
      </c>
      <c r="C167" s="31">
        <v>38084</v>
      </c>
      <c r="D167" s="32" t="s">
        <v>1849</v>
      </c>
      <c r="E167" s="200"/>
      <c r="F167" s="43" t="s">
        <v>4603</v>
      </c>
      <c r="G167" s="38">
        <v>24561</v>
      </c>
      <c r="H167" s="202"/>
      <c r="I167" s="194"/>
      <c r="J167" s="194"/>
      <c r="K167" s="194"/>
      <c r="L167" s="194"/>
      <c r="M167" s="194"/>
      <c r="N167" s="194"/>
      <c r="O167" s="192"/>
      <c r="P167" s="148" t="s">
        <v>4604</v>
      </c>
      <c r="Q167" s="33" t="s">
        <v>86</v>
      </c>
      <c r="R167" s="34" t="s">
        <v>4574</v>
      </c>
      <c r="S167" s="44" t="s">
        <v>1872</v>
      </c>
      <c r="T167" s="46"/>
      <c r="U167" s="35"/>
      <c r="V167" s="56" t="s">
        <v>3200</v>
      </c>
      <c r="W167" s="46">
        <v>80211</v>
      </c>
      <c r="X167" s="194"/>
      <c r="Y167" s="194"/>
      <c r="Z167" s="194"/>
      <c r="AA167" s="194"/>
      <c r="AB167" s="196"/>
      <c r="AC167"/>
    </row>
    <row r="168" spans="1:29" ht="17.100000000000001" customHeight="1" thickTop="1">
      <c r="A168" s="197" t="s">
        <v>4605</v>
      </c>
      <c r="B168" s="26">
        <v>45835</v>
      </c>
      <c r="C168" s="36">
        <v>247</v>
      </c>
      <c r="D168" s="28" t="s">
        <v>3982</v>
      </c>
      <c r="E168" s="199"/>
      <c r="F168" s="54" t="s">
        <v>4606</v>
      </c>
      <c r="G168" s="37"/>
      <c r="H168" s="201">
        <v>4</v>
      </c>
      <c r="I168" s="193">
        <v>207000</v>
      </c>
      <c r="J168" s="193">
        <f>I168*0.1</f>
        <v>20700</v>
      </c>
      <c r="K168" s="193">
        <v>0</v>
      </c>
      <c r="L168" s="193">
        <v>9880</v>
      </c>
      <c r="M168" s="193">
        <v>22000</v>
      </c>
      <c r="N168" s="193">
        <f>SUM(I168:M169)</f>
        <v>259580</v>
      </c>
      <c r="O168" s="191"/>
      <c r="P168" s="147" t="s">
        <v>4607</v>
      </c>
      <c r="Q168" s="29" t="s">
        <v>82</v>
      </c>
      <c r="R168" s="81"/>
      <c r="S168" s="48"/>
      <c r="T168" s="50"/>
      <c r="U168" s="30"/>
      <c r="V168" s="58">
        <v>45941</v>
      </c>
      <c r="W168" s="52">
        <v>1271</v>
      </c>
      <c r="X168" s="193">
        <v>285000</v>
      </c>
      <c r="Y168" s="193">
        <f>X168*0.1</f>
        <v>28500</v>
      </c>
      <c r="Z168" s="193">
        <v>9880</v>
      </c>
      <c r="AA168" s="193">
        <f>SUM(X168:Z168)</f>
        <v>323380</v>
      </c>
      <c r="AB168" s="195">
        <v>45945</v>
      </c>
      <c r="AC168"/>
    </row>
    <row r="169" spans="1:29" ht="17.100000000000001" customHeight="1" thickBot="1">
      <c r="A169" s="198"/>
      <c r="B169" s="31" t="s">
        <v>4608</v>
      </c>
      <c r="C169" s="31">
        <v>43</v>
      </c>
      <c r="D169" s="32" t="s">
        <v>399</v>
      </c>
      <c r="E169" s="200"/>
      <c r="F169" s="43" t="s">
        <v>4609</v>
      </c>
      <c r="G169" s="38">
        <v>64620</v>
      </c>
      <c r="H169" s="202"/>
      <c r="I169" s="194"/>
      <c r="J169" s="194"/>
      <c r="K169" s="194"/>
      <c r="L169" s="194"/>
      <c r="M169" s="194"/>
      <c r="N169" s="194"/>
      <c r="O169" s="192"/>
      <c r="P169" s="148" t="s">
        <v>4610</v>
      </c>
      <c r="Q169" s="33" t="s">
        <v>86</v>
      </c>
      <c r="R169" s="34" t="s">
        <v>2887</v>
      </c>
      <c r="S169" s="44" t="s">
        <v>4201</v>
      </c>
      <c r="T169" s="46"/>
      <c r="U169" s="35"/>
      <c r="V169" s="56" t="s">
        <v>521</v>
      </c>
      <c r="W169" s="46">
        <v>60254</v>
      </c>
      <c r="X169" s="194"/>
      <c r="Y169" s="194"/>
      <c r="Z169" s="194"/>
      <c r="AA169" s="194"/>
      <c r="AB169" s="196"/>
      <c r="AC169"/>
    </row>
    <row r="170" spans="1:29" ht="17.100000000000001" customHeight="1" thickTop="1">
      <c r="A170" s="197" t="s">
        <v>4627</v>
      </c>
      <c r="B170" s="26">
        <v>45845</v>
      </c>
      <c r="C170" s="36"/>
      <c r="D170" s="28" t="s">
        <v>3429</v>
      </c>
      <c r="E170" s="199"/>
      <c r="F170" s="54" t="s">
        <v>4628</v>
      </c>
      <c r="G170" s="37" t="s">
        <v>4629</v>
      </c>
      <c r="H170" s="205" t="s">
        <v>1981</v>
      </c>
      <c r="I170" s="193">
        <f>1595000/1.1</f>
        <v>1449999.9999999998</v>
      </c>
      <c r="J170" s="193">
        <f>I170*0.1</f>
        <v>144999.99999999997</v>
      </c>
      <c r="K170" s="193">
        <v>21000</v>
      </c>
      <c r="L170" s="193">
        <v>12470</v>
      </c>
      <c r="M170" s="193">
        <v>94875</v>
      </c>
      <c r="N170" s="193">
        <f>SUM(I170:M171)</f>
        <v>1723344.9999999998</v>
      </c>
      <c r="O170" s="191"/>
      <c r="P170" s="147" t="s">
        <v>4630</v>
      </c>
      <c r="Q170" s="29" t="s">
        <v>82</v>
      </c>
      <c r="R170" s="81"/>
      <c r="S170" s="48" t="s">
        <v>1500</v>
      </c>
      <c r="T170" s="50" t="s">
        <v>4631</v>
      </c>
      <c r="U170" s="30" t="s">
        <v>4632</v>
      </c>
      <c r="V170" s="58">
        <v>45948</v>
      </c>
      <c r="W170" s="52">
        <v>1272</v>
      </c>
      <c r="X170" s="193">
        <v>1645000</v>
      </c>
      <c r="Y170" s="193">
        <f>X170*0.1</f>
        <v>164500</v>
      </c>
      <c r="Z170" s="193">
        <v>12470</v>
      </c>
      <c r="AA170" s="193">
        <f>SUM(X170:Z170)</f>
        <v>1821970</v>
      </c>
      <c r="AB170" s="195">
        <v>45951</v>
      </c>
      <c r="AC170"/>
    </row>
    <row r="171" spans="1:29" ht="17.100000000000001" customHeight="1" thickBot="1">
      <c r="A171" s="198"/>
      <c r="B171" s="31" t="s">
        <v>1985</v>
      </c>
      <c r="C171" s="31" t="s">
        <v>4633</v>
      </c>
      <c r="D171" s="32" t="s">
        <v>1849</v>
      </c>
      <c r="E171" s="200"/>
      <c r="F171" s="43" t="s">
        <v>4634</v>
      </c>
      <c r="G171" s="38">
        <v>42927</v>
      </c>
      <c r="H171" s="202"/>
      <c r="I171" s="194"/>
      <c r="J171" s="194"/>
      <c r="K171" s="194"/>
      <c r="L171" s="194"/>
      <c r="M171" s="194"/>
      <c r="N171" s="194"/>
      <c r="O171" s="192"/>
      <c r="P171" s="148" t="s">
        <v>4635</v>
      </c>
      <c r="Q171" s="33" t="s">
        <v>86</v>
      </c>
      <c r="R171" s="34" t="s">
        <v>4636</v>
      </c>
      <c r="S171" s="44" t="s">
        <v>4637</v>
      </c>
      <c r="T171" s="46" t="s">
        <v>4638</v>
      </c>
      <c r="U171" s="35"/>
      <c r="V171" s="56" t="s">
        <v>521</v>
      </c>
      <c r="W171" s="46">
        <v>50143</v>
      </c>
      <c r="X171" s="194"/>
      <c r="Y171" s="194"/>
      <c r="Z171" s="194"/>
      <c r="AA171" s="194"/>
      <c r="AB171" s="196"/>
      <c r="AC171"/>
    </row>
    <row r="172" spans="1:29" ht="17.100000000000001" customHeight="1" thickTop="1">
      <c r="A172" s="197" t="s">
        <v>4639</v>
      </c>
      <c r="B172" s="26">
        <v>45848</v>
      </c>
      <c r="C172" s="36">
        <v>2117</v>
      </c>
      <c r="D172" s="28" t="s">
        <v>2677</v>
      </c>
      <c r="E172" s="199"/>
      <c r="F172" s="54" t="s">
        <v>4640</v>
      </c>
      <c r="G172" s="37"/>
      <c r="H172" s="201">
        <v>4</v>
      </c>
      <c r="I172" s="193">
        <v>520000</v>
      </c>
      <c r="J172" s="193">
        <f>I172*0.1</f>
        <v>52000</v>
      </c>
      <c r="K172" s="193">
        <v>0</v>
      </c>
      <c r="L172" s="193">
        <v>0</v>
      </c>
      <c r="M172" s="193">
        <v>13750</v>
      </c>
      <c r="N172" s="193">
        <f>SUM(I172:M173)</f>
        <v>585750</v>
      </c>
      <c r="O172" s="191"/>
      <c r="P172" s="147" t="s">
        <v>4641</v>
      </c>
      <c r="Q172" s="29" t="s">
        <v>82</v>
      </c>
      <c r="R172" s="81"/>
      <c r="S172" s="48" t="s">
        <v>1326</v>
      </c>
      <c r="T172" s="50"/>
      <c r="U172" s="30"/>
      <c r="V172" s="58">
        <v>45941</v>
      </c>
      <c r="W172" s="52">
        <v>1271</v>
      </c>
      <c r="X172" s="193">
        <v>510000</v>
      </c>
      <c r="Y172" s="193">
        <f>X172*0.1</f>
        <v>51000</v>
      </c>
      <c r="Z172" s="193">
        <v>7510</v>
      </c>
      <c r="AA172" s="193">
        <f>SUM(X172:Z172)</f>
        <v>568510</v>
      </c>
      <c r="AB172" s="195">
        <v>45945</v>
      </c>
      <c r="AC172"/>
    </row>
    <row r="173" spans="1:29" ht="17.100000000000001" customHeight="1" thickBot="1">
      <c r="A173" s="198"/>
      <c r="B173" s="31" t="s">
        <v>3790</v>
      </c>
      <c r="C173" s="31">
        <v>2031</v>
      </c>
      <c r="D173" s="32" t="s">
        <v>1849</v>
      </c>
      <c r="E173" s="200"/>
      <c r="F173" s="43" t="s">
        <v>4642</v>
      </c>
      <c r="G173" s="38">
        <v>53557</v>
      </c>
      <c r="H173" s="202"/>
      <c r="I173" s="194"/>
      <c r="J173" s="194"/>
      <c r="K173" s="194"/>
      <c r="L173" s="194"/>
      <c r="M173" s="194"/>
      <c r="N173" s="194"/>
      <c r="O173" s="192"/>
      <c r="P173" s="148" t="s">
        <v>4643</v>
      </c>
      <c r="Q173" s="33" t="s">
        <v>86</v>
      </c>
      <c r="R173" s="34" t="s">
        <v>4644</v>
      </c>
      <c r="S173" s="44" t="s">
        <v>4645</v>
      </c>
      <c r="T173" s="46"/>
      <c r="U173" s="35"/>
      <c r="V173" s="56" t="s">
        <v>521</v>
      </c>
      <c r="W173" s="46">
        <v>60266</v>
      </c>
      <c r="X173" s="194"/>
      <c r="Y173" s="194"/>
      <c r="Z173" s="194"/>
      <c r="AA173" s="194"/>
      <c r="AB173" s="196"/>
      <c r="AC173"/>
    </row>
    <row r="174" spans="1:29" ht="17.100000000000001" customHeight="1" thickTop="1">
      <c r="A174" s="197" t="s">
        <v>4646</v>
      </c>
      <c r="B174" s="26">
        <v>45849</v>
      </c>
      <c r="C174" s="36">
        <v>2093</v>
      </c>
      <c r="D174" s="28" t="s">
        <v>3429</v>
      </c>
      <c r="E174" s="199"/>
      <c r="F174" s="54" t="s">
        <v>4647</v>
      </c>
      <c r="G174" s="37" t="s">
        <v>4648</v>
      </c>
      <c r="H174" s="201">
        <v>4.5</v>
      </c>
      <c r="I174" s="193">
        <v>1120000</v>
      </c>
      <c r="J174" s="193">
        <f>I174*0.1</f>
        <v>112000</v>
      </c>
      <c r="K174" s="193">
        <f>20300+2030</f>
        <v>22330</v>
      </c>
      <c r="L174" s="193">
        <v>12270</v>
      </c>
      <c r="M174" s="193">
        <v>16500</v>
      </c>
      <c r="N174" s="193">
        <f>SUM(I174:M175)</f>
        <v>1283100</v>
      </c>
      <c r="O174" s="191"/>
      <c r="P174" s="147" t="s">
        <v>4649</v>
      </c>
      <c r="Q174" s="29" t="s">
        <v>82</v>
      </c>
      <c r="R174" s="81"/>
      <c r="S174" s="48" t="s">
        <v>1494</v>
      </c>
      <c r="T174" s="50" t="s">
        <v>4650</v>
      </c>
      <c r="U174" s="30" t="s">
        <v>4651</v>
      </c>
      <c r="V174" s="58">
        <v>45927</v>
      </c>
      <c r="W174" s="52">
        <v>1269</v>
      </c>
      <c r="X174" s="193">
        <v>1200000</v>
      </c>
      <c r="Y174" s="193">
        <f>X174*0.1</f>
        <v>120000</v>
      </c>
      <c r="Z174" s="193">
        <v>12270</v>
      </c>
      <c r="AA174" s="193">
        <f>SUM(X174:Z174)</f>
        <v>1332270</v>
      </c>
      <c r="AB174" s="195">
        <v>45937</v>
      </c>
      <c r="AC174"/>
    </row>
    <row r="175" spans="1:29" ht="17.100000000000001" customHeight="1" thickBot="1">
      <c r="A175" s="198"/>
      <c r="B175" s="31" t="s">
        <v>1797</v>
      </c>
      <c r="C175" s="31">
        <v>58233</v>
      </c>
      <c r="D175" s="32" t="s">
        <v>1811</v>
      </c>
      <c r="E175" s="200"/>
      <c r="F175" s="43" t="s">
        <v>4652</v>
      </c>
      <c r="G175" s="38">
        <v>31188</v>
      </c>
      <c r="H175" s="202"/>
      <c r="I175" s="194"/>
      <c r="J175" s="194"/>
      <c r="K175" s="194"/>
      <c r="L175" s="194"/>
      <c r="M175" s="194"/>
      <c r="N175" s="194"/>
      <c r="O175" s="192"/>
      <c r="P175" s="148" t="s">
        <v>2295</v>
      </c>
      <c r="Q175" s="33" t="s">
        <v>86</v>
      </c>
      <c r="R175" s="34" t="s">
        <v>4653</v>
      </c>
      <c r="S175" s="44" t="s">
        <v>4654</v>
      </c>
      <c r="T175" s="46"/>
      <c r="U175" s="35"/>
      <c r="V175" s="56" t="s">
        <v>4215</v>
      </c>
      <c r="W175" s="46">
        <v>80060</v>
      </c>
      <c r="X175" s="194"/>
      <c r="Y175" s="194"/>
      <c r="Z175" s="194"/>
      <c r="AA175" s="194"/>
      <c r="AB175" s="196"/>
      <c r="AC175"/>
    </row>
    <row r="176" spans="1:29" ht="17.100000000000001" customHeight="1" thickTop="1">
      <c r="A176" s="197" t="s">
        <v>4655</v>
      </c>
      <c r="B176" s="26">
        <v>45849</v>
      </c>
      <c r="C176" s="36"/>
      <c r="D176" s="28" t="s">
        <v>2147</v>
      </c>
      <c r="E176" s="199"/>
      <c r="F176" s="54" t="s">
        <v>4656</v>
      </c>
      <c r="G176" s="37" t="s">
        <v>4657</v>
      </c>
      <c r="H176" s="201">
        <v>4.5</v>
      </c>
      <c r="I176" s="193">
        <f>687500/1.1</f>
        <v>625000</v>
      </c>
      <c r="J176" s="193">
        <f>I176*0.1</f>
        <v>62500</v>
      </c>
      <c r="K176" s="193">
        <v>0</v>
      </c>
      <c r="L176" s="193">
        <v>8230</v>
      </c>
      <c r="M176" s="193">
        <v>62237</v>
      </c>
      <c r="N176" s="193">
        <f>SUM(I176:M177)</f>
        <v>757967</v>
      </c>
      <c r="O176" s="191"/>
      <c r="P176" s="147" t="s">
        <v>4658</v>
      </c>
      <c r="Q176" s="29" t="s">
        <v>82</v>
      </c>
      <c r="R176" s="81"/>
      <c r="S176" s="48" t="s">
        <v>1279</v>
      </c>
      <c r="T176" s="50"/>
      <c r="U176" s="30" t="s">
        <v>4659</v>
      </c>
      <c r="V176" s="58">
        <v>45937</v>
      </c>
      <c r="W176" s="52">
        <v>1912</v>
      </c>
      <c r="X176" s="193">
        <v>746000</v>
      </c>
      <c r="Y176" s="193">
        <f>X176*0.1</f>
        <v>74600</v>
      </c>
      <c r="Z176" s="193">
        <v>8230</v>
      </c>
      <c r="AA176" s="193">
        <f>SUM(X176:Z176)</f>
        <v>828830</v>
      </c>
      <c r="AB176" s="195"/>
      <c r="AC176"/>
    </row>
    <row r="177" spans="1:29" ht="17.100000000000001" customHeight="1" thickBot="1">
      <c r="A177" s="198"/>
      <c r="B177" s="31" t="s">
        <v>1985</v>
      </c>
      <c r="C177" s="31" t="s">
        <v>4660</v>
      </c>
      <c r="D177" s="32" t="s">
        <v>399</v>
      </c>
      <c r="E177" s="200"/>
      <c r="F177" s="43" t="s">
        <v>4661</v>
      </c>
      <c r="G177" s="38">
        <v>55865</v>
      </c>
      <c r="H177" s="202"/>
      <c r="I177" s="194"/>
      <c r="J177" s="194"/>
      <c r="K177" s="194"/>
      <c r="L177" s="194"/>
      <c r="M177" s="194"/>
      <c r="N177" s="194"/>
      <c r="O177" s="192"/>
      <c r="P177" s="148" t="s">
        <v>4662</v>
      </c>
      <c r="Q177" s="33" t="s">
        <v>86</v>
      </c>
      <c r="R177" s="34" t="s">
        <v>4663</v>
      </c>
      <c r="S177" s="44" t="s">
        <v>96</v>
      </c>
      <c r="T177" s="46"/>
      <c r="U177" s="35"/>
      <c r="V177" s="56" t="s">
        <v>2450</v>
      </c>
      <c r="W177" s="46">
        <v>3261</v>
      </c>
      <c r="X177" s="194"/>
      <c r="Y177" s="194"/>
      <c r="Z177" s="194"/>
      <c r="AA177" s="194"/>
      <c r="AB177" s="196"/>
      <c r="AC177"/>
    </row>
    <row r="178" spans="1:29" ht="17.100000000000001" customHeight="1" thickTop="1">
      <c r="A178" s="197" t="s">
        <v>4664</v>
      </c>
      <c r="B178" s="26">
        <v>45850</v>
      </c>
      <c r="C178" s="36">
        <v>1424</v>
      </c>
      <c r="D178" s="28" t="s">
        <v>4665</v>
      </c>
      <c r="E178" s="199"/>
      <c r="F178" s="54" t="s">
        <v>2975</v>
      </c>
      <c r="G178" s="37" t="s">
        <v>3932</v>
      </c>
      <c r="H178" s="201">
        <v>4.5</v>
      </c>
      <c r="I178" s="193">
        <v>1815000</v>
      </c>
      <c r="J178" s="193">
        <f>I178*0.1</f>
        <v>181500</v>
      </c>
      <c r="K178" s="193">
        <f>26300+2630</f>
        <v>28930</v>
      </c>
      <c r="L178" s="193">
        <v>22210</v>
      </c>
      <c r="M178" s="193">
        <v>16500</v>
      </c>
      <c r="N178" s="193">
        <f>SUM(I178:M179)</f>
        <v>2064140</v>
      </c>
      <c r="O178" s="191"/>
      <c r="P178" s="147" t="s">
        <v>4666</v>
      </c>
      <c r="Q178" s="29" t="s">
        <v>82</v>
      </c>
      <c r="R178" s="81"/>
      <c r="S178" s="48" t="s">
        <v>1821</v>
      </c>
      <c r="T178" s="50"/>
      <c r="U178" s="30"/>
      <c r="V178" s="58">
        <v>46350</v>
      </c>
      <c r="W178" s="52"/>
      <c r="X178" s="193">
        <v>3130000</v>
      </c>
      <c r="Y178" s="193">
        <v>0</v>
      </c>
      <c r="Z178" s="193">
        <v>0</v>
      </c>
      <c r="AA178" s="193">
        <f>SUM(X178:Z178)</f>
        <v>3130000</v>
      </c>
      <c r="AB178" s="195">
        <v>46377</v>
      </c>
      <c r="AC178"/>
    </row>
    <row r="179" spans="1:29" ht="17.100000000000001" customHeight="1" thickBot="1">
      <c r="A179" s="198"/>
      <c r="B179" s="31" t="s">
        <v>2053</v>
      </c>
      <c r="C179" s="31">
        <v>5028</v>
      </c>
      <c r="D179" s="32" t="s">
        <v>399</v>
      </c>
      <c r="E179" s="200"/>
      <c r="F179" s="43" t="s">
        <v>4667</v>
      </c>
      <c r="G179" s="38">
        <v>44743</v>
      </c>
      <c r="H179" s="202"/>
      <c r="I179" s="194"/>
      <c r="J179" s="194"/>
      <c r="K179" s="194"/>
      <c r="L179" s="194"/>
      <c r="M179" s="194"/>
      <c r="N179" s="194"/>
      <c r="O179" s="192"/>
      <c r="P179" s="148" t="s">
        <v>4668</v>
      </c>
      <c r="Q179" s="33" t="s">
        <v>86</v>
      </c>
      <c r="R179" s="34" t="s">
        <v>4644</v>
      </c>
      <c r="S179" s="44" t="s">
        <v>96</v>
      </c>
      <c r="T179" s="46"/>
      <c r="U179" s="35" t="s">
        <v>216</v>
      </c>
      <c r="V179" s="56" t="s">
        <v>4669</v>
      </c>
      <c r="W179" s="46"/>
      <c r="X179" s="194"/>
      <c r="Y179" s="194"/>
      <c r="Z179" s="194"/>
      <c r="AA179" s="194"/>
      <c r="AB179" s="196"/>
      <c r="AC179"/>
    </row>
    <row r="180" spans="1:29" ht="17.100000000000001" customHeight="1" thickTop="1">
      <c r="A180" s="197" t="s">
        <v>4670</v>
      </c>
      <c r="B180" s="26">
        <v>45852</v>
      </c>
      <c r="C180" s="36">
        <v>2052</v>
      </c>
      <c r="D180" s="28" t="s">
        <v>1001</v>
      </c>
      <c r="E180" s="199"/>
      <c r="F180" s="54" t="s">
        <v>4671</v>
      </c>
      <c r="G180" s="37" t="s">
        <v>4672</v>
      </c>
      <c r="H180" s="201">
        <v>4</v>
      </c>
      <c r="I180" s="193">
        <v>3335000</v>
      </c>
      <c r="J180" s="193">
        <f>I180*0.1</f>
        <v>333500</v>
      </c>
      <c r="K180" s="193">
        <f>24000+2400</f>
        <v>26400</v>
      </c>
      <c r="L180" s="193">
        <v>14760</v>
      </c>
      <c r="M180" s="193">
        <v>12100</v>
      </c>
      <c r="N180" s="193">
        <f>SUM(I180:M181)</f>
        <v>3721760</v>
      </c>
      <c r="O180" s="191"/>
      <c r="P180" s="147" t="s">
        <v>4673</v>
      </c>
      <c r="Q180" s="29" t="s">
        <v>82</v>
      </c>
      <c r="R180" s="81"/>
      <c r="S180" s="48" t="s">
        <v>4674</v>
      </c>
      <c r="T180" s="50"/>
      <c r="U180" s="30" t="s">
        <v>4675</v>
      </c>
      <c r="V180" s="58">
        <v>46336</v>
      </c>
      <c r="W180" s="52"/>
      <c r="X180" s="193">
        <v>4650000</v>
      </c>
      <c r="Y180" s="193">
        <v>0</v>
      </c>
      <c r="Z180" s="193">
        <v>0</v>
      </c>
      <c r="AA180" s="193">
        <f>SUM(X180:Z180)</f>
        <v>4650000</v>
      </c>
      <c r="AB180" s="195">
        <v>46363</v>
      </c>
      <c r="AC180"/>
    </row>
    <row r="181" spans="1:29" ht="17.100000000000001" customHeight="1" thickBot="1">
      <c r="A181" s="198"/>
      <c r="B181" s="31" t="s">
        <v>189</v>
      </c>
      <c r="C181" s="31">
        <v>36013</v>
      </c>
      <c r="D181" s="32" t="s">
        <v>244</v>
      </c>
      <c r="E181" s="200"/>
      <c r="F181" s="43" t="s">
        <v>4676</v>
      </c>
      <c r="G181" s="38">
        <v>39398</v>
      </c>
      <c r="H181" s="202"/>
      <c r="I181" s="194"/>
      <c r="J181" s="194"/>
      <c r="K181" s="194"/>
      <c r="L181" s="194"/>
      <c r="M181" s="194"/>
      <c r="N181" s="194"/>
      <c r="O181" s="192"/>
      <c r="P181" s="148" t="s">
        <v>4677</v>
      </c>
      <c r="Q181" s="33" t="s">
        <v>86</v>
      </c>
      <c r="R181" s="34" t="s">
        <v>3304</v>
      </c>
      <c r="S181" s="44" t="s">
        <v>4678</v>
      </c>
      <c r="T181" s="46"/>
      <c r="U181" s="35"/>
      <c r="V181" s="56" t="s">
        <v>4679</v>
      </c>
      <c r="W181" s="46"/>
      <c r="X181" s="194"/>
      <c r="Y181" s="194"/>
      <c r="Z181" s="194"/>
      <c r="AA181" s="194"/>
      <c r="AB181" s="196"/>
      <c r="AC181"/>
    </row>
    <row r="182" spans="1:29" ht="17.100000000000001" customHeight="1" thickTop="1">
      <c r="A182" s="197" t="s">
        <v>4686</v>
      </c>
      <c r="B182" s="26">
        <v>45853</v>
      </c>
      <c r="C182" s="36">
        <v>1901</v>
      </c>
      <c r="D182" s="28" t="s">
        <v>2229</v>
      </c>
      <c r="E182" s="199"/>
      <c r="F182" s="54" t="s">
        <v>4687</v>
      </c>
      <c r="G182" s="37"/>
      <c r="H182" s="201">
        <v>4</v>
      </c>
      <c r="I182" s="193">
        <v>712000</v>
      </c>
      <c r="J182" s="193">
        <f>I182*0.1</f>
        <v>71200</v>
      </c>
      <c r="K182" s="193">
        <v>0</v>
      </c>
      <c r="L182" s="193">
        <v>9790</v>
      </c>
      <c r="M182" s="193">
        <v>15950</v>
      </c>
      <c r="N182" s="193">
        <f>SUM(I182:M183)</f>
        <v>808940</v>
      </c>
      <c r="O182" s="191"/>
      <c r="P182" s="147" t="s">
        <v>4688</v>
      </c>
      <c r="Q182" s="29" t="s">
        <v>82</v>
      </c>
      <c r="R182" s="81"/>
      <c r="S182" s="48"/>
      <c r="T182" s="50"/>
      <c r="U182" s="30"/>
      <c r="V182" s="58">
        <v>45941</v>
      </c>
      <c r="W182" s="52">
        <v>1271</v>
      </c>
      <c r="X182" s="193">
        <v>745000</v>
      </c>
      <c r="Y182" s="193">
        <f>X182*0.1</f>
        <v>74500</v>
      </c>
      <c r="Z182" s="193">
        <v>9790</v>
      </c>
      <c r="AA182" s="193">
        <f>SUM(X182:Z182)</f>
        <v>829290</v>
      </c>
      <c r="AB182" s="195">
        <v>45944</v>
      </c>
      <c r="AC182"/>
    </row>
    <row r="183" spans="1:29" ht="17.100000000000001" customHeight="1" thickBot="1">
      <c r="A183" s="198"/>
      <c r="B183" s="31" t="s">
        <v>2450</v>
      </c>
      <c r="C183" s="31">
        <v>3340</v>
      </c>
      <c r="D183" s="32" t="s">
        <v>4689</v>
      </c>
      <c r="E183" s="200"/>
      <c r="F183" s="43" t="s">
        <v>4690</v>
      </c>
      <c r="G183" s="38">
        <v>42721</v>
      </c>
      <c r="H183" s="202"/>
      <c r="I183" s="194"/>
      <c r="J183" s="194"/>
      <c r="K183" s="194"/>
      <c r="L183" s="194"/>
      <c r="M183" s="194"/>
      <c r="N183" s="194"/>
      <c r="O183" s="192"/>
      <c r="P183" s="148" t="s">
        <v>4691</v>
      </c>
      <c r="Q183" s="33" t="s">
        <v>86</v>
      </c>
      <c r="R183" s="34" t="s">
        <v>4653</v>
      </c>
      <c r="S183" s="44"/>
      <c r="T183" s="46"/>
      <c r="U183" s="35"/>
      <c r="V183" s="56" t="s">
        <v>521</v>
      </c>
      <c r="W183" s="46">
        <v>60111</v>
      </c>
      <c r="X183" s="194"/>
      <c r="Y183" s="194"/>
      <c r="Z183" s="194"/>
      <c r="AA183" s="194"/>
      <c r="AB183" s="196"/>
      <c r="AC183"/>
    </row>
    <row r="184" spans="1:29" ht="17.100000000000001" customHeight="1" thickTop="1">
      <c r="A184" s="197" t="s">
        <v>4692</v>
      </c>
      <c r="B184" s="26">
        <v>45853</v>
      </c>
      <c r="C184" s="36">
        <v>899</v>
      </c>
      <c r="D184" s="28" t="s">
        <v>3429</v>
      </c>
      <c r="E184" s="199"/>
      <c r="F184" s="54" t="s">
        <v>4693</v>
      </c>
      <c r="G184" s="37"/>
      <c r="H184" s="201">
        <v>4</v>
      </c>
      <c r="I184" s="193">
        <v>1007000</v>
      </c>
      <c r="J184" s="193">
        <f>I184*0.1</f>
        <v>100700</v>
      </c>
      <c r="K184" s="193">
        <v>0</v>
      </c>
      <c r="L184" s="193">
        <v>6830</v>
      </c>
      <c r="M184" s="193">
        <v>15950</v>
      </c>
      <c r="N184" s="193">
        <f>SUM(I184:M185)</f>
        <v>1130480</v>
      </c>
      <c r="O184" s="191"/>
      <c r="P184" s="147" t="s">
        <v>4694</v>
      </c>
      <c r="Q184" s="29" t="s">
        <v>82</v>
      </c>
      <c r="R184" s="81"/>
      <c r="S184" s="48" t="s">
        <v>4695</v>
      </c>
      <c r="T184" s="50"/>
      <c r="U184" s="30"/>
      <c r="V184" s="58">
        <v>45941</v>
      </c>
      <c r="W184" s="52">
        <v>1271</v>
      </c>
      <c r="X184" s="193">
        <v>1035000</v>
      </c>
      <c r="Y184" s="193">
        <f>X184*0.1</f>
        <v>103500</v>
      </c>
      <c r="Z184" s="193">
        <v>6830</v>
      </c>
      <c r="AA184" s="193">
        <f>SUM(X184:Z184)</f>
        <v>1145330</v>
      </c>
      <c r="AB184" s="195">
        <v>45944</v>
      </c>
      <c r="AC184"/>
    </row>
    <row r="185" spans="1:29" ht="17.100000000000001" customHeight="1" thickBot="1">
      <c r="A185" s="198"/>
      <c r="B185" s="31" t="s">
        <v>107</v>
      </c>
      <c r="C185" s="31">
        <v>3122</v>
      </c>
      <c r="D185" s="32" t="s">
        <v>1895</v>
      </c>
      <c r="E185" s="200"/>
      <c r="F185" s="43" t="s">
        <v>4696</v>
      </c>
      <c r="G185" s="38">
        <v>45901</v>
      </c>
      <c r="H185" s="202"/>
      <c r="I185" s="194"/>
      <c r="J185" s="194"/>
      <c r="K185" s="194"/>
      <c r="L185" s="194"/>
      <c r="M185" s="194"/>
      <c r="N185" s="194"/>
      <c r="O185" s="192"/>
      <c r="P185" s="148" t="s">
        <v>4697</v>
      </c>
      <c r="Q185" s="33" t="s">
        <v>86</v>
      </c>
      <c r="R185" s="34" t="s">
        <v>4653</v>
      </c>
      <c r="S185" s="44" t="s">
        <v>4222</v>
      </c>
      <c r="T185" s="46"/>
      <c r="U185" s="35"/>
      <c r="V185" s="56" t="s">
        <v>521</v>
      </c>
      <c r="W185" s="46">
        <v>60108</v>
      </c>
      <c r="X185" s="194"/>
      <c r="Y185" s="194"/>
      <c r="Z185" s="194"/>
      <c r="AA185" s="194"/>
      <c r="AB185" s="196"/>
      <c r="AC185"/>
    </row>
    <row r="186" spans="1:29" ht="17.100000000000001" customHeight="1" thickTop="1">
      <c r="A186" s="197" t="s">
        <v>4698</v>
      </c>
      <c r="B186" s="26">
        <v>45854</v>
      </c>
      <c r="C186" s="36">
        <v>976</v>
      </c>
      <c r="D186" s="28" t="s">
        <v>1874</v>
      </c>
      <c r="E186" s="199"/>
      <c r="F186" s="54" t="s">
        <v>4699</v>
      </c>
      <c r="G186" s="37"/>
      <c r="H186" s="201">
        <v>4.5</v>
      </c>
      <c r="I186" s="193">
        <v>530000</v>
      </c>
      <c r="J186" s="193">
        <v>0</v>
      </c>
      <c r="K186" s="193">
        <v>0</v>
      </c>
      <c r="L186" s="193">
        <v>9210</v>
      </c>
      <c r="M186" s="193">
        <v>12100</v>
      </c>
      <c r="N186" s="193">
        <f>SUM(I186:M187)</f>
        <v>551310</v>
      </c>
      <c r="O186" s="191"/>
      <c r="P186" s="147" t="s">
        <v>4700</v>
      </c>
      <c r="Q186" s="29" t="s">
        <v>82</v>
      </c>
      <c r="R186" s="81"/>
      <c r="S186" s="48"/>
      <c r="T186" s="50" t="s">
        <v>4701</v>
      </c>
      <c r="U186" s="30"/>
      <c r="V186" s="58">
        <v>45959</v>
      </c>
      <c r="W186" s="52">
        <v>990</v>
      </c>
      <c r="X186" s="193">
        <v>550000</v>
      </c>
      <c r="Y186" s="193">
        <f>X186*0.1</f>
        <v>55000</v>
      </c>
      <c r="Z186" s="193">
        <v>9210</v>
      </c>
      <c r="AA186" s="193">
        <f>SUM(X186:Z186)</f>
        <v>614210</v>
      </c>
      <c r="AB186" s="195">
        <v>45967</v>
      </c>
      <c r="AC186"/>
    </row>
    <row r="187" spans="1:29" ht="17.100000000000001" customHeight="1" thickBot="1">
      <c r="A187" s="198"/>
      <c r="B187" s="31" t="s">
        <v>104</v>
      </c>
      <c r="C187" s="31">
        <v>1110</v>
      </c>
      <c r="D187" s="32" t="s">
        <v>1987</v>
      </c>
      <c r="E187" s="200"/>
      <c r="F187" s="43" t="s">
        <v>4702</v>
      </c>
      <c r="G187" s="38">
        <v>26064</v>
      </c>
      <c r="H187" s="202"/>
      <c r="I187" s="194"/>
      <c r="J187" s="194"/>
      <c r="K187" s="194"/>
      <c r="L187" s="194"/>
      <c r="M187" s="194"/>
      <c r="N187" s="194"/>
      <c r="O187" s="192"/>
      <c r="P187" s="148" t="s">
        <v>4703</v>
      </c>
      <c r="Q187" s="33" t="s">
        <v>86</v>
      </c>
      <c r="R187" s="34" t="s">
        <v>4663</v>
      </c>
      <c r="S187" s="44" t="s">
        <v>3916</v>
      </c>
      <c r="T187" s="46"/>
      <c r="U187" s="35"/>
      <c r="V187" s="56" t="s">
        <v>4704</v>
      </c>
      <c r="W187" s="46">
        <v>6104</v>
      </c>
      <c r="X187" s="194"/>
      <c r="Y187" s="194"/>
      <c r="Z187" s="194"/>
      <c r="AA187" s="194"/>
      <c r="AB187" s="196"/>
      <c r="AC187"/>
    </row>
    <row r="188" spans="1:29" ht="17.100000000000001" customHeight="1" thickTop="1">
      <c r="A188" s="197" t="s">
        <v>4705</v>
      </c>
      <c r="B188" s="26">
        <v>45855</v>
      </c>
      <c r="C188" s="36">
        <v>1986</v>
      </c>
      <c r="D188" s="28" t="s">
        <v>4706</v>
      </c>
      <c r="E188" s="199"/>
      <c r="F188" s="54" t="s">
        <v>4707</v>
      </c>
      <c r="G188" s="37" t="s">
        <v>4708</v>
      </c>
      <c r="H188" s="201">
        <v>4</v>
      </c>
      <c r="I188" s="193">
        <v>180000</v>
      </c>
      <c r="J188" s="193">
        <f>I188*0.1</f>
        <v>18000</v>
      </c>
      <c r="K188" s="193">
        <v>0</v>
      </c>
      <c r="L188" s="193">
        <v>8670</v>
      </c>
      <c r="M188" s="193">
        <v>22000</v>
      </c>
      <c r="N188" s="193">
        <f>SUM(I188:M189)</f>
        <v>228670</v>
      </c>
      <c r="O188" s="191"/>
      <c r="P188" s="147" t="s">
        <v>4709</v>
      </c>
      <c r="Q188" s="29" t="s">
        <v>82</v>
      </c>
      <c r="R188" s="81"/>
      <c r="S188" s="48"/>
      <c r="T188" s="50"/>
      <c r="U188" s="30" t="s">
        <v>4710</v>
      </c>
      <c r="V188" s="58">
        <v>46102</v>
      </c>
      <c r="W188" s="52">
        <v>1293</v>
      </c>
      <c r="X188" s="193">
        <v>97000</v>
      </c>
      <c r="Y188" s="193">
        <f>X188*0.1</f>
        <v>9700</v>
      </c>
      <c r="Z188" s="193">
        <v>8670</v>
      </c>
      <c r="AA188" s="193">
        <f>SUM(X188:Z188)</f>
        <v>115370</v>
      </c>
      <c r="AB188" s="195">
        <v>46105</v>
      </c>
      <c r="AC188"/>
    </row>
    <row r="189" spans="1:29" ht="17.100000000000001" customHeight="1" thickBot="1">
      <c r="A189" s="198"/>
      <c r="B189" s="31" t="s">
        <v>2530</v>
      </c>
      <c r="C189" s="31">
        <v>50237</v>
      </c>
      <c r="D189" s="32" t="s">
        <v>158</v>
      </c>
      <c r="E189" s="200"/>
      <c r="F189" s="43" t="s">
        <v>4711</v>
      </c>
      <c r="G189" s="38">
        <v>56031</v>
      </c>
      <c r="H189" s="202"/>
      <c r="I189" s="194"/>
      <c r="J189" s="194"/>
      <c r="K189" s="194"/>
      <c r="L189" s="194"/>
      <c r="M189" s="194"/>
      <c r="N189" s="194"/>
      <c r="O189" s="192"/>
      <c r="P189" s="148" t="s">
        <v>4712</v>
      </c>
      <c r="Q189" s="33" t="s">
        <v>86</v>
      </c>
      <c r="R189" s="34" t="s">
        <v>4663</v>
      </c>
      <c r="S189" s="44" t="s">
        <v>4201</v>
      </c>
      <c r="T189" s="46" t="s">
        <v>4326</v>
      </c>
      <c r="U189" s="35"/>
      <c r="V189" s="56" t="s">
        <v>521</v>
      </c>
      <c r="W189" s="46">
        <v>90417</v>
      </c>
      <c r="X189" s="194"/>
      <c r="Y189" s="194"/>
      <c r="Z189" s="194"/>
      <c r="AA189" s="194"/>
      <c r="AB189" s="196"/>
      <c r="AC189"/>
    </row>
    <row r="190" spans="1:29" ht="17.100000000000001" customHeight="1" thickTop="1">
      <c r="A190" s="197" t="s">
        <v>4713</v>
      </c>
      <c r="B190" s="26">
        <v>45855</v>
      </c>
      <c r="C190" s="36">
        <v>1942</v>
      </c>
      <c r="D190" s="28" t="s">
        <v>4111</v>
      </c>
      <c r="E190" s="199"/>
      <c r="F190" s="54" t="s">
        <v>4714</v>
      </c>
      <c r="G190" s="37"/>
      <c r="H190" s="201">
        <v>4.5</v>
      </c>
      <c r="I190" s="193">
        <v>1151000</v>
      </c>
      <c r="J190" s="193">
        <f>I190*0.1</f>
        <v>115100</v>
      </c>
      <c r="K190" s="193">
        <v>0</v>
      </c>
      <c r="L190" s="193">
        <v>9810</v>
      </c>
      <c r="M190" s="193">
        <v>17050</v>
      </c>
      <c r="N190" s="193">
        <f>SUM(I190:M191)</f>
        <v>1292960</v>
      </c>
      <c r="O190" s="191"/>
      <c r="P190" s="147" t="s">
        <v>4715</v>
      </c>
      <c r="Q190" s="29" t="s">
        <v>82</v>
      </c>
      <c r="R190" s="81"/>
      <c r="S190" s="48"/>
      <c r="T190" s="50"/>
      <c r="U190" s="30"/>
      <c r="V190" s="58">
        <v>45934</v>
      </c>
      <c r="W190" s="52">
        <v>1270</v>
      </c>
      <c r="X190" s="193">
        <v>1200000</v>
      </c>
      <c r="Y190" s="193">
        <f>X190*0.1</f>
        <v>120000</v>
      </c>
      <c r="Z190" s="193">
        <v>9810</v>
      </c>
      <c r="AA190" s="193">
        <f>SUM(X190:Z190)</f>
        <v>1329810</v>
      </c>
      <c r="AB190" s="195">
        <v>45937</v>
      </c>
      <c r="AC190"/>
    </row>
    <row r="191" spans="1:29" ht="17.100000000000001" customHeight="1" thickBot="1">
      <c r="A191" s="198"/>
      <c r="B191" s="31" t="s">
        <v>4408</v>
      </c>
      <c r="C191" s="31">
        <v>2042</v>
      </c>
      <c r="D191" s="32" t="s">
        <v>1987</v>
      </c>
      <c r="E191" s="200"/>
      <c r="F191" s="43" t="s">
        <v>4716</v>
      </c>
      <c r="G191" s="38">
        <v>51536</v>
      </c>
      <c r="H191" s="202"/>
      <c r="I191" s="194"/>
      <c r="J191" s="194"/>
      <c r="K191" s="194"/>
      <c r="L191" s="194"/>
      <c r="M191" s="194"/>
      <c r="N191" s="194"/>
      <c r="O191" s="192"/>
      <c r="P191" s="148" t="s">
        <v>4717</v>
      </c>
      <c r="Q191" s="33" t="s">
        <v>86</v>
      </c>
      <c r="R191" s="34" t="s">
        <v>4663</v>
      </c>
      <c r="S191" s="44" t="s">
        <v>4718</v>
      </c>
      <c r="T191" s="46"/>
      <c r="U191" s="35"/>
      <c r="V191" s="56" t="s">
        <v>3800</v>
      </c>
      <c r="W191" s="46">
        <v>55105</v>
      </c>
      <c r="X191" s="194"/>
      <c r="Y191" s="194"/>
      <c r="Z191" s="194"/>
      <c r="AA191" s="194"/>
      <c r="AB191" s="196"/>
      <c r="AC191"/>
    </row>
    <row r="192" spans="1:29" ht="17.100000000000001" customHeight="1" thickTop="1">
      <c r="A192" s="197" t="s">
        <v>4719</v>
      </c>
      <c r="B192" s="26">
        <v>45856</v>
      </c>
      <c r="C192" s="36">
        <v>1378</v>
      </c>
      <c r="D192" s="28" t="s">
        <v>3096</v>
      </c>
      <c r="E192" s="199"/>
      <c r="F192" s="54" t="s">
        <v>4720</v>
      </c>
      <c r="G192" s="37" t="s">
        <v>4721</v>
      </c>
      <c r="H192" s="201">
        <v>4</v>
      </c>
      <c r="I192" s="193">
        <v>810000</v>
      </c>
      <c r="J192" s="193">
        <f>I192*0.1</f>
        <v>81000</v>
      </c>
      <c r="K192" s="193">
        <f>20300+2030</f>
        <v>22330</v>
      </c>
      <c r="L192" s="193">
        <v>8550</v>
      </c>
      <c r="M192" s="193">
        <v>13200</v>
      </c>
      <c r="N192" s="193">
        <f>SUM(I192:M193)</f>
        <v>935080</v>
      </c>
      <c r="O192" s="191"/>
      <c r="P192" s="147" t="s">
        <v>4722</v>
      </c>
      <c r="Q192" s="29" t="s">
        <v>82</v>
      </c>
      <c r="R192" s="81"/>
      <c r="S192" s="48" t="s">
        <v>2743</v>
      </c>
      <c r="T192" s="50"/>
      <c r="U192" s="30" t="s">
        <v>4723</v>
      </c>
      <c r="V192" s="58">
        <v>46074</v>
      </c>
      <c r="W192" s="52">
        <v>1289</v>
      </c>
      <c r="X192" s="193">
        <v>945000</v>
      </c>
      <c r="Y192" s="193">
        <f>X192*0.1</f>
        <v>94500</v>
      </c>
      <c r="Z192" s="193">
        <v>8550</v>
      </c>
      <c r="AA192" s="193">
        <f>SUM(X192:Z192)</f>
        <v>1048050</v>
      </c>
      <c r="AB192" s="195">
        <v>46077</v>
      </c>
      <c r="AC192"/>
    </row>
    <row r="193" spans="1:29" ht="17.100000000000001" customHeight="1" thickBot="1">
      <c r="A193" s="198"/>
      <c r="B193" s="31" t="s">
        <v>3039</v>
      </c>
      <c r="C193" s="31">
        <v>3028</v>
      </c>
      <c r="D193" s="32" t="s">
        <v>399</v>
      </c>
      <c r="E193" s="200"/>
      <c r="F193" s="43" t="s">
        <v>4724</v>
      </c>
      <c r="G193" s="38">
        <v>100900</v>
      </c>
      <c r="H193" s="202"/>
      <c r="I193" s="194"/>
      <c r="J193" s="194"/>
      <c r="K193" s="194"/>
      <c r="L193" s="194"/>
      <c r="M193" s="194"/>
      <c r="N193" s="194"/>
      <c r="O193" s="192"/>
      <c r="P193" s="148" t="s">
        <v>4725</v>
      </c>
      <c r="Q193" s="33" t="s">
        <v>86</v>
      </c>
      <c r="R193" s="34" t="s">
        <v>4663</v>
      </c>
      <c r="S193" s="44" t="s">
        <v>96</v>
      </c>
      <c r="T193" s="46"/>
      <c r="U193" s="35"/>
      <c r="V193" s="56" t="s">
        <v>521</v>
      </c>
      <c r="W193" s="46">
        <v>35678</v>
      </c>
      <c r="X193" s="194"/>
      <c r="Y193" s="194"/>
      <c r="Z193" s="194"/>
      <c r="AA193" s="194"/>
      <c r="AB193" s="196"/>
      <c r="AC193"/>
    </row>
    <row r="194" spans="1:29" ht="17.100000000000001" customHeight="1" thickTop="1">
      <c r="A194" s="197" t="s">
        <v>4726</v>
      </c>
      <c r="B194" s="26">
        <v>45856</v>
      </c>
      <c r="C194" s="36">
        <v>1378</v>
      </c>
      <c r="D194" s="28" t="s">
        <v>2507</v>
      </c>
      <c r="E194" s="199"/>
      <c r="F194" s="54" t="s">
        <v>2155</v>
      </c>
      <c r="G194" s="37"/>
      <c r="H194" s="201">
        <v>4.5</v>
      </c>
      <c r="I194" s="193">
        <v>797000</v>
      </c>
      <c r="J194" s="193">
        <f>I194*0.1</f>
        <v>79700</v>
      </c>
      <c r="K194" s="193">
        <v>0</v>
      </c>
      <c r="L194" s="193">
        <v>17700</v>
      </c>
      <c r="M194" s="193">
        <v>13200</v>
      </c>
      <c r="N194" s="193">
        <f>SUM(I194:M195)</f>
        <v>907600</v>
      </c>
      <c r="O194" s="191"/>
      <c r="P194" s="147" t="s">
        <v>4727</v>
      </c>
      <c r="Q194" s="29" t="s">
        <v>82</v>
      </c>
      <c r="R194" s="81"/>
      <c r="S194" s="48" t="s">
        <v>1596</v>
      </c>
      <c r="T194" s="50"/>
      <c r="U194" s="30"/>
      <c r="V194" s="58">
        <v>45955</v>
      </c>
      <c r="W194" s="52">
        <v>1273</v>
      </c>
      <c r="X194" s="193">
        <v>820000</v>
      </c>
      <c r="Y194" s="193">
        <f>X194*0.1</f>
        <v>82000</v>
      </c>
      <c r="Z194" s="193">
        <v>17700</v>
      </c>
      <c r="AA194" s="193">
        <f>SUM(X194:Z194)</f>
        <v>919700</v>
      </c>
      <c r="AB194" s="195">
        <v>45965</v>
      </c>
      <c r="AC194"/>
    </row>
    <row r="195" spans="1:29" ht="17.100000000000001" customHeight="1" thickBot="1">
      <c r="A195" s="198"/>
      <c r="B195" s="31" t="s">
        <v>3039</v>
      </c>
      <c r="C195" s="31">
        <v>3050</v>
      </c>
      <c r="D195" s="32" t="s">
        <v>244</v>
      </c>
      <c r="E195" s="200"/>
      <c r="F195" s="43" t="s">
        <v>4728</v>
      </c>
      <c r="G195" s="38">
        <v>55675</v>
      </c>
      <c r="H195" s="202"/>
      <c r="I195" s="194"/>
      <c r="J195" s="194"/>
      <c r="K195" s="194"/>
      <c r="L195" s="194"/>
      <c r="M195" s="194"/>
      <c r="N195" s="194"/>
      <c r="O195" s="192"/>
      <c r="P195" s="148" t="s">
        <v>2753</v>
      </c>
      <c r="Q195" s="33" t="s">
        <v>86</v>
      </c>
      <c r="R195" s="34" t="s">
        <v>4663</v>
      </c>
      <c r="S195" s="44" t="s">
        <v>4183</v>
      </c>
      <c r="T195" s="46"/>
      <c r="U195" s="35"/>
      <c r="V195" s="56" t="s">
        <v>3200</v>
      </c>
      <c r="W195" s="46">
        <v>80049</v>
      </c>
      <c r="X195" s="194"/>
      <c r="Y195" s="194"/>
      <c r="Z195" s="194"/>
      <c r="AA195" s="194"/>
      <c r="AB195" s="196"/>
      <c r="AC195"/>
    </row>
    <row r="196" spans="1:29" ht="17.100000000000001" customHeight="1" thickTop="1">
      <c r="A196" s="197" t="s">
        <v>4729</v>
      </c>
      <c r="B196" s="26">
        <v>45859</v>
      </c>
      <c r="C196" s="36">
        <v>2053</v>
      </c>
      <c r="D196" s="28" t="s">
        <v>1901</v>
      </c>
      <c r="E196" s="199"/>
      <c r="F196" s="54" t="s">
        <v>4730</v>
      </c>
      <c r="G196" s="37" t="s">
        <v>2906</v>
      </c>
      <c r="H196" s="201">
        <v>4</v>
      </c>
      <c r="I196" s="193">
        <v>528000</v>
      </c>
      <c r="J196" s="193">
        <f>I196*0.1</f>
        <v>52800</v>
      </c>
      <c r="K196" s="193">
        <f>26300+2630</f>
        <v>28930</v>
      </c>
      <c r="L196" s="193">
        <v>17700</v>
      </c>
      <c r="M196" s="193">
        <v>11000</v>
      </c>
      <c r="N196" s="193">
        <f>SUM(I196:M197)</f>
        <v>638430</v>
      </c>
      <c r="O196" s="191"/>
      <c r="P196" s="147" t="s">
        <v>4731</v>
      </c>
      <c r="Q196" s="29" t="s">
        <v>82</v>
      </c>
      <c r="R196" s="81"/>
      <c r="S196" s="48"/>
      <c r="T196" s="50"/>
      <c r="U196" s="30"/>
      <c r="V196" s="58">
        <v>45938</v>
      </c>
      <c r="W196" s="52"/>
      <c r="X196" s="193">
        <v>700000</v>
      </c>
      <c r="Y196" s="193">
        <f>X196*0.1</f>
        <v>70000</v>
      </c>
      <c r="Z196" s="193">
        <v>17700</v>
      </c>
      <c r="AA196" s="193">
        <f>SUM(X196:Z196)</f>
        <v>787700</v>
      </c>
      <c r="AB196" s="195"/>
      <c r="AC196"/>
    </row>
    <row r="197" spans="1:29" ht="17.100000000000001" customHeight="1" thickBot="1">
      <c r="A197" s="198"/>
      <c r="B197" s="31" t="s">
        <v>189</v>
      </c>
      <c r="C197" s="31">
        <v>34510</v>
      </c>
      <c r="D197" s="32" t="s">
        <v>399</v>
      </c>
      <c r="E197" s="200"/>
      <c r="F197" s="43" t="s">
        <v>4732</v>
      </c>
      <c r="G197" s="38">
        <v>89220</v>
      </c>
      <c r="H197" s="202"/>
      <c r="I197" s="194"/>
      <c r="J197" s="194"/>
      <c r="K197" s="194"/>
      <c r="L197" s="194"/>
      <c r="M197" s="194"/>
      <c r="N197" s="194"/>
      <c r="O197" s="192"/>
      <c r="P197" s="148" t="s">
        <v>4733</v>
      </c>
      <c r="Q197" s="33" t="s">
        <v>86</v>
      </c>
      <c r="R197" s="34" t="s">
        <v>4734</v>
      </c>
      <c r="S197" s="44" t="s">
        <v>287</v>
      </c>
      <c r="T197" s="46"/>
      <c r="U197" s="35"/>
      <c r="V197" s="56" t="s">
        <v>2307</v>
      </c>
      <c r="W197" s="46">
        <v>36749</v>
      </c>
      <c r="X197" s="194"/>
      <c r="Y197" s="194"/>
      <c r="Z197" s="194"/>
      <c r="AA197" s="194"/>
      <c r="AB197" s="196"/>
      <c r="AC197"/>
    </row>
    <row r="198" spans="1:29" ht="17.100000000000001" customHeight="1" thickTop="1">
      <c r="A198" s="197" t="s">
        <v>4735</v>
      </c>
      <c r="B198" s="26">
        <v>45859</v>
      </c>
      <c r="C198" s="36"/>
      <c r="D198" s="28" t="s">
        <v>1903</v>
      </c>
      <c r="E198" s="199"/>
      <c r="F198" s="54" t="s">
        <v>4736</v>
      </c>
      <c r="G198" s="37" t="s">
        <v>4737</v>
      </c>
      <c r="H198" s="201">
        <v>4.5</v>
      </c>
      <c r="I198" s="193">
        <f>1347500/1.1</f>
        <v>1225000</v>
      </c>
      <c r="J198" s="193">
        <f>I198*0.1</f>
        <v>122500</v>
      </c>
      <c r="K198" s="193">
        <v>0</v>
      </c>
      <c r="L198" s="193">
        <v>8550</v>
      </c>
      <c r="M198" s="193">
        <v>88688</v>
      </c>
      <c r="N198" s="193">
        <f>SUM(I198:M199)</f>
        <v>1444738</v>
      </c>
      <c r="O198" s="191"/>
      <c r="P198" s="147" t="s">
        <v>4738</v>
      </c>
      <c r="Q198" s="29" t="s">
        <v>82</v>
      </c>
      <c r="R198" s="81"/>
      <c r="S198" s="48" t="s">
        <v>1500</v>
      </c>
      <c r="T198" s="50"/>
      <c r="U198" s="30"/>
      <c r="V198" s="58">
        <v>45958</v>
      </c>
      <c r="W198" s="52">
        <v>1915</v>
      </c>
      <c r="X198" s="193">
        <v>1358000</v>
      </c>
      <c r="Y198" s="193">
        <f>X198*0.1</f>
        <v>135800</v>
      </c>
      <c r="Z198" s="193">
        <v>8550</v>
      </c>
      <c r="AA198" s="193">
        <f>SUM(X198:Z198)</f>
        <v>1502350</v>
      </c>
      <c r="AB198" s="195">
        <v>45965</v>
      </c>
      <c r="AC198"/>
    </row>
    <row r="199" spans="1:29" ht="17.100000000000001" customHeight="1" thickBot="1">
      <c r="A199" s="198"/>
      <c r="B199" s="31" t="s">
        <v>1985</v>
      </c>
      <c r="C199" s="31" t="s">
        <v>4739</v>
      </c>
      <c r="D199" s="32" t="s">
        <v>399</v>
      </c>
      <c r="E199" s="200"/>
      <c r="F199" s="43" t="s">
        <v>4740</v>
      </c>
      <c r="G199" s="38">
        <v>51109</v>
      </c>
      <c r="H199" s="202"/>
      <c r="I199" s="194"/>
      <c r="J199" s="194"/>
      <c r="K199" s="194"/>
      <c r="L199" s="194"/>
      <c r="M199" s="194"/>
      <c r="N199" s="194"/>
      <c r="O199" s="192"/>
      <c r="P199" s="148" t="s">
        <v>4741</v>
      </c>
      <c r="Q199" s="33" t="s">
        <v>86</v>
      </c>
      <c r="R199" s="34" t="s">
        <v>4742</v>
      </c>
      <c r="S199" s="44" t="s">
        <v>1872</v>
      </c>
      <c r="T199" s="46"/>
      <c r="U199" s="35"/>
      <c r="V199" s="56" t="s">
        <v>2450</v>
      </c>
      <c r="W199" s="46">
        <v>3261</v>
      </c>
      <c r="X199" s="194"/>
      <c r="Y199" s="194"/>
      <c r="Z199" s="194"/>
      <c r="AA199" s="194"/>
      <c r="AB199" s="196"/>
      <c r="AC199"/>
    </row>
    <row r="200" spans="1:29" ht="17.100000000000001" customHeight="1" thickTop="1">
      <c r="A200" s="197" t="s">
        <v>4743</v>
      </c>
      <c r="B200" s="26">
        <v>45859</v>
      </c>
      <c r="C200" s="36"/>
      <c r="D200" s="28" t="s">
        <v>2315</v>
      </c>
      <c r="E200" s="199"/>
      <c r="F200" s="54" t="s">
        <v>4744</v>
      </c>
      <c r="G200" s="37" t="s">
        <v>4745</v>
      </c>
      <c r="H200" s="201">
        <v>4</v>
      </c>
      <c r="I200" s="193">
        <f>1424500/1.1</f>
        <v>1295000</v>
      </c>
      <c r="J200" s="193">
        <f>I200*0.1</f>
        <v>129500</v>
      </c>
      <c r="K200" s="193">
        <v>0</v>
      </c>
      <c r="L200" s="193">
        <v>8570</v>
      </c>
      <c r="M200" s="193">
        <v>90613</v>
      </c>
      <c r="N200" s="193">
        <f>SUM(I200:M201)</f>
        <v>1523683</v>
      </c>
      <c r="O200" s="191"/>
      <c r="P200" s="147" t="s">
        <v>4746</v>
      </c>
      <c r="Q200" s="29" t="s">
        <v>82</v>
      </c>
      <c r="R200" s="81"/>
      <c r="S200" s="48" t="s">
        <v>1500</v>
      </c>
      <c r="T200" s="50"/>
      <c r="U200" s="30" t="s">
        <v>4747</v>
      </c>
      <c r="V200" s="58">
        <v>45934</v>
      </c>
      <c r="W200" s="52">
        <v>1270</v>
      </c>
      <c r="X200" s="193">
        <v>1310000</v>
      </c>
      <c r="Y200" s="193">
        <f>X200*0.1</f>
        <v>131000</v>
      </c>
      <c r="Z200" s="193">
        <v>8570</v>
      </c>
      <c r="AA200" s="193">
        <f>SUM(X200:Z200)</f>
        <v>1449570</v>
      </c>
      <c r="AB200" s="195">
        <v>45939</v>
      </c>
      <c r="AC200"/>
    </row>
    <row r="201" spans="1:29" ht="17.100000000000001" customHeight="1" thickBot="1">
      <c r="A201" s="198"/>
      <c r="B201" s="31" t="s">
        <v>1985</v>
      </c>
      <c r="C201" s="31" t="s">
        <v>4748</v>
      </c>
      <c r="D201" s="32" t="s">
        <v>399</v>
      </c>
      <c r="E201" s="200"/>
      <c r="F201" s="43" t="s">
        <v>4749</v>
      </c>
      <c r="G201" s="38">
        <v>6257</v>
      </c>
      <c r="H201" s="202"/>
      <c r="I201" s="194"/>
      <c r="J201" s="194"/>
      <c r="K201" s="194"/>
      <c r="L201" s="194"/>
      <c r="M201" s="194"/>
      <c r="N201" s="194"/>
      <c r="O201" s="192"/>
      <c r="P201" s="148" t="s">
        <v>4750</v>
      </c>
      <c r="Q201" s="33" t="s">
        <v>86</v>
      </c>
      <c r="R201" s="34" t="s">
        <v>3427</v>
      </c>
      <c r="S201" s="44" t="s">
        <v>2697</v>
      </c>
      <c r="T201" s="46"/>
      <c r="U201" s="35"/>
      <c r="V201" s="56" t="s">
        <v>3800</v>
      </c>
      <c r="W201" s="46">
        <v>60259</v>
      </c>
      <c r="X201" s="194"/>
      <c r="Y201" s="194"/>
      <c r="Z201" s="194"/>
      <c r="AA201" s="194"/>
      <c r="AB201" s="196"/>
      <c r="AC201"/>
    </row>
    <row r="202" spans="1:29" ht="17.100000000000001" customHeight="1" thickTop="1">
      <c r="A202" s="197" t="s">
        <v>4751</v>
      </c>
      <c r="B202" s="26">
        <v>45860</v>
      </c>
      <c r="C202" s="36">
        <v>900</v>
      </c>
      <c r="D202" s="28" t="s">
        <v>106</v>
      </c>
      <c r="E202" s="199"/>
      <c r="F202" s="54" t="s">
        <v>4485</v>
      </c>
      <c r="G202" s="37" t="s">
        <v>3295</v>
      </c>
      <c r="H202" s="201">
        <v>4</v>
      </c>
      <c r="I202" s="193">
        <v>358000</v>
      </c>
      <c r="J202" s="193">
        <f>I202*0.1</f>
        <v>35800</v>
      </c>
      <c r="K202" s="193">
        <v>0</v>
      </c>
      <c r="L202" s="193">
        <v>9070</v>
      </c>
      <c r="M202" s="193">
        <v>15950</v>
      </c>
      <c r="N202" s="193">
        <f>SUM(I202:M203)</f>
        <v>418820</v>
      </c>
      <c r="O202" s="191"/>
      <c r="P202" s="147" t="s">
        <v>4752</v>
      </c>
      <c r="Q202" s="29" t="s">
        <v>82</v>
      </c>
      <c r="R202" s="81"/>
      <c r="S202" s="48"/>
      <c r="T202" s="50"/>
      <c r="U202" s="30" t="s">
        <v>4753</v>
      </c>
      <c r="V202" s="58">
        <v>45948</v>
      </c>
      <c r="W202" s="52">
        <v>1272</v>
      </c>
      <c r="X202" s="193">
        <v>365000</v>
      </c>
      <c r="Y202" s="193">
        <f>X202*0.1</f>
        <v>36500</v>
      </c>
      <c r="Z202" s="193">
        <v>9070</v>
      </c>
      <c r="AA202" s="193">
        <f>SUM(X202:Z202)</f>
        <v>410570</v>
      </c>
      <c r="AB202" s="195">
        <v>45951</v>
      </c>
      <c r="AC202"/>
    </row>
    <row r="203" spans="1:29" ht="17.100000000000001" customHeight="1" thickBot="1">
      <c r="A203" s="198"/>
      <c r="B203" s="31" t="s">
        <v>107</v>
      </c>
      <c r="C203" s="31">
        <v>3026</v>
      </c>
      <c r="D203" s="32" t="s">
        <v>4487</v>
      </c>
      <c r="E203" s="200"/>
      <c r="F203" s="43" t="s">
        <v>4754</v>
      </c>
      <c r="G203" s="38">
        <v>48080</v>
      </c>
      <c r="H203" s="202"/>
      <c r="I203" s="194"/>
      <c r="J203" s="194"/>
      <c r="K203" s="194"/>
      <c r="L203" s="194"/>
      <c r="M203" s="194"/>
      <c r="N203" s="194"/>
      <c r="O203" s="192"/>
      <c r="P203" s="148" t="s">
        <v>4755</v>
      </c>
      <c r="Q203" s="33" t="s">
        <v>86</v>
      </c>
      <c r="R203" s="34" t="s">
        <v>2391</v>
      </c>
      <c r="S203" s="44" t="s">
        <v>2785</v>
      </c>
      <c r="T203" s="46" t="s">
        <v>4326</v>
      </c>
      <c r="U203" s="35"/>
      <c r="V203" s="56" t="s">
        <v>521</v>
      </c>
      <c r="W203" s="46">
        <v>60091</v>
      </c>
      <c r="X203" s="194"/>
      <c r="Y203" s="194"/>
      <c r="Z203" s="194"/>
      <c r="AA203" s="194"/>
      <c r="AB203" s="196"/>
      <c r="AC203"/>
    </row>
    <row r="204" spans="1:29" ht="17.100000000000001" customHeight="1" thickTop="1">
      <c r="A204" s="197" t="s">
        <v>4756</v>
      </c>
      <c r="B204" s="26">
        <v>45860</v>
      </c>
      <c r="C204" s="36">
        <v>1015</v>
      </c>
      <c r="D204" s="28" t="s">
        <v>3841</v>
      </c>
      <c r="E204" s="199"/>
      <c r="F204" s="54" t="s">
        <v>4757</v>
      </c>
      <c r="G204" s="37"/>
      <c r="H204" s="201">
        <v>4.5</v>
      </c>
      <c r="I204" s="193">
        <v>850000</v>
      </c>
      <c r="J204" s="193">
        <f>I204*0.1</f>
        <v>85000</v>
      </c>
      <c r="K204" s="193">
        <v>0</v>
      </c>
      <c r="L204" s="193">
        <v>16240</v>
      </c>
      <c r="M204" s="193">
        <v>18150</v>
      </c>
      <c r="N204" s="193">
        <f>SUM(I204:M205)</f>
        <v>969390</v>
      </c>
      <c r="O204" s="191"/>
      <c r="P204" s="147" t="s">
        <v>4758</v>
      </c>
      <c r="Q204" s="29" t="s">
        <v>82</v>
      </c>
      <c r="R204" s="81"/>
      <c r="S204" s="48" t="s">
        <v>4759</v>
      </c>
      <c r="T204" s="50"/>
      <c r="U204" s="30"/>
      <c r="V204" s="58">
        <v>45945</v>
      </c>
      <c r="W204" s="52">
        <v>988</v>
      </c>
      <c r="X204" s="193">
        <v>950000</v>
      </c>
      <c r="Y204" s="193">
        <f>X204*0.1</f>
        <v>95000</v>
      </c>
      <c r="Z204" s="193">
        <v>16240</v>
      </c>
      <c r="AA204" s="193">
        <f>SUM(X204:Z204)</f>
        <v>1061240</v>
      </c>
      <c r="AB204" s="195">
        <v>45950</v>
      </c>
      <c r="AC204"/>
    </row>
    <row r="205" spans="1:29" ht="17.100000000000001" customHeight="1" thickBot="1">
      <c r="A205" s="198"/>
      <c r="B205" s="31" t="s">
        <v>4760</v>
      </c>
      <c r="C205" s="31">
        <v>30134</v>
      </c>
      <c r="D205" s="32" t="s">
        <v>1097</v>
      </c>
      <c r="E205" s="200"/>
      <c r="F205" s="43" t="s">
        <v>4761</v>
      </c>
      <c r="G205" s="38">
        <v>37217</v>
      </c>
      <c r="H205" s="202"/>
      <c r="I205" s="194"/>
      <c r="J205" s="194"/>
      <c r="K205" s="194"/>
      <c r="L205" s="194"/>
      <c r="M205" s="194"/>
      <c r="N205" s="194"/>
      <c r="O205" s="192"/>
      <c r="P205" s="148" t="s">
        <v>3367</v>
      </c>
      <c r="Q205" s="33" t="s">
        <v>86</v>
      </c>
      <c r="R205" s="34" t="s">
        <v>2892</v>
      </c>
      <c r="S205" s="44" t="s">
        <v>1872</v>
      </c>
      <c r="T205" s="46"/>
      <c r="U205" s="35"/>
      <c r="V205" s="56" t="s">
        <v>104</v>
      </c>
      <c r="W205" s="46">
        <v>6028</v>
      </c>
      <c r="X205" s="194"/>
      <c r="Y205" s="194"/>
      <c r="Z205" s="194"/>
      <c r="AA205" s="194"/>
      <c r="AB205" s="196"/>
      <c r="AC205"/>
    </row>
    <row r="206" spans="1:29" ht="17.100000000000001" customHeight="1" thickTop="1">
      <c r="A206" s="197" t="s">
        <v>4762</v>
      </c>
      <c r="B206" s="26">
        <v>45860</v>
      </c>
      <c r="C206" s="36">
        <v>950</v>
      </c>
      <c r="D206" s="28" t="s">
        <v>2828</v>
      </c>
      <c r="E206" s="199"/>
      <c r="F206" s="54" t="s">
        <v>4763</v>
      </c>
      <c r="G206" s="37"/>
      <c r="H206" s="201">
        <v>4</v>
      </c>
      <c r="I206" s="193">
        <v>628000</v>
      </c>
      <c r="J206" s="193">
        <v>0</v>
      </c>
      <c r="K206" s="193">
        <v>0</v>
      </c>
      <c r="L206" s="193">
        <v>9200</v>
      </c>
      <c r="M206" s="193">
        <v>22000</v>
      </c>
      <c r="N206" s="193">
        <f>SUM(I206:M207)</f>
        <v>659200</v>
      </c>
      <c r="O206" s="191"/>
      <c r="P206" s="147" t="s">
        <v>4764</v>
      </c>
      <c r="Q206" s="29" t="s">
        <v>82</v>
      </c>
      <c r="R206" s="81"/>
      <c r="S206" s="48" t="s">
        <v>2362</v>
      </c>
      <c r="T206" s="50"/>
      <c r="U206" s="30"/>
      <c r="V206" s="58">
        <v>45990</v>
      </c>
      <c r="W206" s="52">
        <v>1278</v>
      </c>
      <c r="X206" s="193">
        <v>645000</v>
      </c>
      <c r="Y206" s="193">
        <f>X206*0.1</f>
        <v>64500</v>
      </c>
      <c r="Z206" s="193">
        <v>9200</v>
      </c>
      <c r="AA206" s="193">
        <f>SUM(X206:Z206)</f>
        <v>718700</v>
      </c>
      <c r="AB206" s="195">
        <v>45994</v>
      </c>
      <c r="AC206"/>
    </row>
    <row r="207" spans="1:29" ht="17.100000000000001" customHeight="1" thickBot="1">
      <c r="A207" s="198"/>
      <c r="B207" s="31" t="s">
        <v>2363</v>
      </c>
      <c r="C207" s="31">
        <v>298</v>
      </c>
      <c r="D207" s="32" t="s">
        <v>1987</v>
      </c>
      <c r="E207" s="200"/>
      <c r="F207" s="43" t="s">
        <v>4765</v>
      </c>
      <c r="G207" s="38">
        <v>43075</v>
      </c>
      <c r="H207" s="202"/>
      <c r="I207" s="194"/>
      <c r="J207" s="194"/>
      <c r="K207" s="194"/>
      <c r="L207" s="194"/>
      <c r="M207" s="194"/>
      <c r="N207" s="194"/>
      <c r="O207" s="192"/>
      <c r="P207" s="148" t="s">
        <v>2365</v>
      </c>
      <c r="Q207" s="33" t="s">
        <v>86</v>
      </c>
      <c r="R207" s="34" t="s">
        <v>3932</v>
      </c>
      <c r="S207" s="44" t="s">
        <v>4766</v>
      </c>
      <c r="T207" s="46"/>
      <c r="U207" s="35"/>
      <c r="V207" s="56" t="s">
        <v>521</v>
      </c>
      <c r="W207" s="46">
        <v>60201</v>
      </c>
      <c r="X207" s="194"/>
      <c r="Y207" s="194"/>
      <c r="Z207" s="194"/>
      <c r="AA207" s="194"/>
      <c r="AB207" s="196"/>
      <c r="AC207"/>
    </row>
    <row r="208" spans="1:29" ht="17.100000000000001" customHeight="1" thickTop="1">
      <c r="A208" s="197" t="s">
        <v>4767</v>
      </c>
      <c r="B208" s="26">
        <v>45861</v>
      </c>
      <c r="C208" s="36">
        <v>1798</v>
      </c>
      <c r="D208" s="28" t="s">
        <v>2229</v>
      </c>
      <c r="E208" s="199"/>
      <c r="F208" s="54" t="s">
        <v>4687</v>
      </c>
      <c r="G208" s="37"/>
      <c r="H208" s="201">
        <v>4.5</v>
      </c>
      <c r="I208" s="193">
        <v>652000</v>
      </c>
      <c r="J208" s="193">
        <f>I208*0.1</f>
        <v>65200</v>
      </c>
      <c r="K208" s="193">
        <v>0</v>
      </c>
      <c r="L208" s="193">
        <v>9790</v>
      </c>
      <c r="M208" s="193">
        <v>18150</v>
      </c>
      <c r="N208" s="193">
        <f>SUM(I208:M209)</f>
        <v>745140</v>
      </c>
      <c r="O208" s="191"/>
      <c r="P208" s="147" t="s">
        <v>4768</v>
      </c>
      <c r="Q208" s="29" t="s">
        <v>82</v>
      </c>
      <c r="R208" s="81"/>
      <c r="S208" s="48" t="s">
        <v>4769</v>
      </c>
      <c r="T208" s="50"/>
      <c r="U208" s="30"/>
      <c r="V208" s="58">
        <v>45952</v>
      </c>
      <c r="W208" s="52">
        <v>989</v>
      </c>
      <c r="X208" s="193">
        <v>710000</v>
      </c>
      <c r="Y208" s="193">
        <f>X208*0.1</f>
        <v>71000</v>
      </c>
      <c r="Z208" s="193">
        <v>9790</v>
      </c>
      <c r="AA208" s="193">
        <f>SUM(X208:Z208)</f>
        <v>790790</v>
      </c>
      <c r="AB208" s="195">
        <v>45957</v>
      </c>
      <c r="AC208"/>
    </row>
    <row r="209" spans="1:29" ht="17.100000000000001" customHeight="1" thickBot="1">
      <c r="A209" s="198"/>
      <c r="B209" s="31" t="s">
        <v>2945</v>
      </c>
      <c r="C209" s="31">
        <v>3283</v>
      </c>
      <c r="D209" s="32" t="s">
        <v>4689</v>
      </c>
      <c r="E209" s="200"/>
      <c r="F209" s="43" t="s">
        <v>4770</v>
      </c>
      <c r="G209" s="38">
        <v>70350</v>
      </c>
      <c r="H209" s="202"/>
      <c r="I209" s="194"/>
      <c r="J209" s="194"/>
      <c r="K209" s="194"/>
      <c r="L209" s="194"/>
      <c r="M209" s="194"/>
      <c r="N209" s="194"/>
      <c r="O209" s="192"/>
      <c r="P209" s="148" t="s">
        <v>4771</v>
      </c>
      <c r="Q209" s="33" t="s">
        <v>86</v>
      </c>
      <c r="R209" s="34" t="s">
        <v>4734</v>
      </c>
      <c r="S209" s="44" t="s">
        <v>4772</v>
      </c>
      <c r="T209" s="46"/>
      <c r="U209" s="35"/>
      <c r="V209" s="56" t="s">
        <v>104</v>
      </c>
      <c r="W209" s="46">
        <v>2007</v>
      </c>
      <c r="X209" s="194"/>
      <c r="Y209" s="194"/>
      <c r="Z209" s="194"/>
      <c r="AA209" s="194"/>
      <c r="AB209" s="196"/>
      <c r="AC209"/>
    </row>
    <row r="210" spans="1:29" ht="17.100000000000001" customHeight="1" thickTop="1">
      <c r="A210" s="197" t="s">
        <v>4778</v>
      </c>
      <c r="B210" s="26">
        <v>45866</v>
      </c>
      <c r="C210" s="36">
        <v>1172</v>
      </c>
      <c r="D210" s="28" t="s">
        <v>2828</v>
      </c>
      <c r="E210" s="199"/>
      <c r="F210" s="54" t="s">
        <v>2155</v>
      </c>
      <c r="G210" s="37" t="s">
        <v>4779</v>
      </c>
      <c r="H210" s="201">
        <v>4</v>
      </c>
      <c r="I210" s="193">
        <v>865000</v>
      </c>
      <c r="J210" s="193">
        <f>I210*0.1</f>
        <v>86500</v>
      </c>
      <c r="K210" s="193">
        <f>26300+2630</f>
        <v>28930</v>
      </c>
      <c r="L210" s="193">
        <v>17700</v>
      </c>
      <c r="M210" s="193">
        <v>15950</v>
      </c>
      <c r="N210" s="193">
        <f>SUM(I210:M211)</f>
        <v>1014080</v>
      </c>
      <c r="O210" s="191"/>
      <c r="P210" s="147" t="s">
        <v>4780</v>
      </c>
      <c r="Q210" s="29" t="s">
        <v>82</v>
      </c>
      <c r="R210" s="81"/>
      <c r="S210" s="48" t="s">
        <v>940</v>
      </c>
      <c r="T210" s="50"/>
      <c r="U210" s="30" t="s">
        <v>4781</v>
      </c>
      <c r="V210" s="58">
        <v>45941</v>
      </c>
      <c r="W210" s="52">
        <v>1271</v>
      </c>
      <c r="X210" s="193">
        <v>970000</v>
      </c>
      <c r="Y210" s="193">
        <f>X210*0.1</f>
        <v>97000</v>
      </c>
      <c r="Z210" s="193">
        <v>17700</v>
      </c>
      <c r="AA210" s="193">
        <f>SUM(X210:Z210)</f>
        <v>1084700</v>
      </c>
      <c r="AB210" s="195">
        <v>45944</v>
      </c>
      <c r="AC210"/>
    </row>
    <row r="211" spans="1:29" ht="17.100000000000001" customHeight="1" thickBot="1">
      <c r="A211" s="198"/>
      <c r="B211" s="31" t="s">
        <v>4782</v>
      </c>
      <c r="C211" s="31">
        <v>10018</v>
      </c>
      <c r="D211" s="32" t="s">
        <v>1832</v>
      </c>
      <c r="E211" s="200"/>
      <c r="F211" s="43" t="s">
        <v>4783</v>
      </c>
      <c r="G211" s="38">
        <v>42949</v>
      </c>
      <c r="H211" s="202"/>
      <c r="I211" s="194"/>
      <c r="J211" s="194"/>
      <c r="K211" s="194"/>
      <c r="L211" s="194"/>
      <c r="M211" s="194"/>
      <c r="N211" s="194"/>
      <c r="O211" s="192"/>
      <c r="P211" s="148" t="s">
        <v>4784</v>
      </c>
      <c r="Q211" s="33" t="s">
        <v>86</v>
      </c>
      <c r="R211" s="34" t="s">
        <v>3299</v>
      </c>
      <c r="S211" s="44" t="s">
        <v>4785</v>
      </c>
      <c r="T211" s="46"/>
      <c r="U211" s="35"/>
      <c r="V211" s="56" t="s">
        <v>521</v>
      </c>
      <c r="W211" s="46">
        <v>80024</v>
      </c>
      <c r="X211" s="194"/>
      <c r="Y211" s="194"/>
      <c r="Z211" s="194"/>
      <c r="AA211" s="194"/>
      <c r="AB211" s="196"/>
      <c r="AC211"/>
    </row>
    <row r="212" spans="1:29" ht="17.100000000000001" customHeight="1" thickTop="1">
      <c r="A212" s="197" t="s">
        <v>4791</v>
      </c>
      <c r="B212" s="26">
        <v>45869</v>
      </c>
      <c r="C212" s="36">
        <v>1988</v>
      </c>
      <c r="D212" s="28" t="s">
        <v>4792</v>
      </c>
      <c r="E212" s="199"/>
      <c r="F212" s="54" t="s">
        <v>4793</v>
      </c>
      <c r="G212" s="37" t="s">
        <v>4794</v>
      </c>
      <c r="H212" s="201">
        <v>3.5</v>
      </c>
      <c r="I212" s="193">
        <v>562000</v>
      </c>
      <c r="J212" s="193">
        <f>I212*0.1</f>
        <v>56200</v>
      </c>
      <c r="K212" s="193">
        <v>0</v>
      </c>
      <c r="L212" s="193">
        <v>10070</v>
      </c>
      <c r="M212" s="193">
        <v>22000</v>
      </c>
      <c r="N212" s="193">
        <f>SUM(I212:M213)</f>
        <v>650270</v>
      </c>
      <c r="O212" s="191"/>
      <c r="P212" s="147" t="s">
        <v>4795</v>
      </c>
      <c r="Q212" s="29" t="s">
        <v>82</v>
      </c>
      <c r="R212" s="81"/>
      <c r="S212" s="48" t="s">
        <v>1494</v>
      </c>
      <c r="T212" s="50"/>
      <c r="U212" s="30" t="s">
        <v>4796</v>
      </c>
      <c r="V212" s="58">
        <v>45955</v>
      </c>
      <c r="W212" s="52">
        <v>1273</v>
      </c>
      <c r="X212" s="193">
        <v>585000</v>
      </c>
      <c r="Y212" s="193">
        <f>X212*0.1</f>
        <v>58500</v>
      </c>
      <c r="Z212" s="193">
        <v>10070</v>
      </c>
      <c r="AA212" s="193">
        <f>SUM(X212:Z212)</f>
        <v>653570</v>
      </c>
      <c r="AB212" s="195">
        <v>45958</v>
      </c>
      <c r="AC212"/>
    </row>
    <row r="213" spans="1:29" ht="17.100000000000001" customHeight="1" thickBot="1">
      <c r="A213" s="198"/>
      <c r="B213" s="31" t="s">
        <v>2530</v>
      </c>
      <c r="C213" s="31">
        <v>50204</v>
      </c>
      <c r="D213" s="32" t="s">
        <v>1987</v>
      </c>
      <c r="E213" s="200"/>
      <c r="F213" s="43" t="s">
        <v>4797</v>
      </c>
      <c r="G213" s="38">
        <v>50640</v>
      </c>
      <c r="H213" s="202"/>
      <c r="I213" s="194"/>
      <c r="J213" s="194"/>
      <c r="K213" s="194"/>
      <c r="L213" s="194"/>
      <c r="M213" s="194"/>
      <c r="N213" s="194"/>
      <c r="O213" s="192"/>
      <c r="P213" s="148" t="s">
        <v>3367</v>
      </c>
      <c r="Q213" s="33" t="s">
        <v>86</v>
      </c>
      <c r="R213" s="34" t="s">
        <v>2373</v>
      </c>
      <c r="S213" s="44" t="s">
        <v>96</v>
      </c>
      <c r="T213" s="46" t="s">
        <v>4326</v>
      </c>
      <c r="U213" s="35"/>
      <c r="V213" s="56" t="s">
        <v>521</v>
      </c>
      <c r="W213" s="46">
        <v>60215</v>
      </c>
      <c r="X213" s="194"/>
      <c r="Y213" s="194"/>
      <c r="Z213" s="194"/>
      <c r="AA213" s="194"/>
      <c r="AB213" s="196"/>
      <c r="AC213"/>
    </row>
    <row r="214" spans="1:29" ht="17.100000000000001" customHeight="1" thickTop="1">
      <c r="A214" s="197" t="s">
        <v>4798</v>
      </c>
      <c r="B214" s="26">
        <v>45869</v>
      </c>
      <c r="C214" s="36">
        <v>1988</v>
      </c>
      <c r="D214" s="28" t="s">
        <v>2726</v>
      </c>
      <c r="E214" s="199"/>
      <c r="F214" s="54" t="s">
        <v>4799</v>
      </c>
      <c r="G214" s="37"/>
      <c r="H214" s="201">
        <v>4</v>
      </c>
      <c r="I214" s="193">
        <v>120000</v>
      </c>
      <c r="J214" s="193">
        <f>I214*0.1</f>
        <v>12000</v>
      </c>
      <c r="K214" s="193">
        <v>0</v>
      </c>
      <c r="L214" s="193">
        <v>9880</v>
      </c>
      <c r="M214" s="193">
        <v>22000</v>
      </c>
      <c r="N214" s="193">
        <f>SUM(I214:M215)</f>
        <v>163880</v>
      </c>
      <c r="O214" s="191"/>
      <c r="P214" s="147" t="s">
        <v>4800</v>
      </c>
      <c r="Q214" s="29" t="s">
        <v>82</v>
      </c>
      <c r="R214" s="81"/>
      <c r="S214" s="48"/>
      <c r="T214" s="50"/>
      <c r="U214" s="30"/>
      <c r="V214" s="58">
        <v>46046</v>
      </c>
      <c r="W214" s="52">
        <v>1285</v>
      </c>
      <c r="X214" s="193">
        <v>110000</v>
      </c>
      <c r="Y214" s="193">
        <f>X214*0.1</f>
        <v>11000</v>
      </c>
      <c r="Z214" s="193">
        <v>9880</v>
      </c>
      <c r="AA214" s="193">
        <f>SUM(X214:Z214)</f>
        <v>130880</v>
      </c>
      <c r="AB214" s="195">
        <v>46049</v>
      </c>
      <c r="AC214"/>
    </row>
    <row r="215" spans="1:29" ht="17.100000000000001" customHeight="1" thickBot="1">
      <c r="A215" s="198"/>
      <c r="B215" s="31" t="s">
        <v>2530</v>
      </c>
      <c r="C215" s="31">
        <v>90174</v>
      </c>
      <c r="D215" s="32" t="s">
        <v>244</v>
      </c>
      <c r="E215" s="200"/>
      <c r="F215" s="43" t="s">
        <v>4801</v>
      </c>
      <c r="G215" s="38">
        <v>48374</v>
      </c>
      <c r="H215" s="202"/>
      <c r="I215" s="194"/>
      <c r="J215" s="194"/>
      <c r="K215" s="194"/>
      <c r="L215" s="194"/>
      <c r="M215" s="194"/>
      <c r="N215" s="194"/>
      <c r="O215" s="192"/>
      <c r="P215" s="148" t="s">
        <v>4802</v>
      </c>
      <c r="Q215" s="33" t="s">
        <v>86</v>
      </c>
      <c r="R215" s="34" t="s">
        <v>2373</v>
      </c>
      <c r="S215" s="44"/>
      <c r="T215" s="46"/>
      <c r="U215" s="35"/>
      <c r="V215" s="56" t="s">
        <v>521</v>
      </c>
      <c r="W215" s="46">
        <v>60092</v>
      </c>
      <c r="X215" s="194"/>
      <c r="Y215" s="194"/>
      <c r="Z215" s="194"/>
      <c r="AA215" s="194"/>
      <c r="AB215" s="196"/>
      <c r="AC215"/>
    </row>
    <row r="216" spans="1:29" ht="17.100000000000001" customHeight="1" thickTop="1">
      <c r="A216" s="197" t="s">
        <v>4803</v>
      </c>
      <c r="B216" s="26">
        <v>45869</v>
      </c>
      <c r="C216" s="36">
        <v>1527</v>
      </c>
      <c r="D216" s="28" t="s">
        <v>1791</v>
      </c>
      <c r="E216" s="199"/>
      <c r="F216" s="54" t="s">
        <v>4804</v>
      </c>
      <c r="G216" s="37" t="s">
        <v>4805</v>
      </c>
      <c r="H216" s="201">
        <v>4.5</v>
      </c>
      <c r="I216" s="193">
        <v>3400000</v>
      </c>
      <c r="J216" s="193">
        <f>I216*0.1</f>
        <v>340000</v>
      </c>
      <c r="K216" s="193">
        <f>34000+3400</f>
        <v>37400</v>
      </c>
      <c r="L216" s="193">
        <v>23490</v>
      </c>
      <c r="M216" s="193">
        <v>27500</v>
      </c>
      <c r="N216" s="193">
        <f>SUM(I216:M217)</f>
        <v>3828390</v>
      </c>
      <c r="O216" s="191"/>
      <c r="P216" s="147" t="s">
        <v>4806</v>
      </c>
      <c r="Q216" s="29" t="s">
        <v>82</v>
      </c>
      <c r="R216" s="81"/>
      <c r="S216" s="48" t="s">
        <v>1494</v>
      </c>
      <c r="T216" s="50"/>
      <c r="U216" s="30"/>
      <c r="V216" s="58">
        <v>46370</v>
      </c>
      <c r="W216" s="52"/>
      <c r="X216" s="193">
        <v>5490000</v>
      </c>
      <c r="Y216" s="193">
        <v>0</v>
      </c>
      <c r="Z216" s="193">
        <v>0</v>
      </c>
      <c r="AA216" s="193">
        <f>SUM(X216:Z216)</f>
        <v>5490000</v>
      </c>
      <c r="AB216" s="195">
        <v>46040</v>
      </c>
      <c r="AC216"/>
    </row>
    <row r="217" spans="1:29" ht="17.100000000000001" customHeight="1" thickBot="1">
      <c r="A217" s="198"/>
      <c r="B217" s="31" t="s">
        <v>1858</v>
      </c>
      <c r="C217" s="31">
        <v>75221</v>
      </c>
      <c r="D217" s="32" t="s">
        <v>1895</v>
      </c>
      <c r="E217" s="200"/>
      <c r="F217" s="43" t="s">
        <v>4807</v>
      </c>
      <c r="G217" s="38">
        <v>45685</v>
      </c>
      <c r="H217" s="202"/>
      <c r="I217" s="194"/>
      <c r="J217" s="194"/>
      <c r="K217" s="194"/>
      <c r="L217" s="194"/>
      <c r="M217" s="194"/>
      <c r="N217" s="194"/>
      <c r="O217" s="192"/>
      <c r="P217" s="148" t="s">
        <v>2295</v>
      </c>
      <c r="Q217" s="33" t="s">
        <v>86</v>
      </c>
      <c r="R217" s="34" t="s">
        <v>2373</v>
      </c>
      <c r="S217" s="44" t="s">
        <v>96</v>
      </c>
      <c r="T217" s="46"/>
      <c r="U217" s="35" t="s">
        <v>1100</v>
      </c>
      <c r="V217" s="56" t="s">
        <v>4808</v>
      </c>
      <c r="W217" s="46"/>
      <c r="X217" s="194"/>
      <c r="Y217" s="194"/>
      <c r="Z217" s="194"/>
      <c r="AA217" s="194"/>
      <c r="AB217" s="196"/>
      <c r="AC217"/>
    </row>
    <row r="218" spans="1:29" ht="17.100000000000001" customHeight="1" thickTop="1">
      <c r="A218" s="197" t="s">
        <v>4809</v>
      </c>
      <c r="B218" s="26">
        <v>45869</v>
      </c>
      <c r="C218" s="36">
        <v>1527</v>
      </c>
      <c r="D218" s="28" t="s">
        <v>4810</v>
      </c>
      <c r="E218" s="199"/>
      <c r="F218" s="54" t="s">
        <v>4811</v>
      </c>
      <c r="G218" s="37" t="s">
        <v>4812</v>
      </c>
      <c r="H218" s="201">
        <v>4.5</v>
      </c>
      <c r="I218" s="193">
        <v>2270000</v>
      </c>
      <c r="J218" s="193">
        <f>I218*0.1</f>
        <v>227000</v>
      </c>
      <c r="K218" s="193">
        <f>26300+2630</f>
        <v>28930</v>
      </c>
      <c r="L218" s="193">
        <v>21100</v>
      </c>
      <c r="M218" s="193">
        <v>16500</v>
      </c>
      <c r="N218" s="193">
        <f>SUM(I218:M219)</f>
        <v>2563530</v>
      </c>
      <c r="O218" s="191"/>
      <c r="P218" s="147" t="s">
        <v>4813</v>
      </c>
      <c r="Q218" s="29" t="s">
        <v>82</v>
      </c>
      <c r="R218" s="81"/>
      <c r="S218" s="48" t="s">
        <v>1666</v>
      </c>
      <c r="T218" s="50"/>
      <c r="U218" s="30" t="s">
        <v>4814</v>
      </c>
      <c r="V218" s="58">
        <v>45915</v>
      </c>
      <c r="W218" s="52"/>
      <c r="X218" s="193">
        <v>3590000</v>
      </c>
      <c r="Y218" s="193">
        <v>0</v>
      </c>
      <c r="Z218" s="193">
        <v>0</v>
      </c>
      <c r="AA218" s="193">
        <f>SUM(X218:Z218)</f>
        <v>3590000</v>
      </c>
      <c r="AB218" s="195">
        <v>45956</v>
      </c>
      <c r="AC218"/>
    </row>
    <row r="219" spans="1:29" ht="17.100000000000001" customHeight="1" thickBot="1">
      <c r="A219" s="198"/>
      <c r="B219" s="31" t="s">
        <v>1858</v>
      </c>
      <c r="C219" s="31">
        <v>76026</v>
      </c>
      <c r="D219" s="32" t="s">
        <v>95</v>
      </c>
      <c r="E219" s="200"/>
      <c r="F219" s="43" t="s">
        <v>4815</v>
      </c>
      <c r="G219" s="38">
        <v>13360</v>
      </c>
      <c r="H219" s="202"/>
      <c r="I219" s="194"/>
      <c r="J219" s="194"/>
      <c r="K219" s="194"/>
      <c r="L219" s="194"/>
      <c r="M219" s="194"/>
      <c r="N219" s="194"/>
      <c r="O219" s="192"/>
      <c r="P219" s="148" t="s">
        <v>4816</v>
      </c>
      <c r="Q219" s="33" t="s">
        <v>86</v>
      </c>
      <c r="R219" s="34" t="s">
        <v>2373</v>
      </c>
      <c r="S219" s="44" t="s">
        <v>1872</v>
      </c>
      <c r="T219" s="46"/>
      <c r="U219" s="35"/>
      <c r="V219" s="56" t="s">
        <v>4817</v>
      </c>
      <c r="W219" s="46"/>
      <c r="X219" s="194"/>
      <c r="Y219" s="194"/>
      <c r="Z219" s="194"/>
      <c r="AA219" s="194"/>
      <c r="AB219" s="196"/>
      <c r="AC219"/>
    </row>
    <row r="220" spans="1:29" ht="17.100000000000001" customHeight="1" thickTop="1">
      <c r="A220" s="197" t="s">
        <v>4818</v>
      </c>
      <c r="B220" s="26">
        <v>45869</v>
      </c>
      <c r="C220" s="36">
        <v>2120</v>
      </c>
      <c r="D220" s="28" t="s">
        <v>1883</v>
      </c>
      <c r="E220" s="199"/>
      <c r="F220" s="54" t="s">
        <v>4819</v>
      </c>
      <c r="G220" s="37" t="s">
        <v>4820</v>
      </c>
      <c r="H220" s="201">
        <v>4</v>
      </c>
      <c r="I220" s="193">
        <v>324000</v>
      </c>
      <c r="J220" s="193">
        <f>I220*0.1</f>
        <v>32400</v>
      </c>
      <c r="K220" s="193">
        <v>0</v>
      </c>
      <c r="L220" s="193">
        <v>7750</v>
      </c>
      <c r="M220" s="193">
        <v>13750</v>
      </c>
      <c r="N220" s="193">
        <f>SUM(I220:M221)</f>
        <v>377900</v>
      </c>
      <c r="O220" s="191"/>
      <c r="P220" s="147" t="s">
        <v>4821</v>
      </c>
      <c r="Q220" s="29" t="s">
        <v>82</v>
      </c>
      <c r="R220" s="81"/>
      <c r="S220" s="48" t="s">
        <v>4822</v>
      </c>
      <c r="T220" s="50"/>
      <c r="U220" s="30"/>
      <c r="V220" s="58">
        <v>46011</v>
      </c>
      <c r="W220" s="52">
        <v>1281</v>
      </c>
      <c r="X220" s="193">
        <v>330000</v>
      </c>
      <c r="Y220" s="193">
        <f>X220*0.1</f>
        <v>33000</v>
      </c>
      <c r="Z220" s="193">
        <v>7750</v>
      </c>
      <c r="AA220" s="193">
        <f>SUM(X220:Z220)</f>
        <v>370750</v>
      </c>
      <c r="AB220" s="195">
        <v>46014</v>
      </c>
      <c r="AC220"/>
    </row>
    <row r="221" spans="1:29" ht="17.100000000000001" customHeight="1" thickBot="1">
      <c r="A221" s="198"/>
      <c r="B221" s="31" t="s">
        <v>3790</v>
      </c>
      <c r="C221" s="31">
        <v>2133</v>
      </c>
      <c r="D221" s="32" t="s">
        <v>4487</v>
      </c>
      <c r="E221" s="200"/>
      <c r="F221" s="43" t="s">
        <v>4823</v>
      </c>
      <c r="G221" s="38">
        <v>46533</v>
      </c>
      <c r="H221" s="202"/>
      <c r="I221" s="194"/>
      <c r="J221" s="194"/>
      <c r="K221" s="194"/>
      <c r="L221" s="194"/>
      <c r="M221" s="194"/>
      <c r="N221" s="194"/>
      <c r="O221" s="192"/>
      <c r="P221" s="148" t="s">
        <v>4824</v>
      </c>
      <c r="Q221" s="33" t="s">
        <v>86</v>
      </c>
      <c r="R221" s="34" t="s">
        <v>2373</v>
      </c>
      <c r="S221" s="44" t="s">
        <v>4825</v>
      </c>
      <c r="T221" s="46"/>
      <c r="U221" s="35"/>
      <c r="V221" s="56" t="s">
        <v>521</v>
      </c>
      <c r="W221" s="46">
        <v>60196</v>
      </c>
      <c r="X221" s="194"/>
      <c r="Y221" s="194"/>
      <c r="Z221" s="194"/>
      <c r="AA221" s="194"/>
      <c r="AB221" s="196"/>
      <c r="AC221"/>
    </row>
    <row r="222" spans="1:29" ht="17.100000000000001" customHeight="1" thickTop="1">
      <c r="A222" s="197" t="s">
        <v>4826</v>
      </c>
      <c r="B222" s="26">
        <v>45869</v>
      </c>
      <c r="C222" s="36">
        <v>2120</v>
      </c>
      <c r="D222" s="28" t="s">
        <v>4827</v>
      </c>
      <c r="E222" s="199"/>
      <c r="F222" s="54" t="s">
        <v>4828</v>
      </c>
      <c r="G222" s="37"/>
      <c r="H222" s="201">
        <v>4</v>
      </c>
      <c r="I222" s="193">
        <v>1206000</v>
      </c>
      <c r="J222" s="193">
        <f>I222*0.1</f>
        <v>120600</v>
      </c>
      <c r="K222" s="193">
        <v>0</v>
      </c>
      <c r="L222" s="193">
        <v>6830</v>
      </c>
      <c r="M222" s="193">
        <v>13750</v>
      </c>
      <c r="N222" s="193">
        <f>SUM(I222:M223)</f>
        <v>1347180</v>
      </c>
      <c r="O222" s="191"/>
      <c r="P222" s="147" t="s">
        <v>4829</v>
      </c>
      <c r="Q222" s="29" t="s">
        <v>82</v>
      </c>
      <c r="R222" s="81"/>
      <c r="S222" s="48" t="s">
        <v>689</v>
      </c>
      <c r="T222" s="50"/>
      <c r="U222" s="30"/>
      <c r="V222" s="58">
        <v>45931</v>
      </c>
      <c r="W222" s="52">
        <v>986</v>
      </c>
      <c r="X222" s="193">
        <v>1280000</v>
      </c>
      <c r="Y222" s="193">
        <f>X222*0.1</f>
        <v>128000</v>
      </c>
      <c r="Z222" s="193">
        <v>6830</v>
      </c>
      <c r="AA222" s="193">
        <f>SUM(X222:Z222)</f>
        <v>1414830</v>
      </c>
      <c r="AB222" s="195">
        <v>45937</v>
      </c>
      <c r="AC222"/>
    </row>
    <row r="223" spans="1:29" ht="17.100000000000001" customHeight="1" thickBot="1">
      <c r="A223" s="198"/>
      <c r="B223" s="31" t="s">
        <v>3790</v>
      </c>
      <c r="C223" s="31">
        <v>2553</v>
      </c>
      <c r="D223" s="32" t="s">
        <v>4487</v>
      </c>
      <c r="E223" s="200"/>
      <c r="F223" s="43" t="s">
        <v>4830</v>
      </c>
      <c r="G223" s="38">
        <v>37773</v>
      </c>
      <c r="H223" s="202"/>
      <c r="I223" s="194"/>
      <c r="J223" s="194"/>
      <c r="K223" s="194"/>
      <c r="L223" s="194"/>
      <c r="M223" s="194"/>
      <c r="N223" s="194"/>
      <c r="O223" s="192"/>
      <c r="P223" s="148" t="s">
        <v>2807</v>
      </c>
      <c r="Q223" s="33" t="s">
        <v>86</v>
      </c>
      <c r="R223" s="34" t="s">
        <v>2373</v>
      </c>
      <c r="S223" s="44" t="s">
        <v>4831</v>
      </c>
      <c r="T223" s="46"/>
      <c r="U223" s="35"/>
      <c r="V223" s="56" t="s">
        <v>104</v>
      </c>
      <c r="W223" s="46">
        <v>2026</v>
      </c>
      <c r="X223" s="194"/>
      <c r="Y223" s="194"/>
      <c r="Z223" s="194"/>
      <c r="AA223" s="194"/>
      <c r="AB223" s="196"/>
      <c r="AC223"/>
    </row>
    <row r="224" spans="1:29" ht="17.100000000000001" customHeight="1" thickTop="1">
      <c r="A224" s="197" t="s">
        <v>4832</v>
      </c>
      <c r="B224" s="26">
        <v>45869</v>
      </c>
      <c r="C224" s="36">
        <v>2120</v>
      </c>
      <c r="D224" s="28" t="s">
        <v>3363</v>
      </c>
      <c r="E224" s="199"/>
      <c r="F224" s="54" t="s">
        <v>4833</v>
      </c>
      <c r="G224" s="37"/>
      <c r="H224" s="201">
        <v>4</v>
      </c>
      <c r="I224" s="193">
        <v>1132000</v>
      </c>
      <c r="J224" s="193">
        <f>I224*0.1</f>
        <v>113200</v>
      </c>
      <c r="K224" s="193">
        <v>0</v>
      </c>
      <c r="L224" s="193">
        <v>8110</v>
      </c>
      <c r="M224" s="193">
        <v>13750</v>
      </c>
      <c r="N224" s="193">
        <f>SUM(I224:M225)</f>
        <v>1267060</v>
      </c>
      <c r="O224" s="191"/>
      <c r="P224" s="147" t="s">
        <v>4834</v>
      </c>
      <c r="Q224" s="29" t="s">
        <v>82</v>
      </c>
      <c r="R224" s="81"/>
      <c r="S224" s="48"/>
      <c r="T224" s="50"/>
      <c r="U224" s="30"/>
      <c r="V224" s="58">
        <v>45938</v>
      </c>
      <c r="W224" s="52">
        <v>987</v>
      </c>
      <c r="X224" s="193">
        <v>1210000</v>
      </c>
      <c r="Y224" s="193">
        <f>X224*0.1</f>
        <v>121000</v>
      </c>
      <c r="Z224" s="193">
        <v>8110</v>
      </c>
      <c r="AA224" s="193">
        <f>SUM(X224:Z224)</f>
        <v>1339110</v>
      </c>
      <c r="AB224" s="195">
        <v>45944</v>
      </c>
      <c r="AC224"/>
    </row>
    <row r="225" spans="1:29" ht="17.100000000000001" customHeight="1" thickBot="1">
      <c r="A225" s="198"/>
      <c r="B225" s="31" t="s">
        <v>3790</v>
      </c>
      <c r="C225" s="31">
        <v>2579</v>
      </c>
      <c r="D225" s="32" t="s">
        <v>95</v>
      </c>
      <c r="E225" s="200"/>
      <c r="F225" s="43" t="s">
        <v>4835</v>
      </c>
      <c r="G225" s="38">
        <v>31930</v>
      </c>
      <c r="H225" s="202"/>
      <c r="I225" s="194"/>
      <c r="J225" s="194"/>
      <c r="K225" s="194"/>
      <c r="L225" s="194"/>
      <c r="M225" s="194"/>
      <c r="N225" s="194"/>
      <c r="O225" s="192"/>
      <c r="P225" s="148" t="s">
        <v>2807</v>
      </c>
      <c r="Q225" s="33" t="s">
        <v>86</v>
      </c>
      <c r="R225" s="34" t="s">
        <v>2373</v>
      </c>
      <c r="S225" s="44" t="s">
        <v>4836</v>
      </c>
      <c r="T225" s="46"/>
      <c r="U225" s="35"/>
      <c r="V225" s="56" t="s">
        <v>104</v>
      </c>
      <c r="W225" s="46">
        <v>2016</v>
      </c>
      <c r="X225" s="194"/>
      <c r="Y225" s="194"/>
      <c r="Z225" s="194"/>
      <c r="AA225" s="194"/>
      <c r="AB225" s="196"/>
      <c r="AC225"/>
    </row>
    <row r="226" spans="1:29" ht="17.100000000000001" customHeight="1" thickTop="1">
      <c r="A226" s="197" t="s">
        <v>4837</v>
      </c>
      <c r="B226" s="26">
        <v>45870</v>
      </c>
      <c r="C226" s="36"/>
      <c r="D226" s="28" t="s">
        <v>2669</v>
      </c>
      <c r="E226" s="199"/>
      <c r="F226" s="54" t="s">
        <v>4838</v>
      </c>
      <c r="G226" s="37" t="s">
        <v>4839</v>
      </c>
      <c r="H226" s="205" t="s">
        <v>1981</v>
      </c>
      <c r="I226" s="193">
        <f>594000/1.1</f>
        <v>540000</v>
      </c>
      <c r="J226" s="193">
        <f>I226*0.1</f>
        <v>54000</v>
      </c>
      <c r="K226" s="193">
        <v>0</v>
      </c>
      <c r="L226" s="193">
        <v>8110</v>
      </c>
      <c r="M226" s="193">
        <v>57317</v>
      </c>
      <c r="N226" s="193">
        <f>SUM(I226:M227)</f>
        <v>659427</v>
      </c>
      <c r="O226" s="191"/>
      <c r="P226" s="147" t="s">
        <v>4840</v>
      </c>
      <c r="Q226" s="29" t="s">
        <v>82</v>
      </c>
      <c r="R226" s="81"/>
      <c r="S226" s="48" t="s">
        <v>2362</v>
      </c>
      <c r="T226" s="50"/>
      <c r="U226" s="30" t="s">
        <v>4841</v>
      </c>
      <c r="V226" s="58">
        <v>45997</v>
      </c>
      <c r="W226" s="52">
        <v>1279</v>
      </c>
      <c r="X226" s="193">
        <v>550000</v>
      </c>
      <c r="Y226" s="193">
        <f>X226*0.1</f>
        <v>55000</v>
      </c>
      <c r="Z226" s="193">
        <v>8110</v>
      </c>
      <c r="AA226" s="193">
        <f>SUM(X226:Z226)</f>
        <v>613110</v>
      </c>
      <c r="AB226" s="195">
        <v>46000</v>
      </c>
      <c r="AC226"/>
    </row>
    <row r="227" spans="1:29" ht="17.100000000000001" customHeight="1" thickBot="1">
      <c r="A227" s="198"/>
      <c r="B227" s="31" t="s">
        <v>1985</v>
      </c>
      <c r="C227" s="31" t="s">
        <v>4842</v>
      </c>
      <c r="D227" s="32" t="s">
        <v>4487</v>
      </c>
      <c r="E227" s="200"/>
      <c r="F227" s="43" t="s">
        <v>4843</v>
      </c>
      <c r="G227" s="38">
        <v>57994</v>
      </c>
      <c r="H227" s="202"/>
      <c r="I227" s="194"/>
      <c r="J227" s="194"/>
      <c r="K227" s="194"/>
      <c r="L227" s="194"/>
      <c r="M227" s="194"/>
      <c r="N227" s="194"/>
      <c r="O227" s="192"/>
      <c r="P227" s="148" t="s">
        <v>4844</v>
      </c>
      <c r="Q227" s="33" t="s">
        <v>86</v>
      </c>
      <c r="R227" s="34" t="s">
        <v>2428</v>
      </c>
      <c r="S227" s="44" t="s">
        <v>4522</v>
      </c>
      <c r="T227" s="46"/>
      <c r="U227" s="35"/>
      <c r="V227" s="56" t="s">
        <v>521</v>
      </c>
      <c r="W227" s="46">
        <v>60232</v>
      </c>
      <c r="X227" s="194"/>
      <c r="Y227" s="194"/>
      <c r="Z227" s="194"/>
      <c r="AA227" s="194"/>
      <c r="AB227" s="196"/>
      <c r="AC227"/>
    </row>
    <row r="228" spans="1:29" ht="17.100000000000001" customHeight="1" thickTop="1">
      <c r="A228" s="197" t="s">
        <v>4845</v>
      </c>
      <c r="B228" s="26">
        <v>45870</v>
      </c>
      <c r="C228" s="36"/>
      <c r="D228" s="28" t="s">
        <v>2836</v>
      </c>
      <c r="E228" s="199"/>
      <c r="F228" s="54" t="s">
        <v>4846</v>
      </c>
      <c r="G228" s="37" t="s">
        <v>4847</v>
      </c>
      <c r="H228" s="201">
        <v>4.5</v>
      </c>
      <c r="I228" s="193">
        <f>2634500/1.1</f>
        <v>2395000</v>
      </c>
      <c r="J228" s="193">
        <f>I228*0.1</f>
        <v>239500</v>
      </c>
      <c r="K228" s="193">
        <v>22500</v>
      </c>
      <c r="L228" s="193">
        <v>16550</v>
      </c>
      <c r="M228" s="193">
        <v>120863</v>
      </c>
      <c r="N228" s="193">
        <f>SUM(I228:M229)</f>
        <v>2794413</v>
      </c>
      <c r="O228" s="191"/>
      <c r="P228" s="147" t="s">
        <v>4848</v>
      </c>
      <c r="Q228" s="29" t="s">
        <v>82</v>
      </c>
      <c r="R228" s="81"/>
      <c r="S228" s="48" t="s">
        <v>1596</v>
      </c>
      <c r="T228" s="50"/>
      <c r="U228" s="30"/>
      <c r="V228" s="58">
        <v>45934</v>
      </c>
      <c r="W228" s="52">
        <v>1270</v>
      </c>
      <c r="X228" s="193">
        <v>2660000</v>
      </c>
      <c r="Y228" s="193">
        <f>X228*0.1</f>
        <v>266000</v>
      </c>
      <c r="Z228" s="193">
        <v>16550</v>
      </c>
      <c r="AA228" s="193">
        <f>SUM(X228:Z228)</f>
        <v>2942550</v>
      </c>
      <c r="AB228" s="195">
        <v>45937</v>
      </c>
      <c r="AC228"/>
    </row>
    <row r="229" spans="1:29" ht="17.100000000000001" customHeight="1" thickBot="1">
      <c r="A229" s="198"/>
      <c r="B229" s="31" t="s">
        <v>1985</v>
      </c>
      <c r="C229" s="31" t="s">
        <v>4849</v>
      </c>
      <c r="D229" s="32" t="s">
        <v>399</v>
      </c>
      <c r="E229" s="200"/>
      <c r="F229" s="43" t="s">
        <v>4850</v>
      </c>
      <c r="G229" s="38">
        <v>48370</v>
      </c>
      <c r="H229" s="202"/>
      <c r="I229" s="194"/>
      <c r="J229" s="194"/>
      <c r="K229" s="194"/>
      <c r="L229" s="194"/>
      <c r="M229" s="194"/>
      <c r="N229" s="194"/>
      <c r="O229" s="192"/>
      <c r="P229" s="148" t="s">
        <v>4851</v>
      </c>
      <c r="Q229" s="33" t="s">
        <v>86</v>
      </c>
      <c r="R229" s="34" t="s">
        <v>1862</v>
      </c>
      <c r="S229" s="44" t="s">
        <v>4852</v>
      </c>
      <c r="T229" s="46"/>
      <c r="U229" s="35"/>
      <c r="V229" s="56" t="s">
        <v>3800</v>
      </c>
      <c r="W229" s="46">
        <v>37651</v>
      </c>
      <c r="X229" s="194"/>
      <c r="Y229" s="194"/>
      <c r="Z229" s="194"/>
      <c r="AA229" s="194"/>
      <c r="AB229" s="196"/>
      <c r="AC229"/>
    </row>
    <row r="230" spans="1:29" ht="17.100000000000001" customHeight="1" thickTop="1">
      <c r="A230" s="197" t="s">
        <v>4853</v>
      </c>
      <c r="B230" s="26">
        <v>45871</v>
      </c>
      <c r="C230" s="36">
        <v>1262</v>
      </c>
      <c r="D230" s="28" t="s">
        <v>2105</v>
      </c>
      <c r="E230" s="199"/>
      <c r="F230" s="54" t="s">
        <v>4854</v>
      </c>
      <c r="G230" s="37"/>
      <c r="H230" s="201">
        <v>4.5</v>
      </c>
      <c r="I230" s="193">
        <v>1050000</v>
      </c>
      <c r="J230" s="193">
        <v>0</v>
      </c>
      <c r="K230" s="193">
        <v>0</v>
      </c>
      <c r="L230" s="193">
        <v>7150</v>
      </c>
      <c r="M230" s="193">
        <v>13200</v>
      </c>
      <c r="N230" s="193">
        <f>SUM(I230:M231)</f>
        <v>1070350</v>
      </c>
      <c r="O230" s="191"/>
      <c r="P230" s="147" t="s">
        <v>4855</v>
      </c>
      <c r="Q230" s="29" t="s">
        <v>82</v>
      </c>
      <c r="R230" s="81"/>
      <c r="S230" s="48" t="s">
        <v>1983</v>
      </c>
      <c r="T230" s="50"/>
      <c r="U230" s="30"/>
      <c r="V230" s="58">
        <v>45997</v>
      </c>
      <c r="W230" s="52">
        <v>1279</v>
      </c>
      <c r="X230" s="193">
        <v>1165000</v>
      </c>
      <c r="Y230" s="193">
        <f>X230*0.1</f>
        <v>116500</v>
      </c>
      <c r="Z230" s="193">
        <v>7150</v>
      </c>
      <c r="AA230" s="193">
        <f>SUM(X230:Z230)</f>
        <v>1288650</v>
      </c>
      <c r="AB230" s="195">
        <v>46000</v>
      </c>
      <c r="AC230"/>
    </row>
    <row r="231" spans="1:29" ht="17.100000000000001" customHeight="1" thickBot="1">
      <c r="A231" s="198"/>
      <c r="B231" s="31" t="s">
        <v>521</v>
      </c>
      <c r="C231" s="31">
        <v>65303</v>
      </c>
      <c r="D231" s="32" t="s">
        <v>3269</v>
      </c>
      <c r="E231" s="200"/>
      <c r="F231" s="43" t="s">
        <v>4856</v>
      </c>
      <c r="G231" s="38">
        <v>30809</v>
      </c>
      <c r="H231" s="202"/>
      <c r="I231" s="194"/>
      <c r="J231" s="194"/>
      <c r="K231" s="194"/>
      <c r="L231" s="194"/>
      <c r="M231" s="194"/>
      <c r="N231" s="194"/>
      <c r="O231" s="192"/>
      <c r="P231" s="148" t="s">
        <v>3944</v>
      </c>
      <c r="Q231" s="33" t="s">
        <v>86</v>
      </c>
      <c r="R231" s="34" t="s">
        <v>3368</v>
      </c>
      <c r="S231" s="44" t="s">
        <v>4857</v>
      </c>
      <c r="T231" s="46"/>
      <c r="U231" s="35"/>
      <c r="V231" s="56" t="s">
        <v>521</v>
      </c>
      <c r="W231" s="46">
        <v>60140</v>
      </c>
      <c r="X231" s="194"/>
      <c r="Y231" s="194"/>
      <c r="Z231" s="194"/>
      <c r="AA231" s="194"/>
      <c r="AB231" s="196"/>
      <c r="AC231"/>
    </row>
    <row r="232" spans="1:29" ht="17.100000000000001" customHeight="1" thickTop="1">
      <c r="A232" s="197" t="s">
        <v>4858</v>
      </c>
      <c r="B232" s="26">
        <v>45873</v>
      </c>
      <c r="C232" s="36">
        <v>2055</v>
      </c>
      <c r="D232" s="28" t="s">
        <v>2640</v>
      </c>
      <c r="E232" s="199"/>
      <c r="F232" s="54" t="s">
        <v>4859</v>
      </c>
      <c r="G232" s="37" t="s">
        <v>3295</v>
      </c>
      <c r="H232" s="201">
        <v>4</v>
      </c>
      <c r="I232" s="193">
        <v>2100000</v>
      </c>
      <c r="J232" s="193">
        <f>I232*0.1</f>
        <v>210000</v>
      </c>
      <c r="K232" s="193">
        <f>21000+2100</f>
        <v>23100</v>
      </c>
      <c r="L232" s="193">
        <v>17800</v>
      </c>
      <c r="M232" s="193">
        <v>11000</v>
      </c>
      <c r="N232" s="193">
        <f>SUM(I232:M233)</f>
        <v>2361900</v>
      </c>
      <c r="O232" s="191"/>
      <c r="P232" s="147" t="s">
        <v>4860</v>
      </c>
      <c r="Q232" s="29" t="s">
        <v>82</v>
      </c>
      <c r="R232" s="81"/>
      <c r="S232" s="48"/>
      <c r="T232" s="50"/>
      <c r="U232" s="30"/>
      <c r="V232" s="58">
        <v>45914</v>
      </c>
      <c r="W232" s="52"/>
      <c r="X232" s="193">
        <v>3386820</v>
      </c>
      <c r="Y232" s="193">
        <v>0</v>
      </c>
      <c r="Z232" s="193">
        <v>0</v>
      </c>
      <c r="AA232" s="193">
        <f>SUM(X232:Z232)</f>
        <v>3386820</v>
      </c>
      <c r="AB232" s="195">
        <v>45946</v>
      </c>
      <c r="AC232"/>
    </row>
    <row r="233" spans="1:29" ht="17.100000000000001" customHeight="1" thickBot="1">
      <c r="A233" s="198"/>
      <c r="B233" s="31" t="s">
        <v>189</v>
      </c>
      <c r="C233" s="31">
        <v>34524</v>
      </c>
      <c r="D233" s="32" t="s">
        <v>399</v>
      </c>
      <c r="E233" s="200"/>
      <c r="F233" s="43" t="s">
        <v>4861</v>
      </c>
      <c r="G233" s="38">
        <v>26815</v>
      </c>
      <c r="H233" s="202"/>
      <c r="I233" s="194"/>
      <c r="J233" s="194"/>
      <c r="K233" s="194"/>
      <c r="L233" s="194"/>
      <c r="M233" s="194"/>
      <c r="N233" s="194"/>
      <c r="O233" s="192"/>
      <c r="P233" s="148" t="s">
        <v>4733</v>
      </c>
      <c r="Q233" s="33" t="s">
        <v>86</v>
      </c>
      <c r="R233" s="34" t="s">
        <v>3287</v>
      </c>
      <c r="S233" s="44" t="s">
        <v>96</v>
      </c>
      <c r="T233" s="46"/>
      <c r="U233" s="35" t="s">
        <v>1100</v>
      </c>
      <c r="V233" s="56" t="s">
        <v>4862</v>
      </c>
      <c r="W233" s="46"/>
      <c r="X233" s="194"/>
      <c r="Y233" s="194"/>
      <c r="Z233" s="194"/>
      <c r="AA233" s="194"/>
      <c r="AB233" s="196"/>
      <c r="AC233"/>
    </row>
    <row r="234" spans="1:29" ht="17.100000000000001" customHeight="1" thickTop="1">
      <c r="A234" s="197" t="s">
        <v>4863</v>
      </c>
      <c r="B234" s="26">
        <v>45873</v>
      </c>
      <c r="C234" s="36">
        <v>1173</v>
      </c>
      <c r="D234" s="28" t="s">
        <v>2726</v>
      </c>
      <c r="E234" s="199"/>
      <c r="F234" s="54" t="s">
        <v>4864</v>
      </c>
      <c r="G234" s="37" t="s">
        <v>4568</v>
      </c>
      <c r="H234" s="201">
        <v>3.5</v>
      </c>
      <c r="I234" s="193">
        <v>210000</v>
      </c>
      <c r="J234" s="193">
        <f>I234*0.1</f>
        <v>21000</v>
      </c>
      <c r="K234" s="193">
        <v>0</v>
      </c>
      <c r="L234" s="193">
        <v>9790</v>
      </c>
      <c r="M234" s="193">
        <v>15950</v>
      </c>
      <c r="N234" s="193">
        <f>SUM(I234:M235)</f>
        <v>256740</v>
      </c>
      <c r="O234" s="191"/>
      <c r="P234" s="147" t="s">
        <v>4865</v>
      </c>
      <c r="Q234" s="29" t="s">
        <v>82</v>
      </c>
      <c r="R234" s="81"/>
      <c r="S234" s="48"/>
      <c r="T234" s="50"/>
      <c r="U234" s="30" t="s">
        <v>4866</v>
      </c>
      <c r="V234" s="58">
        <v>45976</v>
      </c>
      <c r="W234" s="52">
        <v>1276</v>
      </c>
      <c r="X234" s="193">
        <v>250000</v>
      </c>
      <c r="Y234" s="193">
        <f>X234*0.1</f>
        <v>25000</v>
      </c>
      <c r="Z234" s="193">
        <v>9790</v>
      </c>
      <c r="AA234" s="193">
        <f>SUM(X234:Z234)</f>
        <v>284790</v>
      </c>
      <c r="AB234" s="195">
        <v>45979</v>
      </c>
      <c r="AC234"/>
    </row>
    <row r="235" spans="1:29" ht="17.100000000000001" customHeight="1" thickBot="1">
      <c r="A235" s="198"/>
      <c r="B235" s="31" t="s">
        <v>4867</v>
      </c>
      <c r="C235" s="31">
        <v>55016</v>
      </c>
      <c r="D235" s="32" t="s">
        <v>4487</v>
      </c>
      <c r="E235" s="200"/>
      <c r="F235" s="43" t="s">
        <v>4868</v>
      </c>
      <c r="G235" s="38">
        <v>50526</v>
      </c>
      <c r="H235" s="202"/>
      <c r="I235" s="194"/>
      <c r="J235" s="194"/>
      <c r="K235" s="194"/>
      <c r="L235" s="194"/>
      <c r="M235" s="194"/>
      <c r="N235" s="194"/>
      <c r="O235" s="192"/>
      <c r="P235" s="148" t="s">
        <v>4869</v>
      </c>
      <c r="Q235" s="33" t="s">
        <v>86</v>
      </c>
      <c r="R235" s="34" t="s">
        <v>3287</v>
      </c>
      <c r="S235" s="44"/>
      <c r="T235" s="46"/>
      <c r="U235" s="35"/>
      <c r="V235" s="56" t="s">
        <v>521</v>
      </c>
      <c r="W235" s="46">
        <v>63116</v>
      </c>
      <c r="X235" s="194"/>
      <c r="Y235" s="194"/>
      <c r="Z235" s="194"/>
      <c r="AA235" s="194"/>
      <c r="AB235" s="196"/>
      <c r="AC235"/>
    </row>
    <row r="236" spans="1:29" ht="17.100000000000001" customHeight="1" thickTop="1">
      <c r="A236" s="197" t="s">
        <v>4870</v>
      </c>
      <c r="B236" s="26">
        <v>45873</v>
      </c>
      <c r="C236" s="36">
        <v>1173</v>
      </c>
      <c r="D236" s="28" t="s">
        <v>2050</v>
      </c>
      <c r="E236" s="199"/>
      <c r="F236" s="54" t="s">
        <v>4871</v>
      </c>
      <c r="G236" s="37" t="s">
        <v>3295</v>
      </c>
      <c r="H236" s="201">
        <v>4</v>
      </c>
      <c r="I236" s="193">
        <v>752000</v>
      </c>
      <c r="J236" s="193">
        <f>I236*0.1</f>
        <v>75200</v>
      </c>
      <c r="K236" s="193">
        <v>0</v>
      </c>
      <c r="L236" s="193">
        <v>9790</v>
      </c>
      <c r="M236" s="193">
        <v>15950</v>
      </c>
      <c r="N236" s="193">
        <f>SUM(I236:M237)</f>
        <v>852940</v>
      </c>
      <c r="O236" s="191"/>
      <c r="P236" s="147" t="s">
        <v>4872</v>
      </c>
      <c r="Q236" s="29" t="s">
        <v>82</v>
      </c>
      <c r="R236" s="81"/>
      <c r="S236" s="48"/>
      <c r="T236" s="50"/>
      <c r="U236" s="30" t="s">
        <v>4873</v>
      </c>
      <c r="V236" s="58">
        <v>45997</v>
      </c>
      <c r="W236" s="52">
        <v>1279</v>
      </c>
      <c r="X236" s="193">
        <v>760000</v>
      </c>
      <c r="Y236" s="193">
        <f>X236*0.1</f>
        <v>76000</v>
      </c>
      <c r="Z236" s="193">
        <v>9790</v>
      </c>
      <c r="AA236" s="193">
        <f>SUM(X236:Z236)</f>
        <v>845790</v>
      </c>
      <c r="AB236" s="195">
        <v>46002</v>
      </c>
      <c r="AC236"/>
    </row>
    <row r="237" spans="1:29" ht="17.100000000000001" customHeight="1" thickBot="1">
      <c r="A237" s="198"/>
      <c r="B237" s="31" t="s">
        <v>4867</v>
      </c>
      <c r="C237" s="31">
        <v>55028</v>
      </c>
      <c r="D237" s="32" t="s">
        <v>2346</v>
      </c>
      <c r="E237" s="200"/>
      <c r="F237" s="43" t="s">
        <v>4874</v>
      </c>
      <c r="G237" s="38">
        <v>47494</v>
      </c>
      <c r="H237" s="202"/>
      <c r="I237" s="194"/>
      <c r="J237" s="194"/>
      <c r="K237" s="194"/>
      <c r="L237" s="194"/>
      <c r="M237" s="194"/>
      <c r="N237" s="194"/>
      <c r="O237" s="192"/>
      <c r="P237" s="148" t="s">
        <v>4875</v>
      </c>
      <c r="Q237" s="33" t="s">
        <v>86</v>
      </c>
      <c r="R237" s="34" t="s">
        <v>3287</v>
      </c>
      <c r="S237" s="44" t="s">
        <v>4876</v>
      </c>
      <c r="T237" s="46"/>
      <c r="U237" s="35"/>
      <c r="V237" s="56" t="s">
        <v>521</v>
      </c>
      <c r="W237" s="46">
        <v>60109</v>
      </c>
      <c r="X237" s="194"/>
      <c r="Y237" s="194"/>
      <c r="Z237" s="194"/>
      <c r="AA237" s="194"/>
      <c r="AB237" s="196"/>
      <c r="AC237"/>
    </row>
    <row r="238" spans="1:29" ht="17.100000000000001" customHeight="1" thickTop="1">
      <c r="A238" s="197" t="s">
        <v>4895</v>
      </c>
      <c r="B238" s="26">
        <v>45875</v>
      </c>
      <c r="C238" s="36">
        <v>2317</v>
      </c>
      <c r="D238" s="28" t="s">
        <v>1952</v>
      </c>
      <c r="E238" s="199"/>
      <c r="F238" s="54" t="s">
        <v>4896</v>
      </c>
      <c r="G238" s="37" t="s">
        <v>4262</v>
      </c>
      <c r="H238" s="201">
        <v>4.5</v>
      </c>
      <c r="I238" s="193">
        <v>1270000</v>
      </c>
      <c r="J238" s="193">
        <f>I238*0.1</f>
        <v>127000</v>
      </c>
      <c r="K238" s="193">
        <f>17700+1770</f>
        <v>19470</v>
      </c>
      <c r="L238" s="193">
        <v>12270</v>
      </c>
      <c r="M238" s="193">
        <v>16500</v>
      </c>
      <c r="N238" s="193">
        <f>SUM(I238:M239)</f>
        <v>1445240</v>
      </c>
      <c r="O238" s="191"/>
      <c r="P238" s="147" t="s">
        <v>4897</v>
      </c>
      <c r="Q238" s="29" t="s">
        <v>82</v>
      </c>
      <c r="R238" s="81"/>
      <c r="S238" s="48" t="s">
        <v>3161</v>
      </c>
      <c r="T238" s="50"/>
      <c r="U238" s="30"/>
      <c r="V238" s="58">
        <v>45948</v>
      </c>
      <c r="W238" s="52">
        <v>1272</v>
      </c>
      <c r="X238" s="193">
        <v>1400000</v>
      </c>
      <c r="Y238" s="193">
        <f>X238*0.1</f>
        <v>140000</v>
      </c>
      <c r="Z238" s="193">
        <v>12270</v>
      </c>
      <c r="AA238" s="193">
        <f>SUM(X238:Z238)</f>
        <v>1552270</v>
      </c>
      <c r="AB238" s="195">
        <v>45951</v>
      </c>
      <c r="AC238"/>
    </row>
    <row r="239" spans="1:29" ht="17.100000000000001" customHeight="1" thickBot="1">
      <c r="A239" s="198"/>
      <c r="B239" s="31" t="s">
        <v>3958</v>
      </c>
      <c r="C239" s="31">
        <v>60095</v>
      </c>
      <c r="D239" s="32" t="s">
        <v>1097</v>
      </c>
      <c r="E239" s="200"/>
      <c r="F239" s="43" t="s">
        <v>4898</v>
      </c>
      <c r="G239" s="38">
        <v>21895</v>
      </c>
      <c r="H239" s="202"/>
      <c r="I239" s="194"/>
      <c r="J239" s="194"/>
      <c r="K239" s="194"/>
      <c r="L239" s="194"/>
      <c r="M239" s="194"/>
      <c r="N239" s="194"/>
      <c r="O239" s="192"/>
      <c r="P239" s="148" t="s">
        <v>2667</v>
      </c>
      <c r="Q239" s="33" t="s">
        <v>86</v>
      </c>
      <c r="R239" s="34" t="s">
        <v>4899</v>
      </c>
      <c r="S239" s="44" t="s">
        <v>1872</v>
      </c>
      <c r="T239" s="46"/>
      <c r="U239" s="35" t="s">
        <v>4900</v>
      </c>
      <c r="V239" s="56" t="s">
        <v>521</v>
      </c>
      <c r="W239" s="46">
        <v>80040</v>
      </c>
      <c r="X239" s="194"/>
      <c r="Y239" s="194"/>
      <c r="Z239" s="194"/>
      <c r="AA239" s="194"/>
      <c r="AB239" s="196"/>
      <c r="AC239"/>
    </row>
    <row r="240" spans="1:29" ht="17.100000000000001" customHeight="1" thickTop="1">
      <c r="A240" s="197" t="s">
        <v>4901</v>
      </c>
      <c r="B240" s="26">
        <v>45875</v>
      </c>
      <c r="C240" s="36">
        <v>1800</v>
      </c>
      <c r="D240" s="28" t="s">
        <v>1901</v>
      </c>
      <c r="E240" s="199"/>
      <c r="F240" s="54" t="s">
        <v>4902</v>
      </c>
      <c r="G240" s="37"/>
      <c r="H240" s="201">
        <v>4.5</v>
      </c>
      <c r="I240" s="193">
        <v>1180000</v>
      </c>
      <c r="J240" s="193">
        <f>I240*0.1</f>
        <v>118000</v>
      </c>
      <c r="K240" s="193">
        <v>0</v>
      </c>
      <c r="L240" s="193">
        <v>12450</v>
      </c>
      <c r="M240" s="193">
        <v>18150</v>
      </c>
      <c r="N240" s="193">
        <f>SUM(I240:M241)</f>
        <v>1328600</v>
      </c>
      <c r="O240" s="191"/>
      <c r="P240" s="147" t="s">
        <v>4903</v>
      </c>
      <c r="Q240" s="29" t="s">
        <v>82</v>
      </c>
      <c r="R240" s="81"/>
      <c r="S240" s="48" t="s">
        <v>4904</v>
      </c>
      <c r="T240" s="50" t="s">
        <v>4905</v>
      </c>
      <c r="U240" s="30"/>
      <c r="V240" s="58">
        <v>45948</v>
      </c>
      <c r="W240" s="52">
        <v>1272</v>
      </c>
      <c r="X240" s="193">
        <v>1220000</v>
      </c>
      <c r="Y240" s="193">
        <f>X240*0.1</f>
        <v>122000</v>
      </c>
      <c r="Z240" s="193">
        <v>12450</v>
      </c>
      <c r="AA240" s="193">
        <f>SUM(X240:Z240)</f>
        <v>1354450</v>
      </c>
      <c r="AB240" s="195">
        <v>45951</v>
      </c>
      <c r="AC240"/>
    </row>
    <row r="241" spans="1:29" ht="17.100000000000001" customHeight="1" thickBot="1">
      <c r="A241" s="198"/>
      <c r="B241" s="31" t="s">
        <v>2945</v>
      </c>
      <c r="C241" s="31">
        <v>38132</v>
      </c>
      <c r="D241" s="32" t="s">
        <v>1849</v>
      </c>
      <c r="E241" s="200"/>
      <c r="F241" s="43" t="s">
        <v>4906</v>
      </c>
      <c r="G241" s="38">
        <v>42826</v>
      </c>
      <c r="H241" s="202"/>
      <c r="I241" s="194"/>
      <c r="J241" s="194"/>
      <c r="K241" s="194"/>
      <c r="L241" s="194"/>
      <c r="M241" s="194"/>
      <c r="N241" s="194"/>
      <c r="O241" s="192"/>
      <c r="P241" s="148" t="s">
        <v>4907</v>
      </c>
      <c r="Q241" s="33" t="s">
        <v>86</v>
      </c>
      <c r="R241" s="34" t="s">
        <v>3287</v>
      </c>
      <c r="S241" s="44" t="s">
        <v>4908</v>
      </c>
      <c r="T241" s="46" t="s">
        <v>4909</v>
      </c>
      <c r="U241" s="35"/>
      <c r="V241" s="56" t="s">
        <v>521</v>
      </c>
      <c r="W241" s="46">
        <v>80046</v>
      </c>
      <c r="X241" s="194"/>
      <c r="Y241" s="194"/>
      <c r="Z241" s="194"/>
      <c r="AA241" s="194"/>
      <c r="AB241" s="196"/>
      <c r="AC241"/>
    </row>
    <row r="242" spans="1:29" ht="17.100000000000001" customHeight="1" thickTop="1">
      <c r="A242" s="197" t="s">
        <v>4910</v>
      </c>
      <c r="B242" s="26">
        <v>45876</v>
      </c>
      <c r="C242" s="36">
        <v>1989</v>
      </c>
      <c r="D242" s="28" t="s">
        <v>3843</v>
      </c>
      <c r="E242" s="199"/>
      <c r="F242" s="54" t="s">
        <v>4911</v>
      </c>
      <c r="G242" s="37" t="s">
        <v>3833</v>
      </c>
      <c r="H242" s="205" t="s">
        <v>4912</v>
      </c>
      <c r="I242" s="193">
        <v>1379000</v>
      </c>
      <c r="J242" s="193">
        <f>I242*0.1</f>
        <v>137900</v>
      </c>
      <c r="K242" s="193">
        <v>0</v>
      </c>
      <c r="L242" s="193">
        <v>7200</v>
      </c>
      <c r="M242" s="193">
        <v>22000</v>
      </c>
      <c r="N242" s="193">
        <f>SUM(I242:M243)</f>
        <v>1546100</v>
      </c>
      <c r="O242" s="191"/>
      <c r="P242" s="147" t="s">
        <v>4913</v>
      </c>
      <c r="Q242" s="29" t="s">
        <v>82</v>
      </c>
      <c r="R242" s="81"/>
      <c r="S242" s="48" t="s">
        <v>2743</v>
      </c>
      <c r="T242" s="50"/>
      <c r="U242" s="30" t="s">
        <v>4914</v>
      </c>
      <c r="V242" s="58">
        <v>46046</v>
      </c>
      <c r="W242" s="52">
        <v>1285</v>
      </c>
      <c r="X242" s="193">
        <v>1210000</v>
      </c>
      <c r="Y242" s="193">
        <f>X242*0.1</f>
        <v>121000</v>
      </c>
      <c r="Z242" s="193">
        <v>7200</v>
      </c>
      <c r="AA242" s="193">
        <f>SUM(X242:Z242)</f>
        <v>1338200</v>
      </c>
      <c r="AB242" s="195">
        <v>46049</v>
      </c>
      <c r="AC242"/>
    </row>
    <row r="243" spans="1:29" ht="17.100000000000001" customHeight="1" thickBot="1">
      <c r="A243" s="198"/>
      <c r="B243" s="31" t="s">
        <v>2530</v>
      </c>
      <c r="C243" s="31">
        <v>50180</v>
      </c>
      <c r="D243" s="32" t="s">
        <v>1832</v>
      </c>
      <c r="E243" s="200"/>
      <c r="F243" s="43" t="s">
        <v>4915</v>
      </c>
      <c r="G243" s="38">
        <v>5</v>
      </c>
      <c r="H243" s="202"/>
      <c r="I243" s="194"/>
      <c r="J243" s="194"/>
      <c r="K243" s="194"/>
      <c r="L243" s="194"/>
      <c r="M243" s="194"/>
      <c r="N243" s="194"/>
      <c r="O243" s="192"/>
      <c r="P243" s="148" t="s">
        <v>4916</v>
      </c>
      <c r="Q243" s="33" t="s">
        <v>86</v>
      </c>
      <c r="R243" s="34" t="s">
        <v>4917</v>
      </c>
      <c r="S243" s="44" t="s">
        <v>96</v>
      </c>
      <c r="T243" s="46"/>
      <c r="U243" s="35"/>
      <c r="V243" s="56" t="s">
        <v>521</v>
      </c>
      <c r="W243" s="46">
        <v>60065</v>
      </c>
      <c r="X243" s="194"/>
      <c r="Y243" s="194"/>
      <c r="Z243" s="194"/>
      <c r="AA243" s="194"/>
      <c r="AB243" s="196"/>
      <c r="AC243"/>
    </row>
    <row r="244" spans="1:29" ht="17.100000000000001" customHeight="1" thickTop="1">
      <c r="A244" s="197" t="s">
        <v>4923</v>
      </c>
      <c r="B244" s="26">
        <v>45876</v>
      </c>
      <c r="C244" s="36">
        <v>1528</v>
      </c>
      <c r="D244" s="28" t="s">
        <v>2274</v>
      </c>
      <c r="E244" s="199"/>
      <c r="F244" s="54" t="s">
        <v>4811</v>
      </c>
      <c r="G244" s="37" t="s">
        <v>4924</v>
      </c>
      <c r="H244" s="201">
        <v>4.5</v>
      </c>
      <c r="I244" s="193">
        <v>1510000</v>
      </c>
      <c r="J244" s="193">
        <f>I244*0.1</f>
        <v>151000</v>
      </c>
      <c r="K244" s="193">
        <f>23000+2300</f>
        <v>25300</v>
      </c>
      <c r="L244" s="193">
        <v>21020</v>
      </c>
      <c r="M244" s="193">
        <v>16500</v>
      </c>
      <c r="N244" s="193">
        <f>SUM(I244:M245)</f>
        <v>1723820</v>
      </c>
      <c r="O244" s="191"/>
      <c r="P244" s="147" t="s">
        <v>4925</v>
      </c>
      <c r="Q244" s="29" t="s">
        <v>82</v>
      </c>
      <c r="R244" s="81"/>
      <c r="S244" s="48" t="s">
        <v>1596</v>
      </c>
      <c r="T244" s="50"/>
      <c r="U244" s="30"/>
      <c r="V244" s="58">
        <v>46362</v>
      </c>
      <c r="W244" s="52"/>
      <c r="X244" s="193">
        <v>2550000</v>
      </c>
      <c r="Y244" s="193">
        <v>0</v>
      </c>
      <c r="Z244" s="193">
        <v>0</v>
      </c>
      <c r="AA244" s="193">
        <f>SUM(X244:Z244)</f>
        <v>2550000</v>
      </c>
      <c r="AB244" s="195">
        <v>46382</v>
      </c>
      <c r="AC244"/>
    </row>
    <row r="245" spans="1:29" ht="17.100000000000001" customHeight="1" thickBot="1">
      <c r="A245" s="198"/>
      <c r="B245" s="31" t="s">
        <v>1858</v>
      </c>
      <c r="C245" s="31">
        <v>78152</v>
      </c>
      <c r="D245" s="32" t="s">
        <v>1849</v>
      </c>
      <c r="E245" s="200"/>
      <c r="F245" s="43" t="s">
        <v>4926</v>
      </c>
      <c r="G245" s="38">
        <v>40240</v>
      </c>
      <c r="H245" s="202"/>
      <c r="I245" s="194"/>
      <c r="J245" s="194"/>
      <c r="K245" s="194"/>
      <c r="L245" s="194"/>
      <c r="M245" s="194"/>
      <c r="N245" s="194"/>
      <c r="O245" s="192"/>
      <c r="P245" s="148" t="s">
        <v>2295</v>
      </c>
      <c r="Q245" s="33" t="s">
        <v>86</v>
      </c>
      <c r="R245" s="34" t="s">
        <v>3287</v>
      </c>
      <c r="S245" s="44" t="s">
        <v>287</v>
      </c>
      <c r="T245" s="46"/>
      <c r="U245" s="35" t="s">
        <v>103</v>
      </c>
      <c r="V245" s="56" t="s">
        <v>4927</v>
      </c>
      <c r="W245" s="46"/>
      <c r="X245" s="194"/>
      <c r="Y245" s="194"/>
      <c r="Z245" s="194"/>
      <c r="AA245" s="194"/>
      <c r="AB245" s="196"/>
      <c r="AC245"/>
    </row>
    <row r="246" spans="1:29" ht="17.100000000000001" customHeight="1" thickTop="1">
      <c r="A246" s="197" t="s">
        <v>4928</v>
      </c>
      <c r="B246" s="26">
        <v>45876</v>
      </c>
      <c r="C246" s="36">
        <v>1293</v>
      </c>
      <c r="D246" s="28" t="s">
        <v>2640</v>
      </c>
      <c r="E246" s="199"/>
      <c r="F246" s="54" t="s">
        <v>4929</v>
      </c>
      <c r="G246" s="37" t="s">
        <v>3295</v>
      </c>
      <c r="H246" s="201">
        <v>5</v>
      </c>
      <c r="I246" s="193">
        <v>3220000</v>
      </c>
      <c r="J246" s="193">
        <f>I246*0.1</f>
        <v>322000</v>
      </c>
      <c r="K246" s="193">
        <f>21000+2100</f>
        <v>23100</v>
      </c>
      <c r="L246" s="193">
        <v>18310</v>
      </c>
      <c r="M246" s="193">
        <v>14300</v>
      </c>
      <c r="N246" s="193">
        <v>3597710</v>
      </c>
      <c r="O246" s="191"/>
      <c r="P246" s="147" t="s">
        <v>4930</v>
      </c>
      <c r="Q246" s="29" t="s">
        <v>82</v>
      </c>
      <c r="R246" s="81"/>
      <c r="S246" s="48" t="s">
        <v>1494</v>
      </c>
      <c r="T246" s="50"/>
      <c r="U246" s="30"/>
      <c r="V246" s="58">
        <v>45931</v>
      </c>
      <c r="W246" s="52">
        <v>986</v>
      </c>
      <c r="X246" s="193">
        <v>3320000</v>
      </c>
      <c r="Y246" s="193">
        <f>X246*0.1</f>
        <v>332000</v>
      </c>
      <c r="Z246" s="193">
        <v>18310</v>
      </c>
      <c r="AA246" s="193">
        <f>SUM(X246:Z246)</f>
        <v>3670310</v>
      </c>
      <c r="AB246" s="195">
        <v>45937</v>
      </c>
      <c r="AC246"/>
    </row>
    <row r="247" spans="1:29" ht="17.100000000000001" customHeight="1" thickBot="1">
      <c r="A247" s="198"/>
      <c r="B247" s="31" t="s">
        <v>2017</v>
      </c>
      <c r="C247" s="31">
        <v>124</v>
      </c>
      <c r="D247" s="32" t="s">
        <v>95</v>
      </c>
      <c r="E247" s="200"/>
      <c r="F247" s="43" t="s">
        <v>4931</v>
      </c>
      <c r="G247" s="38">
        <v>16479</v>
      </c>
      <c r="H247" s="202"/>
      <c r="I247" s="194"/>
      <c r="J247" s="194"/>
      <c r="K247" s="194"/>
      <c r="L247" s="194"/>
      <c r="M247" s="194"/>
      <c r="N247" s="194"/>
      <c r="O247" s="192"/>
      <c r="P247" s="148" t="s">
        <v>2144</v>
      </c>
      <c r="Q247" s="33" t="s">
        <v>86</v>
      </c>
      <c r="R247" s="34" t="s">
        <v>4917</v>
      </c>
      <c r="S247" s="44" t="s">
        <v>96</v>
      </c>
      <c r="T247" s="46"/>
      <c r="U247" s="35" t="s">
        <v>4900</v>
      </c>
      <c r="V247" s="56" t="s">
        <v>104</v>
      </c>
      <c r="W247" s="46">
        <v>6027</v>
      </c>
      <c r="X247" s="194"/>
      <c r="Y247" s="194"/>
      <c r="Z247" s="194"/>
      <c r="AA247" s="194"/>
      <c r="AB247" s="196"/>
      <c r="AC247"/>
    </row>
    <row r="248" spans="1:29" ht="17.100000000000001" customHeight="1" thickTop="1">
      <c r="A248" s="203" t="s">
        <v>4932</v>
      </c>
      <c r="B248" s="26">
        <v>45876</v>
      </c>
      <c r="C248" s="36">
        <v>2121</v>
      </c>
      <c r="D248" s="28" t="s">
        <v>1222</v>
      </c>
      <c r="E248" s="199"/>
      <c r="F248" s="54" t="s">
        <v>4933</v>
      </c>
      <c r="G248" s="37" t="s">
        <v>4934</v>
      </c>
      <c r="H248" s="201">
        <v>4</v>
      </c>
      <c r="I248" s="193">
        <v>305000</v>
      </c>
      <c r="J248" s="193">
        <f>I248*0.1</f>
        <v>30500</v>
      </c>
      <c r="K248" s="193">
        <v>0</v>
      </c>
      <c r="L248" s="193">
        <v>8460</v>
      </c>
      <c r="M248" s="193">
        <v>13750</v>
      </c>
      <c r="N248" s="193">
        <f>SUM(I248:M249)</f>
        <v>357710</v>
      </c>
      <c r="O248" s="191"/>
      <c r="P248" s="147" t="s">
        <v>4935</v>
      </c>
      <c r="Q248" s="29" t="s">
        <v>82</v>
      </c>
      <c r="R248" s="81"/>
      <c r="S248" s="48"/>
      <c r="T248" s="50"/>
      <c r="U248" s="30" t="s">
        <v>4936</v>
      </c>
      <c r="V248" s="58">
        <v>46032</v>
      </c>
      <c r="W248" s="52">
        <v>1283</v>
      </c>
      <c r="X248" s="193">
        <v>310000</v>
      </c>
      <c r="Y248" s="193">
        <f>X248*0.1</f>
        <v>31000</v>
      </c>
      <c r="Z248" s="193">
        <v>8460</v>
      </c>
      <c r="AA248" s="193">
        <f>SUM(X248:Z248)</f>
        <v>349460</v>
      </c>
      <c r="AB248" s="195">
        <v>46036</v>
      </c>
      <c r="AC248"/>
    </row>
    <row r="249" spans="1:29" ht="17.100000000000001" customHeight="1" thickBot="1">
      <c r="A249" s="204"/>
      <c r="B249" s="31" t="s">
        <v>3790</v>
      </c>
      <c r="C249" s="31">
        <v>52</v>
      </c>
      <c r="D249" s="32" t="s">
        <v>95</v>
      </c>
      <c r="E249" s="200"/>
      <c r="F249" s="43" t="s">
        <v>4937</v>
      </c>
      <c r="G249" s="38">
        <v>58017</v>
      </c>
      <c r="H249" s="202"/>
      <c r="I249" s="194"/>
      <c r="J249" s="194"/>
      <c r="K249" s="194"/>
      <c r="L249" s="194"/>
      <c r="M249" s="194"/>
      <c r="N249" s="194"/>
      <c r="O249" s="192"/>
      <c r="P249" s="148" t="s">
        <v>4938</v>
      </c>
      <c r="Q249" s="33" t="s">
        <v>86</v>
      </c>
      <c r="R249" s="34" t="s">
        <v>4917</v>
      </c>
      <c r="S249" s="44" t="s">
        <v>2101</v>
      </c>
      <c r="T249" s="46"/>
      <c r="U249" s="35"/>
      <c r="V249" s="56" t="s">
        <v>521</v>
      </c>
      <c r="W249" s="46">
        <v>60193</v>
      </c>
      <c r="X249" s="194"/>
      <c r="Y249" s="194"/>
      <c r="Z249" s="194"/>
      <c r="AA249" s="194"/>
      <c r="AB249" s="196"/>
      <c r="AC249"/>
    </row>
    <row r="250" spans="1:29" ht="17.100000000000001" customHeight="1" thickTop="1">
      <c r="A250" s="197" t="s">
        <v>4939</v>
      </c>
      <c r="B250" s="26">
        <v>45876</v>
      </c>
      <c r="C250" s="36">
        <v>2121</v>
      </c>
      <c r="D250" s="28" t="s">
        <v>4940</v>
      </c>
      <c r="E250" s="199"/>
      <c r="F250" s="54" t="s">
        <v>4941</v>
      </c>
      <c r="G250" s="37"/>
      <c r="H250" s="201">
        <v>3.5</v>
      </c>
      <c r="I250" s="193">
        <v>194000</v>
      </c>
      <c r="J250" s="193">
        <f>I250*0.1</f>
        <v>19400</v>
      </c>
      <c r="K250" s="193">
        <v>0</v>
      </c>
      <c r="L250" s="193">
        <v>7470</v>
      </c>
      <c r="M250" s="193">
        <v>13750</v>
      </c>
      <c r="N250" s="193">
        <f>SUM(I250:M251)</f>
        <v>234620</v>
      </c>
      <c r="O250" s="191"/>
      <c r="P250" s="147" t="s">
        <v>4942</v>
      </c>
      <c r="Q250" s="29" t="s">
        <v>82</v>
      </c>
      <c r="R250" s="81"/>
      <c r="S250" s="48"/>
      <c r="T250" s="50"/>
      <c r="U250" s="30"/>
      <c r="V250" s="58">
        <v>45934</v>
      </c>
      <c r="W250" s="52">
        <v>1270</v>
      </c>
      <c r="X250" s="193">
        <v>270000</v>
      </c>
      <c r="Y250" s="193">
        <f>X250*0.1</f>
        <v>27000</v>
      </c>
      <c r="Z250" s="193">
        <v>7470</v>
      </c>
      <c r="AA250" s="193">
        <f>SUM(X250:Z250)</f>
        <v>304470</v>
      </c>
      <c r="AB250" s="195">
        <v>45938</v>
      </c>
      <c r="AC250"/>
    </row>
    <row r="251" spans="1:29" ht="17.100000000000001" customHeight="1" thickBot="1">
      <c r="A251" s="198"/>
      <c r="B251" s="31" t="s">
        <v>3790</v>
      </c>
      <c r="C251" s="31">
        <v>2059</v>
      </c>
      <c r="D251" s="32" t="s">
        <v>1987</v>
      </c>
      <c r="E251" s="200"/>
      <c r="F251" s="43" t="s">
        <v>4943</v>
      </c>
      <c r="G251" s="38">
        <v>42344</v>
      </c>
      <c r="H251" s="202"/>
      <c r="I251" s="194"/>
      <c r="J251" s="194"/>
      <c r="K251" s="194"/>
      <c r="L251" s="194"/>
      <c r="M251" s="194"/>
      <c r="N251" s="194"/>
      <c r="O251" s="192"/>
      <c r="P251" s="148" t="s">
        <v>4944</v>
      </c>
      <c r="Q251" s="33" t="s">
        <v>86</v>
      </c>
      <c r="R251" s="34" t="s">
        <v>4917</v>
      </c>
      <c r="S251" s="44" t="s">
        <v>4945</v>
      </c>
      <c r="T251" s="46"/>
      <c r="U251" s="35"/>
      <c r="V251" s="56" t="s">
        <v>4215</v>
      </c>
      <c r="W251" s="46">
        <v>60156</v>
      </c>
      <c r="X251" s="194"/>
      <c r="Y251" s="194"/>
      <c r="Z251" s="194"/>
      <c r="AA251" s="194"/>
      <c r="AB251" s="196"/>
      <c r="AC251"/>
    </row>
    <row r="252" spans="1:29" ht="17.100000000000001" customHeight="1" thickTop="1">
      <c r="A252" s="197" t="s">
        <v>4946</v>
      </c>
      <c r="B252" s="26">
        <v>45877</v>
      </c>
      <c r="C252" s="36">
        <v>1381</v>
      </c>
      <c r="D252" s="28" t="s">
        <v>3297</v>
      </c>
      <c r="E252" s="199"/>
      <c r="F252" s="54" t="s">
        <v>4947</v>
      </c>
      <c r="G252" s="37" t="s">
        <v>4948</v>
      </c>
      <c r="H252" s="201">
        <v>4</v>
      </c>
      <c r="I252" s="193">
        <v>855000</v>
      </c>
      <c r="J252" s="193">
        <f>I252*0.1</f>
        <v>85500</v>
      </c>
      <c r="K252" s="193">
        <f>20100+2010</f>
        <v>22110</v>
      </c>
      <c r="L252" s="193">
        <v>8160</v>
      </c>
      <c r="M252" s="193">
        <v>13200</v>
      </c>
      <c r="N252" s="193">
        <f>SUM(I252:M253)</f>
        <v>983970</v>
      </c>
      <c r="O252" s="191"/>
      <c r="P252" s="147" t="s">
        <v>4949</v>
      </c>
      <c r="Q252" s="29" t="s">
        <v>82</v>
      </c>
      <c r="R252" s="81"/>
      <c r="S252" s="48"/>
      <c r="T252" s="50"/>
      <c r="U252" s="30"/>
      <c r="V252" s="58">
        <v>45934</v>
      </c>
      <c r="W252" s="52">
        <v>1270</v>
      </c>
      <c r="X252" s="193">
        <v>850000</v>
      </c>
      <c r="Y252" s="193">
        <f>X252*0.1</f>
        <v>85000</v>
      </c>
      <c r="Z252" s="193">
        <v>8160</v>
      </c>
      <c r="AA252" s="193">
        <f>SUM(X252:Z252)</f>
        <v>943160</v>
      </c>
      <c r="AB252" s="195">
        <v>45937</v>
      </c>
      <c r="AC252"/>
    </row>
    <row r="253" spans="1:29" ht="17.100000000000001" customHeight="1" thickBot="1">
      <c r="A253" s="198"/>
      <c r="B253" s="31" t="s">
        <v>3039</v>
      </c>
      <c r="C253" s="31">
        <v>3007</v>
      </c>
      <c r="D253" s="32" t="s">
        <v>95</v>
      </c>
      <c r="E253" s="200"/>
      <c r="F253" s="43" t="s">
        <v>4950</v>
      </c>
      <c r="G253" s="38">
        <v>39097</v>
      </c>
      <c r="H253" s="202"/>
      <c r="I253" s="194"/>
      <c r="J253" s="194"/>
      <c r="K253" s="194"/>
      <c r="L253" s="194"/>
      <c r="M253" s="194"/>
      <c r="N253" s="194"/>
      <c r="O253" s="192"/>
      <c r="P253" s="148" t="s">
        <v>4951</v>
      </c>
      <c r="Q253" s="33" t="s">
        <v>86</v>
      </c>
      <c r="R253" s="34" t="s">
        <v>4917</v>
      </c>
      <c r="S253" s="44" t="s">
        <v>4952</v>
      </c>
      <c r="T253" s="46"/>
      <c r="U253" s="35"/>
      <c r="V253" s="56" t="s">
        <v>3800</v>
      </c>
      <c r="W253" s="46">
        <v>55078</v>
      </c>
      <c r="X253" s="194"/>
      <c r="Y253" s="194"/>
      <c r="Z253" s="194"/>
      <c r="AA253" s="194"/>
      <c r="AB253" s="196"/>
      <c r="AC253"/>
    </row>
    <row r="254" spans="1:29" ht="17.100000000000001" customHeight="1" thickTop="1">
      <c r="A254" s="197" t="s">
        <v>4953</v>
      </c>
      <c r="B254" s="26">
        <v>45877</v>
      </c>
      <c r="C254" s="36">
        <v>1381</v>
      </c>
      <c r="D254" s="28" t="s">
        <v>4026</v>
      </c>
      <c r="E254" s="199"/>
      <c r="F254" s="54" t="s">
        <v>2341</v>
      </c>
      <c r="G254" s="37" t="s">
        <v>4954</v>
      </c>
      <c r="H254" s="201">
        <v>4.5</v>
      </c>
      <c r="I254" s="193">
        <v>1081000</v>
      </c>
      <c r="J254" s="193">
        <f>I254*0.1</f>
        <v>108100</v>
      </c>
      <c r="K254" s="193">
        <v>0</v>
      </c>
      <c r="L254" s="193">
        <v>9080</v>
      </c>
      <c r="M254" s="193">
        <v>13200</v>
      </c>
      <c r="N254" s="193">
        <f>SUM(I254:M255)</f>
        <v>1211380</v>
      </c>
      <c r="O254" s="191"/>
      <c r="P254" s="147" t="s">
        <v>4955</v>
      </c>
      <c r="Q254" s="29" t="s">
        <v>82</v>
      </c>
      <c r="R254" s="81"/>
      <c r="S254" s="48"/>
      <c r="T254" s="50"/>
      <c r="U254" s="30" t="s">
        <v>4956</v>
      </c>
      <c r="V254" s="58">
        <v>45959</v>
      </c>
      <c r="W254" s="52">
        <v>990</v>
      </c>
      <c r="X254" s="193">
        <v>1180000</v>
      </c>
      <c r="Y254" s="193">
        <f>X254*0.1</f>
        <v>118000</v>
      </c>
      <c r="Z254" s="193">
        <v>9080</v>
      </c>
      <c r="AA254" s="193">
        <f>SUM(X254:Z254)</f>
        <v>1307080</v>
      </c>
      <c r="AB254" s="195">
        <v>45965</v>
      </c>
      <c r="AC254"/>
    </row>
    <row r="255" spans="1:29" ht="17.100000000000001" customHeight="1" thickBot="1">
      <c r="A255" s="198"/>
      <c r="B255" s="31" t="s">
        <v>3039</v>
      </c>
      <c r="C255" s="31">
        <v>3040</v>
      </c>
      <c r="D255" s="32" t="s">
        <v>2346</v>
      </c>
      <c r="E255" s="200"/>
      <c r="F255" s="43" t="s">
        <v>4957</v>
      </c>
      <c r="G255" s="38">
        <v>37490</v>
      </c>
      <c r="H255" s="202"/>
      <c r="I255" s="194"/>
      <c r="J255" s="194"/>
      <c r="K255" s="194"/>
      <c r="L255" s="194"/>
      <c r="M255" s="194"/>
      <c r="N255" s="194"/>
      <c r="O255" s="192"/>
      <c r="P255" s="148" t="s">
        <v>4958</v>
      </c>
      <c r="Q255" s="33" t="s">
        <v>86</v>
      </c>
      <c r="R255" s="34" t="s">
        <v>4917</v>
      </c>
      <c r="S255" s="44"/>
      <c r="T255" s="46"/>
      <c r="U255" s="35"/>
      <c r="V255" s="56" t="s">
        <v>104</v>
      </c>
      <c r="W255" s="46">
        <v>2071</v>
      </c>
      <c r="X255" s="194"/>
      <c r="Y255" s="194"/>
      <c r="Z255" s="194"/>
      <c r="AA255" s="194"/>
      <c r="AB255" s="196"/>
      <c r="AC255"/>
    </row>
    <row r="256" spans="1:29" ht="17.100000000000001" customHeight="1" thickTop="1">
      <c r="A256" s="197" t="s">
        <v>4959</v>
      </c>
      <c r="B256" s="26">
        <v>45878</v>
      </c>
      <c r="C256" s="36"/>
      <c r="D256" s="28" t="s">
        <v>1222</v>
      </c>
      <c r="E256" s="199"/>
      <c r="F256" s="54" t="s">
        <v>4960</v>
      </c>
      <c r="G256" s="37" t="s">
        <v>4708</v>
      </c>
      <c r="H256" s="201"/>
      <c r="I256" s="193">
        <v>50000</v>
      </c>
      <c r="J256" s="193">
        <v>0</v>
      </c>
      <c r="K256" s="193">
        <v>0</v>
      </c>
      <c r="L256" s="193">
        <v>0</v>
      </c>
      <c r="M256" s="193">
        <v>0</v>
      </c>
      <c r="N256" s="193">
        <f>SUM(I256:M257)</f>
        <v>50000</v>
      </c>
      <c r="O256" s="191"/>
      <c r="P256" s="147" t="s">
        <v>4961</v>
      </c>
      <c r="Q256" s="29" t="s">
        <v>82</v>
      </c>
      <c r="R256" s="81"/>
      <c r="S256" s="48"/>
      <c r="T256" s="50"/>
      <c r="U256" s="30"/>
      <c r="V256" s="58">
        <v>45945</v>
      </c>
      <c r="W256" s="52">
        <v>988</v>
      </c>
      <c r="X256" s="193">
        <v>178000</v>
      </c>
      <c r="Y256" s="193">
        <f>X256*0.1</f>
        <v>17800</v>
      </c>
      <c r="Z256" s="193">
        <v>21300</v>
      </c>
      <c r="AA256" s="193">
        <f>SUM(X256:Z256)</f>
        <v>217100</v>
      </c>
      <c r="AB256" s="195">
        <v>45950</v>
      </c>
      <c r="AC256"/>
    </row>
    <row r="257" spans="1:29" ht="17.100000000000001" customHeight="1" thickBot="1">
      <c r="A257" s="198"/>
      <c r="B257" s="31" t="s">
        <v>4962</v>
      </c>
      <c r="C257" s="31"/>
      <c r="D257" s="32"/>
      <c r="E257" s="200"/>
      <c r="F257" s="43" t="s">
        <v>4963</v>
      </c>
      <c r="G257" s="38"/>
      <c r="H257" s="202"/>
      <c r="I257" s="194"/>
      <c r="J257" s="194"/>
      <c r="K257" s="194"/>
      <c r="L257" s="194"/>
      <c r="M257" s="194"/>
      <c r="N257" s="194"/>
      <c r="O257" s="192"/>
      <c r="P257" s="148" t="s">
        <v>4964</v>
      </c>
      <c r="Q257" s="33" t="s">
        <v>86</v>
      </c>
      <c r="R257" s="34" t="s">
        <v>4899</v>
      </c>
      <c r="S257" s="44" t="s">
        <v>96</v>
      </c>
      <c r="T257" s="46"/>
      <c r="U257" s="35"/>
      <c r="V257" s="56" t="s">
        <v>104</v>
      </c>
      <c r="W257" s="46">
        <v>10030</v>
      </c>
      <c r="X257" s="194"/>
      <c r="Y257" s="194"/>
      <c r="Z257" s="194"/>
      <c r="AA257" s="194"/>
      <c r="AB257" s="196"/>
      <c r="AC257"/>
    </row>
    <row r="258" spans="1:29" ht="17.100000000000001" customHeight="1" thickTop="1">
      <c r="A258" s="197" t="s">
        <v>4971</v>
      </c>
      <c r="B258" s="26">
        <v>45880</v>
      </c>
      <c r="C258" s="36">
        <v>1174</v>
      </c>
      <c r="D258" s="28" t="s">
        <v>1950</v>
      </c>
      <c r="E258" s="199"/>
      <c r="F258" s="54" t="s">
        <v>4972</v>
      </c>
      <c r="G258" s="37" t="s">
        <v>1814</v>
      </c>
      <c r="H258" s="201">
        <v>4</v>
      </c>
      <c r="I258" s="193">
        <v>599000</v>
      </c>
      <c r="J258" s="193">
        <f>I258*0.1</f>
        <v>59900</v>
      </c>
      <c r="K258" s="193">
        <v>13000</v>
      </c>
      <c r="L258" s="193">
        <v>9790</v>
      </c>
      <c r="M258" s="193">
        <v>15950</v>
      </c>
      <c r="N258" s="193">
        <f>SUM(I258:M259)</f>
        <v>697640</v>
      </c>
      <c r="O258" s="191"/>
      <c r="P258" s="147" t="s">
        <v>4973</v>
      </c>
      <c r="Q258" s="29" t="s">
        <v>82</v>
      </c>
      <c r="R258" s="81"/>
      <c r="S258" s="48"/>
      <c r="T258" s="50"/>
      <c r="U258" s="30" t="s">
        <v>4974</v>
      </c>
      <c r="V258" s="58">
        <v>45997</v>
      </c>
      <c r="W258" s="52">
        <v>1279</v>
      </c>
      <c r="X258" s="193">
        <v>575000</v>
      </c>
      <c r="Y258" s="193">
        <f>X258*0.1</f>
        <v>57500</v>
      </c>
      <c r="Z258" s="193">
        <v>9790</v>
      </c>
      <c r="AA258" s="193">
        <f>SUM(X258:Z258)</f>
        <v>642290</v>
      </c>
      <c r="AB258" s="195">
        <v>46000</v>
      </c>
      <c r="AC258"/>
    </row>
    <row r="259" spans="1:29" ht="17.100000000000001" customHeight="1" thickBot="1">
      <c r="A259" s="198"/>
      <c r="B259" s="31" t="s">
        <v>4323</v>
      </c>
      <c r="C259" s="31">
        <v>50026</v>
      </c>
      <c r="D259" s="32" t="s">
        <v>4487</v>
      </c>
      <c r="E259" s="200"/>
      <c r="F259" s="43" t="s">
        <v>4975</v>
      </c>
      <c r="G259" s="38">
        <v>58151</v>
      </c>
      <c r="H259" s="202"/>
      <c r="I259" s="194"/>
      <c r="J259" s="194"/>
      <c r="K259" s="194"/>
      <c r="L259" s="194"/>
      <c r="M259" s="194"/>
      <c r="N259" s="194"/>
      <c r="O259" s="192"/>
      <c r="P259" s="148" t="s">
        <v>4869</v>
      </c>
      <c r="Q259" s="33" t="s">
        <v>86</v>
      </c>
      <c r="R259" s="34" t="s">
        <v>4976</v>
      </c>
      <c r="S259" s="44"/>
      <c r="T259" s="46"/>
      <c r="U259" s="35"/>
      <c r="V259" s="56" t="s">
        <v>521</v>
      </c>
      <c r="W259" s="46">
        <v>60007</v>
      </c>
      <c r="X259" s="194"/>
      <c r="Y259" s="194"/>
      <c r="Z259" s="194"/>
      <c r="AA259" s="194"/>
      <c r="AB259" s="196"/>
      <c r="AC259"/>
    </row>
    <row r="260" spans="1:29" ht="17.100000000000001" customHeight="1" thickTop="1">
      <c r="A260" s="197" t="s">
        <v>4989</v>
      </c>
      <c r="B260" s="26">
        <v>45887</v>
      </c>
      <c r="C260" s="36"/>
      <c r="D260" s="28" t="s">
        <v>3096</v>
      </c>
      <c r="E260" s="199"/>
      <c r="F260" s="54" t="s">
        <v>4990</v>
      </c>
      <c r="G260" s="37" t="s">
        <v>4991</v>
      </c>
      <c r="H260" s="201">
        <v>4.5</v>
      </c>
      <c r="I260" s="193">
        <f>2343000/1.1</f>
        <v>2130000</v>
      </c>
      <c r="J260" s="193">
        <f>I260*0.1</f>
        <v>213000</v>
      </c>
      <c r="K260" s="193">
        <v>15200</v>
      </c>
      <c r="L260" s="193">
        <v>11740</v>
      </c>
      <c r="M260" s="193">
        <v>113575</v>
      </c>
      <c r="N260" s="193">
        <f>SUM(I260:M261)</f>
        <v>2483515</v>
      </c>
      <c r="O260" s="191"/>
      <c r="P260" s="147" t="s">
        <v>4992</v>
      </c>
      <c r="Q260" s="29" t="s">
        <v>82</v>
      </c>
      <c r="R260" s="81"/>
      <c r="S260" s="48" t="s">
        <v>1540</v>
      </c>
      <c r="T260" s="50"/>
      <c r="U260" s="30"/>
      <c r="V260" s="58">
        <v>45934</v>
      </c>
      <c r="W260" s="52">
        <v>1270</v>
      </c>
      <c r="X260" s="193">
        <v>2740000</v>
      </c>
      <c r="Y260" s="193">
        <f>X260*0.1</f>
        <v>274000</v>
      </c>
      <c r="Z260" s="193">
        <v>11740</v>
      </c>
      <c r="AA260" s="193">
        <f>SUM(X260:Z260)</f>
        <v>3025740</v>
      </c>
      <c r="AB260" s="195">
        <v>45938</v>
      </c>
      <c r="AC260"/>
    </row>
    <row r="261" spans="1:29" ht="17.100000000000001" customHeight="1" thickBot="1">
      <c r="A261" s="198"/>
      <c r="B261" s="31" t="s">
        <v>1985</v>
      </c>
      <c r="C261" s="31" t="s">
        <v>4993</v>
      </c>
      <c r="D261" s="32" t="s">
        <v>399</v>
      </c>
      <c r="E261" s="200"/>
      <c r="F261" s="43" t="s">
        <v>4994</v>
      </c>
      <c r="G261" s="38">
        <v>58929</v>
      </c>
      <c r="H261" s="202"/>
      <c r="I261" s="194"/>
      <c r="J261" s="194"/>
      <c r="K261" s="194"/>
      <c r="L261" s="194"/>
      <c r="M261" s="194"/>
      <c r="N261" s="194"/>
      <c r="O261" s="192"/>
      <c r="P261" s="148" t="s">
        <v>4995</v>
      </c>
      <c r="Q261" s="33" t="s">
        <v>86</v>
      </c>
      <c r="R261" s="34" t="s">
        <v>2480</v>
      </c>
      <c r="S261" s="44" t="s">
        <v>4996</v>
      </c>
      <c r="T261" s="46"/>
      <c r="U261" s="35"/>
      <c r="V261" s="56" t="s">
        <v>3800</v>
      </c>
      <c r="W261" s="46">
        <v>37658</v>
      </c>
      <c r="X261" s="194"/>
      <c r="Y261" s="194"/>
      <c r="Z261" s="194"/>
      <c r="AA261" s="194"/>
      <c r="AB261" s="196"/>
      <c r="AC261"/>
    </row>
    <row r="262" spans="1:29" ht="17.100000000000001" customHeight="1" thickTop="1">
      <c r="A262" s="197" t="s">
        <v>4997</v>
      </c>
      <c r="B262" s="26">
        <v>45887</v>
      </c>
      <c r="C262" s="36"/>
      <c r="D262" s="28" t="s">
        <v>2112</v>
      </c>
      <c r="E262" s="199"/>
      <c r="F262" s="54" t="s">
        <v>4998</v>
      </c>
      <c r="G262" s="37" t="s">
        <v>4443</v>
      </c>
      <c r="H262" s="201">
        <v>4</v>
      </c>
      <c r="I262" s="193">
        <f>495000/1.1</f>
        <v>449999.99999999994</v>
      </c>
      <c r="J262" s="193">
        <f>I262*0.1</f>
        <v>45000</v>
      </c>
      <c r="K262" s="193">
        <v>0</v>
      </c>
      <c r="L262" s="193">
        <v>8680</v>
      </c>
      <c r="M262" s="193">
        <v>52106</v>
      </c>
      <c r="N262" s="193">
        <f>SUM(I262:M263)</f>
        <v>555786</v>
      </c>
      <c r="O262" s="191"/>
      <c r="P262" s="147" t="s">
        <v>4999</v>
      </c>
      <c r="Q262" s="29" t="s">
        <v>82</v>
      </c>
      <c r="R262" s="81"/>
      <c r="S262" s="48" t="s">
        <v>1500</v>
      </c>
      <c r="T262" s="50"/>
      <c r="U262" s="30"/>
      <c r="V262" s="58">
        <v>45951</v>
      </c>
      <c r="W262" s="52">
        <v>1914</v>
      </c>
      <c r="X262" s="193">
        <v>595000</v>
      </c>
      <c r="Y262" s="193">
        <f>X262*0.1</f>
        <v>59500</v>
      </c>
      <c r="Z262" s="193">
        <v>8680</v>
      </c>
      <c r="AA262" s="193">
        <f>SUM(X262:Z262)</f>
        <v>663180</v>
      </c>
      <c r="AB262" s="195">
        <v>45957</v>
      </c>
      <c r="AC262"/>
    </row>
    <row r="263" spans="1:29" ht="17.100000000000001" customHeight="1" thickBot="1">
      <c r="A263" s="198"/>
      <c r="B263" s="31" t="s">
        <v>1985</v>
      </c>
      <c r="C263" s="31" t="s">
        <v>5000</v>
      </c>
      <c r="D263" s="32" t="s">
        <v>95</v>
      </c>
      <c r="E263" s="200"/>
      <c r="F263" s="43" t="s">
        <v>5001</v>
      </c>
      <c r="G263" s="38">
        <v>39685</v>
      </c>
      <c r="H263" s="202"/>
      <c r="I263" s="194"/>
      <c r="J263" s="194"/>
      <c r="K263" s="194"/>
      <c r="L263" s="194"/>
      <c r="M263" s="194"/>
      <c r="N263" s="194"/>
      <c r="O263" s="192"/>
      <c r="P263" s="148" t="s">
        <v>5002</v>
      </c>
      <c r="Q263" s="33" t="s">
        <v>86</v>
      </c>
      <c r="R263" s="34" t="s">
        <v>5003</v>
      </c>
      <c r="S263" s="44" t="s">
        <v>4887</v>
      </c>
      <c r="T263" s="46"/>
      <c r="U263" s="35"/>
      <c r="V263" s="56" t="s">
        <v>2450</v>
      </c>
      <c r="W263" s="46">
        <v>3293</v>
      </c>
      <c r="X263" s="194"/>
      <c r="Y263" s="194"/>
      <c r="Z263" s="194"/>
      <c r="AA263" s="194"/>
      <c r="AB263" s="196"/>
      <c r="AC263"/>
    </row>
    <row r="264" spans="1:29" ht="17.100000000000001" customHeight="1" thickTop="1">
      <c r="A264" s="203" t="s">
        <v>5004</v>
      </c>
      <c r="B264" s="26">
        <v>45889</v>
      </c>
      <c r="C264" s="36">
        <v>1293</v>
      </c>
      <c r="D264" s="28" t="s">
        <v>5005</v>
      </c>
      <c r="E264" s="199"/>
      <c r="F264" s="54" t="s">
        <v>5006</v>
      </c>
      <c r="G264" s="37" t="s">
        <v>4794</v>
      </c>
      <c r="H264" s="201">
        <v>4</v>
      </c>
      <c r="I264" s="193">
        <v>411000</v>
      </c>
      <c r="J264" s="193">
        <f>I264*0.1</f>
        <v>41100</v>
      </c>
      <c r="K264" s="193">
        <v>0</v>
      </c>
      <c r="L264" s="193">
        <v>8570</v>
      </c>
      <c r="M264" s="193">
        <v>22000</v>
      </c>
      <c r="N264" s="193">
        <f>SUM(I264:M265)</f>
        <v>482670</v>
      </c>
      <c r="O264" s="191"/>
      <c r="P264" s="147" t="s">
        <v>5007</v>
      </c>
      <c r="Q264" s="29" t="s">
        <v>82</v>
      </c>
      <c r="R264" s="81"/>
      <c r="S264" s="48" t="s">
        <v>940</v>
      </c>
      <c r="T264" s="50"/>
      <c r="U264" s="30" t="s">
        <v>5008</v>
      </c>
      <c r="V264" s="58">
        <v>46039</v>
      </c>
      <c r="W264" s="52">
        <v>1284</v>
      </c>
      <c r="X264" s="193">
        <v>435000</v>
      </c>
      <c r="Y264" s="193">
        <f>X264*0.1</f>
        <v>43500</v>
      </c>
      <c r="Z264" s="193">
        <v>8570</v>
      </c>
      <c r="AA264" s="193">
        <f>SUM(X264:Z264)</f>
        <v>487070</v>
      </c>
      <c r="AB264" s="195">
        <v>46042</v>
      </c>
      <c r="AC264"/>
    </row>
    <row r="265" spans="1:29" ht="17.100000000000001" customHeight="1" thickBot="1">
      <c r="A265" s="204"/>
      <c r="B265" s="31" t="s">
        <v>4892</v>
      </c>
      <c r="C265" s="31">
        <v>70174</v>
      </c>
      <c r="D265" s="32" t="s">
        <v>1987</v>
      </c>
      <c r="E265" s="200"/>
      <c r="F265" s="43" t="s">
        <v>5009</v>
      </c>
      <c r="G265" s="38">
        <v>57378</v>
      </c>
      <c r="H265" s="202"/>
      <c r="I265" s="194"/>
      <c r="J265" s="194"/>
      <c r="K265" s="194"/>
      <c r="L265" s="194"/>
      <c r="M265" s="194"/>
      <c r="N265" s="194"/>
      <c r="O265" s="192"/>
      <c r="P265" s="148" t="s">
        <v>5010</v>
      </c>
      <c r="Q265" s="33" t="s">
        <v>86</v>
      </c>
      <c r="R265" s="34" t="s">
        <v>4742</v>
      </c>
      <c r="S265" s="145" t="s">
        <v>5011</v>
      </c>
      <c r="T265" s="46"/>
      <c r="U265" s="35"/>
      <c r="V265" s="56" t="s">
        <v>521</v>
      </c>
      <c r="W265" s="46">
        <v>60325</v>
      </c>
      <c r="X265" s="194"/>
      <c r="Y265" s="194"/>
      <c r="Z265" s="194"/>
      <c r="AA265" s="194"/>
      <c r="AB265" s="196"/>
      <c r="AC265"/>
    </row>
    <row r="266" spans="1:29" ht="17.100000000000001" customHeight="1" thickTop="1">
      <c r="A266" s="197" t="s">
        <v>5012</v>
      </c>
      <c r="B266" s="26">
        <v>45889</v>
      </c>
      <c r="C266" s="36"/>
      <c r="D266" s="28" t="s">
        <v>3363</v>
      </c>
      <c r="E266" s="199"/>
      <c r="F266" s="54" t="s">
        <v>5013</v>
      </c>
      <c r="G266" s="37" t="s">
        <v>5014</v>
      </c>
      <c r="H266" s="201">
        <v>4</v>
      </c>
      <c r="I266" s="193">
        <f>825000/1.1</f>
        <v>749999.99999999988</v>
      </c>
      <c r="J266" s="193">
        <f>I266*0.1</f>
        <v>74999.999999999985</v>
      </c>
      <c r="K266" s="193">
        <v>0</v>
      </c>
      <c r="L266" s="193">
        <v>8110</v>
      </c>
      <c r="M266" s="193">
        <v>69474</v>
      </c>
      <c r="N266" s="193">
        <f>SUM(I266:M267)</f>
        <v>902583.99999999988</v>
      </c>
      <c r="O266" s="191"/>
      <c r="P266" s="147" t="s">
        <v>5015</v>
      </c>
      <c r="Q266" s="29" t="s">
        <v>82</v>
      </c>
      <c r="R266" s="81"/>
      <c r="S266" s="48" t="s">
        <v>1596</v>
      </c>
      <c r="T266" s="50"/>
      <c r="U266" s="30" t="s">
        <v>5016</v>
      </c>
      <c r="V266" s="58">
        <v>45934</v>
      </c>
      <c r="W266" s="52">
        <v>1270</v>
      </c>
      <c r="X266" s="193">
        <v>865000</v>
      </c>
      <c r="Y266" s="193">
        <f>X266*0.1</f>
        <v>86500</v>
      </c>
      <c r="Z266" s="193">
        <v>8110</v>
      </c>
      <c r="AA266" s="193">
        <f>SUM(X266:Z266)</f>
        <v>959610</v>
      </c>
      <c r="AB266" s="195">
        <v>45939</v>
      </c>
      <c r="AC266"/>
    </row>
    <row r="267" spans="1:29" ht="17.100000000000001" customHeight="1" thickBot="1">
      <c r="A267" s="198"/>
      <c r="B267" s="31" t="s">
        <v>1985</v>
      </c>
      <c r="C267" s="31" t="s">
        <v>5017</v>
      </c>
      <c r="D267" s="32" t="s">
        <v>399</v>
      </c>
      <c r="E267" s="200"/>
      <c r="F267" s="43" t="s">
        <v>5018</v>
      </c>
      <c r="G267" s="38">
        <v>38024</v>
      </c>
      <c r="H267" s="202"/>
      <c r="I267" s="194"/>
      <c r="J267" s="194"/>
      <c r="K267" s="194"/>
      <c r="L267" s="194"/>
      <c r="M267" s="194"/>
      <c r="N267" s="194"/>
      <c r="O267" s="192"/>
      <c r="P267" s="148" t="s">
        <v>5019</v>
      </c>
      <c r="Q267" s="33" t="s">
        <v>86</v>
      </c>
      <c r="R267" s="34" t="s">
        <v>5020</v>
      </c>
      <c r="S267" s="44" t="s">
        <v>287</v>
      </c>
      <c r="T267" s="46"/>
      <c r="U267" s="35"/>
      <c r="V267" s="56" t="s">
        <v>3800</v>
      </c>
      <c r="W267" s="46">
        <v>60458</v>
      </c>
      <c r="X267" s="194"/>
      <c r="Y267" s="194"/>
      <c r="Z267" s="194"/>
      <c r="AA267" s="194"/>
      <c r="AB267" s="196"/>
      <c r="AC267"/>
    </row>
    <row r="268" spans="1:29" ht="17.100000000000001" customHeight="1" thickTop="1">
      <c r="A268" s="197" t="s">
        <v>5021</v>
      </c>
      <c r="B268" s="26">
        <v>45890</v>
      </c>
      <c r="C268" s="36">
        <v>1990</v>
      </c>
      <c r="D268" s="28" t="s">
        <v>5022</v>
      </c>
      <c r="E268" s="199"/>
      <c r="F268" s="54" t="s">
        <v>5023</v>
      </c>
      <c r="G268" s="37" t="s">
        <v>4899</v>
      </c>
      <c r="H268" s="201">
        <v>4</v>
      </c>
      <c r="I268" s="193">
        <v>1592000</v>
      </c>
      <c r="J268" s="193">
        <f>I268*0.1</f>
        <v>159200</v>
      </c>
      <c r="K268" s="193">
        <v>0</v>
      </c>
      <c r="L268" s="193">
        <v>8630</v>
      </c>
      <c r="M268" s="193">
        <v>22000</v>
      </c>
      <c r="N268" s="193">
        <f>SUM(I268:M269)</f>
        <v>1781830</v>
      </c>
      <c r="O268" s="191"/>
      <c r="P268" s="147" t="s">
        <v>5024</v>
      </c>
      <c r="Q268" s="29" t="s">
        <v>82</v>
      </c>
      <c r="R268" s="81"/>
      <c r="S268" s="48" t="s">
        <v>1326</v>
      </c>
      <c r="T268" s="50"/>
      <c r="U268" s="30" t="s">
        <v>5025</v>
      </c>
      <c r="V268" s="58">
        <v>45934</v>
      </c>
      <c r="W268" s="52">
        <v>1270</v>
      </c>
      <c r="X268" s="193">
        <v>1650000</v>
      </c>
      <c r="Y268" s="193">
        <f>X268*0.1</f>
        <v>165000</v>
      </c>
      <c r="Z268" s="193">
        <v>8630</v>
      </c>
      <c r="AA268" s="193">
        <f>SUM(X268:Z268)</f>
        <v>1823630</v>
      </c>
      <c r="AB268" s="195">
        <v>45944</v>
      </c>
      <c r="AC268"/>
    </row>
    <row r="269" spans="1:29" ht="17.100000000000001" customHeight="1" thickBot="1">
      <c r="A269" s="198"/>
      <c r="B269" s="31" t="s">
        <v>5026</v>
      </c>
      <c r="C269" s="31">
        <v>50145</v>
      </c>
      <c r="D269" s="32" t="s">
        <v>399</v>
      </c>
      <c r="E269" s="200"/>
      <c r="F269" s="43" t="s">
        <v>5027</v>
      </c>
      <c r="G269" s="38">
        <v>7961</v>
      </c>
      <c r="H269" s="202"/>
      <c r="I269" s="194"/>
      <c r="J269" s="194"/>
      <c r="K269" s="194"/>
      <c r="L269" s="194"/>
      <c r="M269" s="194"/>
      <c r="N269" s="194"/>
      <c r="O269" s="192"/>
      <c r="P269" s="148" t="s">
        <v>2667</v>
      </c>
      <c r="Q269" s="33" t="s">
        <v>86</v>
      </c>
      <c r="R269" s="34" t="s">
        <v>4742</v>
      </c>
      <c r="S269" s="44" t="s">
        <v>5028</v>
      </c>
      <c r="T269" s="46"/>
      <c r="U269" s="35"/>
      <c r="V269" s="56" t="s">
        <v>3200</v>
      </c>
      <c r="W269" s="46">
        <v>60369</v>
      </c>
      <c r="X269" s="194"/>
      <c r="Y269" s="194"/>
      <c r="Z269" s="194"/>
      <c r="AA269" s="194"/>
      <c r="AB269" s="196"/>
      <c r="AC269"/>
    </row>
    <row r="270" spans="1:29" ht="17.100000000000001" customHeight="1" thickTop="1">
      <c r="A270" s="197" t="s">
        <v>5029</v>
      </c>
      <c r="B270" s="26">
        <v>45890</v>
      </c>
      <c r="C270" s="36">
        <v>1529</v>
      </c>
      <c r="D270" s="28" t="s">
        <v>1843</v>
      </c>
      <c r="E270" s="199"/>
      <c r="F270" s="54" t="s">
        <v>5030</v>
      </c>
      <c r="G270" s="37"/>
      <c r="H270" s="201">
        <v>4</v>
      </c>
      <c r="I270" s="193">
        <v>1110000</v>
      </c>
      <c r="J270" s="193">
        <f>I270*0.1</f>
        <v>111000</v>
      </c>
      <c r="K270" s="193">
        <v>0</v>
      </c>
      <c r="L270" s="193">
        <v>22500</v>
      </c>
      <c r="M270" s="193">
        <v>16500</v>
      </c>
      <c r="N270" s="193">
        <f>SUM(I270:M271)</f>
        <v>1260000</v>
      </c>
      <c r="O270" s="191"/>
      <c r="P270" s="147" t="s">
        <v>5031</v>
      </c>
      <c r="Q270" s="29" t="s">
        <v>82</v>
      </c>
      <c r="R270" s="81"/>
      <c r="S270" s="48"/>
      <c r="T270" s="50"/>
      <c r="U270" s="30"/>
      <c r="V270" s="58">
        <v>45899</v>
      </c>
      <c r="W270" s="52"/>
      <c r="X270" s="193">
        <v>2680000</v>
      </c>
      <c r="Y270" s="193">
        <v>0</v>
      </c>
      <c r="Z270" s="193">
        <v>0</v>
      </c>
      <c r="AA270" s="193">
        <f>SUM(X270:Z270)</f>
        <v>2680000</v>
      </c>
      <c r="AB270" s="195">
        <v>45957</v>
      </c>
      <c r="AC270"/>
    </row>
    <row r="271" spans="1:29" ht="17.100000000000001" customHeight="1" thickBot="1">
      <c r="A271" s="198"/>
      <c r="B271" s="31" t="s">
        <v>1858</v>
      </c>
      <c r="C271" s="31">
        <v>79151</v>
      </c>
      <c r="D271" s="32" t="s">
        <v>244</v>
      </c>
      <c r="E271" s="200"/>
      <c r="F271" s="43" t="s">
        <v>5032</v>
      </c>
      <c r="G271" s="38">
        <v>52139</v>
      </c>
      <c r="H271" s="202"/>
      <c r="I271" s="194"/>
      <c r="J271" s="194"/>
      <c r="K271" s="194"/>
      <c r="L271" s="194"/>
      <c r="M271" s="194"/>
      <c r="N271" s="194"/>
      <c r="O271" s="192"/>
      <c r="P271" s="148" t="s">
        <v>5033</v>
      </c>
      <c r="Q271" s="33" t="s">
        <v>86</v>
      </c>
      <c r="R271" s="34" t="s">
        <v>4976</v>
      </c>
      <c r="S271" s="44"/>
      <c r="T271" s="46"/>
      <c r="U271" s="35"/>
      <c r="V271" s="56" t="s">
        <v>5034</v>
      </c>
      <c r="W271" s="46"/>
      <c r="X271" s="194"/>
      <c r="Y271" s="194"/>
      <c r="Z271" s="194"/>
      <c r="AA271" s="194"/>
      <c r="AB271" s="196"/>
      <c r="AC271"/>
    </row>
    <row r="272" spans="1:29" ht="17.100000000000001" customHeight="1" thickTop="1">
      <c r="A272" s="197" t="s">
        <v>5035</v>
      </c>
      <c r="B272" s="26">
        <v>45890</v>
      </c>
      <c r="C272" s="36">
        <v>2122</v>
      </c>
      <c r="D272" s="28" t="s">
        <v>2212</v>
      </c>
      <c r="E272" s="199"/>
      <c r="F272" s="54" t="s">
        <v>5036</v>
      </c>
      <c r="G272" s="37"/>
      <c r="H272" s="201">
        <v>4</v>
      </c>
      <c r="I272" s="193">
        <v>1301000</v>
      </c>
      <c r="J272" s="193">
        <f>I272*0.1</f>
        <v>130100</v>
      </c>
      <c r="K272" s="193">
        <v>0</v>
      </c>
      <c r="L272" s="193">
        <v>8550</v>
      </c>
      <c r="M272" s="193">
        <v>13750</v>
      </c>
      <c r="N272" s="193">
        <f>SUM(I272:M273)</f>
        <v>1453400</v>
      </c>
      <c r="O272" s="191"/>
      <c r="P272" s="147" t="s">
        <v>5037</v>
      </c>
      <c r="Q272" s="29" t="s">
        <v>82</v>
      </c>
      <c r="R272" s="81"/>
      <c r="S272" s="48"/>
      <c r="T272" s="50"/>
      <c r="U272" s="30"/>
      <c r="V272" s="58">
        <v>46050</v>
      </c>
      <c r="W272" s="52">
        <v>1002</v>
      </c>
      <c r="X272" s="193">
        <v>1290000</v>
      </c>
      <c r="Y272" s="193">
        <f>X272*0.1</f>
        <v>129000</v>
      </c>
      <c r="Z272" s="193">
        <v>8550</v>
      </c>
      <c r="AA272" s="193">
        <f>SUM(X272:Z272)</f>
        <v>1427550</v>
      </c>
      <c r="AB272" s="195">
        <v>46055</v>
      </c>
      <c r="AC272"/>
    </row>
    <row r="273" spans="1:29" ht="17.100000000000001" customHeight="1" thickBot="1">
      <c r="A273" s="198"/>
      <c r="B273" s="31" t="s">
        <v>3790</v>
      </c>
      <c r="C273" s="31">
        <v>2624</v>
      </c>
      <c r="D273" s="32" t="s">
        <v>399</v>
      </c>
      <c r="E273" s="200"/>
      <c r="F273" s="43" t="s">
        <v>5038</v>
      </c>
      <c r="G273" s="38">
        <v>36499</v>
      </c>
      <c r="H273" s="202"/>
      <c r="I273" s="194"/>
      <c r="J273" s="194"/>
      <c r="K273" s="194"/>
      <c r="L273" s="194"/>
      <c r="M273" s="194"/>
      <c r="N273" s="194"/>
      <c r="O273" s="192"/>
      <c r="P273" s="148" t="s">
        <v>5039</v>
      </c>
      <c r="Q273" s="33" t="s">
        <v>86</v>
      </c>
      <c r="R273" s="34" t="s">
        <v>4742</v>
      </c>
      <c r="S273" s="44" t="s">
        <v>287</v>
      </c>
      <c r="T273" s="46"/>
      <c r="U273" s="35"/>
      <c r="V273" s="56" t="s">
        <v>5040</v>
      </c>
      <c r="W273" s="46">
        <v>5120</v>
      </c>
      <c r="X273" s="194"/>
      <c r="Y273" s="194"/>
      <c r="Z273" s="194"/>
      <c r="AA273" s="194"/>
      <c r="AB273" s="196"/>
      <c r="AC273"/>
    </row>
    <row r="274" spans="1:29" ht="17.100000000000001" customHeight="1" thickTop="1">
      <c r="A274" s="197" t="s">
        <v>5041</v>
      </c>
      <c r="B274" s="26">
        <v>45890</v>
      </c>
      <c r="C274" s="36">
        <v>1718</v>
      </c>
      <c r="D274" s="28" t="s">
        <v>1804</v>
      </c>
      <c r="E274" s="199"/>
      <c r="F274" s="54" t="s">
        <v>5042</v>
      </c>
      <c r="G274" s="37" t="s">
        <v>3397</v>
      </c>
      <c r="H274" s="201">
        <v>4</v>
      </c>
      <c r="I274" s="193">
        <v>537000</v>
      </c>
      <c r="J274" s="193">
        <f>I274*0.1</f>
        <v>53700</v>
      </c>
      <c r="K274" s="193">
        <v>10800</v>
      </c>
      <c r="L274" s="193">
        <v>8780</v>
      </c>
      <c r="M274" s="193">
        <v>15400</v>
      </c>
      <c r="N274" s="193">
        <f>SUM(I274:M275)</f>
        <v>625680</v>
      </c>
      <c r="O274" s="191"/>
      <c r="P274" s="147" t="s">
        <v>5043</v>
      </c>
      <c r="Q274" s="29" t="s">
        <v>82</v>
      </c>
      <c r="R274" s="81"/>
      <c r="S274" s="48"/>
      <c r="T274" s="50"/>
      <c r="U274" s="30" t="s">
        <v>5044</v>
      </c>
      <c r="V274" s="58">
        <v>45955</v>
      </c>
      <c r="W274" s="52">
        <v>1273</v>
      </c>
      <c r="X274" s="193">
        <v>610000</v>
      </c>
      <c r="Y274" s="193">
        <f>X274*0.1</f>
        <v>61000</v>
      </c>
      <c r="Z274" s="193">
        <v>8780</v>
      </c>
      <c r="AA274" s="193">
        <f>SUM(X274:Z274)</f>
        <v>679780</v>
      </c>
      <c r="AB274" s="195">
        <v>45958</v>
      </c>
      <c r="AC274"/>
    </row>
    <row r="275" spans="1:29" ht="17.100000000000001" customHeight="1" thickBot="1">
      <c r="A275" s="198"/>
      <c r="B275" s="31" t="s">
        <v>5045</v>
      </c>
      <c r="C275" s="31">
        <v>3038</v>
      </c>
      <c r="D275" s="32" t="s">
        <v>2346</v>
      </c>
      <c r="E275" s="200"/>
      <c r="F275" s="43" t="s">
        <v>5046</v>
      </c>
      <c r="G275" s="38">
        <v>53434</v>
      </c>
      <c r="H275" s="202"/>
      <c r="I275" s="194"/>
      <c r="J275" s="194"/>
      <c r="K275" s="194"/>
      <c r="L275" s="194"/>
      <c r="M275" s="194"/>
      <c r="N275" s="194"/>
      <c r="O275" s="192"/>
      <c r="P275" s="148" t="s">
        <v>5047</v>
      </c>
      <c r="Q275" s="33" t="s">
        <v>86</v>
      </c>
      <c r="R275" s="34" t="s">
        <v>4742</v>
      </c>
      <c r="S275" s="44" t="s">
        <v>5048</v>
      </c>
      <c r="T275" s="46"/>
      <c r="U275" s="35"/>
      <c r="V275" s="56" t="s">
        <v>521</v>
      </c>
      <c r="W275" s="46">
        <v>60184</v>
      </c>
      <c r="X275" s="194"/>
      <c r="Y275" s="194"/>
      <c r="Z275" s="194"/>
      <c r="AA275" s="194"/>
      <c r="AB275" s="196"/>
      <c r="AC275"/>
    </row>
    <row r="276" spans="1:29" ht="17.100000000000001" customHeight="1" thickTop="1">
      <c r="A276" s="197" t="s">
        <v>5049</v>
      </c>
      <c r="B276" s="26">
        <v>45891</v>
      </c>
      <c r="C276" s="36">
        <v>2098</v>
      </c>
      <c r="D276" s="28" t="s">
        <v>2212</v>
      </c>
      <c r="E276" s="199"/>
      <c r="F276" s="54" t="s">
        <v>5050</v>
      </c>
      <c r="G276" s="37"/>
      <c r="H276" s="201">
        <v>4</v>
      </c>
      <c r="I276" s="193">
        <v>1180000</v>
      </c>
      <c r="J276" s="193">
        <f>I276*0.1</f>
        <v>118000</v>
      </c>
      <c r="K276" s="193">
        <v>0</v>
      </c>
      <c r="L276" s="193">
        <v>9140</v>
      </c>
      <c r="M276" s="193">
        <v>16500</v>
      </c>
      <c r="N276" s="193">
        <f>SUM(I276:M277)</f>
        <v>1323640</v>
      </c>
      <c r="O276" s="191"/>
      <c r="P276" s="147" t="s">
        <v>5051</v>
      </c>
      <c r="Q276" s="29" t="s">
        <v>82</v>
      </c>
      <c r="R276" s="81"/>
      <c r="S276" s="48" t="s">
        <v>5052</v>
      </c>
      <c r="T276" s="50"/>
      <c r="U276" s="30"/>
      <c r="V276" s="58">
        <v>45938</v>
      </c>
      <c r="W276" s="52">
        <v>987</v>
      </c>
      <c r="X276" s="193">
        <v>1205000</v>
      </c>
      <c r="Y276" s="193">
        <f>X276*0.1</f>
        <v>120500</v>
      </c>
      <c r="Z276" s="193">
        <v>9140</v>
      </c>
      <c r="AA276" s="193">
        <f>SUM(X276:Z276)</f>
        <v>1334640</v>
      </c>
      <c r="AB276" s="195">
        <v>45944</v>
      </c>
      <c r="AC276"/>
    </row>
    <row r="277" spans="1:29" ht="17.100000000000001" customHeight="1" thickBot="1">
      <c r="A277" s="198"/>
      <c r="B277" s="31" t="s">
        <v>1797</v>
      </c>
      <c r="C277" s="31">
        <v>55167</v>
      </c>
      <c r="D277" s="32" t="s">
        <v>1832</v>
      </c>
      <c r="E277" s="200"/>
      <c r="F277" s="43" t="s">
        <v>5053</v>
      </c>
      <c r="G277" s="38">
        <v>52895</v>
      </c>
      <c r="H277" s="202"/>
      <c r="I277" s="194"/>
      <c r="J277" s="194"/>
      <c r="K277" s="194"/>
      <c r="L277" s="194"/>
      <c r="M277" s="194"/>
      <c r="N277" s="194"/>
      <c r="O277" s="192"/>
      <c r="P277" s="148" t="s">
        <v>3061</v>
      </c>
      <c r="Q277" s="33" t="s">
        <v>86</v>
      </c>
      <c r="R277" s="34" t="s">
        <v>3427</v>
      </c>
      <c r="S277" s="44" t="s">
        <v>5054</v>
      </c>
      <c r="T277" s="46"/>
      <c r="U277" s="35"/>
      <c r="V277" s="56" t="s">
        <v>104</v>
      </c>
      <c r="W277" s="46">
        <v>2011</v>
      </c>
      <c r="X277" s="194"/>
      <c r="Y277" s="194"/>
      <c r="Z277" s="194"/>
      <c r="AA277" s="194"/>
      <c r="AB277" s="196"/>
      <c r="AC277"/>
    </row>
    <row r="278" spans="1:29" ht="17.100000000000001" customHeight="1" thickTop="1">
      <c r="A278" s="197" t="s">
        <v>5055</v>
      </c>
      <c r="B278" s="26">
        <v>45891</v>
      </c>
      <c r="C278" s="36">
        <v>2098</v>
      </c>
      <c r="D278" s="28" t="s">
        <v>1258</v>
      </c>
      <c r="E278" s="199"/>
      <c r="F278" s="54" t="s">
        <v>5056</v>
      </c>
      <c r="G278" s="37" t="s">
        <v>5057</v>
      </c>
      <c r="H278" s="201">
        <v>4.5</v>
      </c>
      <c r="I278" s="193">
        <v>1220000</v>
      </c>
      <c r="J278" s="193">
        <f>I278*0.1</f>
        <v>122000</v>
      </c>
      <c r="K278" s="193">
        <v>0</v>
      </c>
      <c r="L278" s="193">
        <v>7150</v>
      </c>
      <c r="M278" s="193">
        <v>16500</v>
      </c>
      <c r="N278" s="193">
        <f>SUM(I278:M279)</f>
        <v>1365650</v>
      </c>
      <c r="O278" s="191"/>
      <c r="P278" s="147" t="s">
        <v>5058</v>
      </c>
      <c r="Q278" s="29" t="s">
        <v>82</v>
      </c>
      <c r="R278" s="81"/>
      <c r="S278" s="48" t="s">
        <v>940</v>
      </c>
      <c r="T278" s="50"/>
      <c r="U278" s="30" t="s">
        <v>5059</v>
      </c>
      <c r="V278" s="58">
        <v>45955</v>
      </c>
      <c r="W278" s="52">
        <v>1273</v>
      </c>
      <c r="X278" s="193">
        <v>1235000</v>
      </c>
      <c r="Y278" s="193">
        <f>X278*0.1</f>
        <v>123500</v>
      </c>
      <c r="Z278" s="193">
        <v>7150</v>
      </c>
      <c r="AA278" s="193">
        <f>SUM(X278:Z278)</f>
        <v>1365650</v>
      </c>
      <c r="AB278" s="195">
        <v>45960</v>
      </c>
      <c r="AC278"/>
    </row>
    <row r="279" spans="1:29" ht="17.100000000000001" customHeight="1" thickBot="1">
      <c r="A279" s="198"/>
      <c r="B279" s="31" t="s">
        <v>1797</v>
      </c>
      <c r="C279" s="31">
        <v>55707</v>
      </c>
      <c r="D279" s="32" t="s">
        <v>399</v>
      </c>
      <c r="E279" s="200"/>
      <c r="F279" s="43" t="s">
        <v>5060</v>
      </c>
      <c r="G279" s="38">
        <v>33823</v>
      </c>
      <c r="H279" s="202"/>
      <c r="I279" s="194"/>
      <c r="J279" s="194"/>
      <c r="K279" s="194"/>
      <c r="L279" s="194"/>
      <c r="M279" s="194"/>
      <c r="N279" s="194"/>
      <c r="O279" s="192"/>
      <c r="P279" s="148" t="s">
        <v>5061</v>
      </c>
      <c r="Q279" s="33" t="s">
        <v>86</v>
      </c>
      <c r="R279" s="34" t="s">
        <v>4742</v>
      </c>
      <c r="S279" s="44" t="s">
        <v>5062</v>
      </c>
      <c r="T279" s="46"/>
      <c r="U279" s="35"/>
      <c r="V279" s="56" t="s">
        <v>521</v>
      </c>
      <c r="W279" s="46">
        <v>60133</v>
      </c>
      <c r="X279" s="194"/>
      <c r="Y279" s="194"/>
      <c r="Z279" s="194"/>
      <c r="AA279" s="194"/>
      <c r="AB279" s="196"/>
      <c r="AC279"/>
    </row>
    <row r="280" spans="1:29" ht="17.100000000000001" customHeight="1" thickTop="1">
      <c r="A280" s="197" t="s">
        <v>5063</v>
      </c>
      <c r="B280" s="26">
        <v>45891</v>
      </c>
      <c r="C280" s="36">
        <v>2098</v>
      </c>
      <c r="D280" s="28" t="s">
        <v>3152</v>
      </c>
      <c r="E280" s="199"/>
      <c r="F280" s="54" t="s">
        <v>5064</v>
      </c>
      <c r="G280" s="37" t="s">
        <v>5065</v>
      </c>
      <c r="H280" s="201">
        <v>4.5</v>
      </c>
      <c r="I280" s="193">
        <v>2800000</v>
      </c>
      <c r="J280" s="193">
        <f>I280*0.1</f>
        <v>280000</v>
      </c>
      <c r="K280" s="193">
        <f>21000+2100</f>
        <v>23100</v>
      </c>
      <c r="L280" s="193">
        <v>16240</v>
      </c>
      <c r="M280" s="193">
        <v>16500</v>
      </c>
      <c r="N280" s="193">
        <f>SUM(I280:M281)</f>
        <v>3135840</v>
      </c>
      <c r="O280" s="191"/>
      <c r="P280" s="147" t="s">
        <v>5066</v>
      </c>
      <c r="Q280" s="29" t="s">
        <v>82</v>
      </c>
      <c r="R280" s="81"/>
      <c r="S280" s="48" t="s">
        <v>1494</v>
      </c>
      <c r="T280" s="50"/>
      <c r="U280" s="30" t="s">
        <v>5067</v>
      </c>
      <c r="V280" s="58">
        <v>45919</v>
      </c>
      <c r="W280" s="52"/>
      <c r="X280" s="193">
        <v>3992040</v>
      </c>
      <c r="Y280" s="193">
        <v>0</v>
      </c>
      <c r="Z280" s="193">
        <v>0</v>
      </c>
      <c r="AA280" s="193">
        <f>SUM(X280:Z280)</f>
        <v>3992040</v>
      </c>
      <c r="AB280" s="195">
        <v>45949</v>
      </c>
      <c r="AC280"/>
    </row>
    <row r="281" spans="1:29" ht="17.100000000000001" customHeight="1" thickBot="1">
      <c r="A281" s="198"/>
      <c r="B281" s="31" t="s">
        <v>1797</v>
      </c>
      <c r="C281" s="31">
        <v>58214</v>
      </c>
      <c r="D281" s="32" t="s">
        <v>244</v>
      </c>
      <c r="E281" s="200"/>
      <c r="F281" s="43" t="s">
        <v>5068</v>
      </c>
      <c r="G281" s="38">
        <v>39082</v>
      </c>
      <c r="H281" s="202"/>
      <c r="I281" s="194"/>
      <c r="J281" s="194"/>
      <c r="K281" s="194"/>
      <c r="L281" s="194"/>
      <c r="M281" s="194"/>
      <c r="N281" s="194"/>
      <c r="O281" s="192"/>
      <c r="P281" s="148" t="s">
        <v>1851</v>
      </c>
      <c r="Q281" s="33" t="s">
        <v>86</v>
      </c>
      <c r="R281" s="34" t="s">
        <v>4742</v>
      </c>
      <c r="S281" s="44" t="s">
        <v>1872</v>
      </c>
      <c r="T281" s="46"/>
      <c r="U281" s="35"/>
      <c r="V281" s="56" t="s">
        <v>5069</v>
      </c>
      <c r="W281" s="46"/>
      <c r="X281" s="194"/>
      <c r="Y281" s="194"/>
      <c r="Z281" s="194"/>
      <c r="AA281" s="194"/>
      <c r="AB281" s="196"/>
      <c r="AC281"/>
    </row>
    <row r="282" spans="1:29" ht="17.100000000000001" customHeight="1" thickTop="1">
      <c r="A282" s="197" t="s">
        <v>5070</v>
      </c>
      <c r="B282" s="26">
        <v>45891</v>
      </c>
      <c r="C282" s="36">
        <v>2098</v>
      </c>
      <c r="D282" s="28" t="s">
        <v>2878</v>
      </c>
      <c r="E282" s="199"/>
      <c r="F282" s="54" t="s">
        <v>5071</v>
      </c>
      <c r="G282" s="37"/>
      <c r="H282" s="201">
        <v>4</v>
      </c>
      <c r="I282" s="193">
        <v>345000</v>
      </c>
      <c r="J282" s="193">
        <v>0</v>
      </c>
      <c r="K282" s="193">
        <v>0</v>
      </c>
      <c r="L282" s="193">
        <v>9790</v>
      </c>
      <c r="M282" s="193">
        <v>16500</v>
      </c>
      <c r="N282" s="193">
        <f>SUM(I282:M283)</f>
        <v>371290</v>
      </c>
      <c r="O282" s="191"/>
      <c r="P282" s="147" t="s">
        <v>5072</v>
      </c>
      <c r="Q282" s="29" t="s">
        <v>82</v>
      </c>
      <c r="R282" s="81"/>
      <c r="S282" s="48" t="s">
        <v>1666</v>
      </c>
      <c r="T282" s="50"/>
      <c r="U282" s="30"/>
      <c r="V282" s="58">
        <v>45955</v>
      </c>
      <c r="W282" s="52">
        <v>1273</v>
      </c>
      <c r="X282" s="193">
        <v>405000</v>
      </c>
      <c r="Y282" s="193">
        <f>X282*0.1</f>
        <v>40500</v>
      </c>
      <c r="Z282" s="193">
        <v>9790</v>
      </c>
      <c r="AA282" s="193">
        <f>SUM(X282:Z282)</f>
        <v>455290</v>
      </c>
      <c r="AB282" s="195">
        <v>45958</v>
      </c>
      <c r="AC282"/>
    </row>
    <row r="283" spans="1:29" ht="17.100000000000001" customHeight="1" thickBot="1">
      <c r="A283" s="198"/>
      <c r="B283" s="31" t="s">
        <v>1797</v>
      </c>
      <c r="C283" s="31">
        <v>85164</v>
      </c>
      <c r="D283" s="32" t="s">
        <v>3226</v>
      </c>
      <c r="E283" s="200"/>
      <c r="F283" s="43" t="s">
        <v>5073</v>
      </c>
      <c r="G283" s="38">
        <v>49672</v>
      </c>
      <c r="H283" s="202"/>
      <c r="I283" s="194"/>
      <c r="J283" s="194"/>
      <c r="K283" s="194"/>
      <c r="L283" s="194"/>
      <c r="M283" s="194"/>
      <c r="N283" s="194"/>
      <c r="O283" s="192"/>
      <c r="P283" s="148" t="s">
        <v>5074</v>
      </c>
      <c r="Q283" s="33" t="s">
        <v>86</v>
      </c>
      <c r="R283" s="34" t="s">
        <v>3427</v>
      </c>
      <c r="S283" s="44" t="s">
        <v>5075</v>
      </c>
      <c r="T283" s="46"/>
      <c r="U283" s="35"/>
      <c r="V283" s="56" t="s">
        <v>521</v>
      </c>
      <c r="W283" s="46">
        <v>60135</v>
      </c>
      <c r="X283" s="194"/>
      <c r="Y283" s="194"/>
      <c r="Z283" s="194"/>
      <c r="AA283" s="194"/>
      <c r="AB283" s="196"/>
      <c r="AC283"/>
    </row>
    <row r="284" spans="1:29" ht="17.100000000000001" customHeight="1" thickTop="1">
      <c r="A284" s="197" t="s">
        <v>5076</v>
      </c>
      <c r="B284" s="26">
        <v>45891</v>
      </c>
      <c r="C284" s="36"/>
      <c r="D284" s="28" t="s">
        <v>2342</v>
      </c>
      <c r="E284" s="199"/>
      <c r="F284" s="54" t="s">
        <v>5077</v>
      </c>
      <c r="G284" s="37" t="s">
        <v>5078</v>
      </c>
      <c r="H284" s="201">
        <v>4.5</v>
      </c>
      <c r="I284" s="193">
        <f>1413500/1.1</f>
        <v>1285000</v>
      </c>
      <c r="J284" s="193">
        <f>I284*0.1</f>
        <v>128500</v>
      </c>
      <c r="K284" s="193">
        <v>12700</v>
      </c>
      <c r="L284" s="193">
        <v>8170</v>
      </c>
      <c r="M284" s="193">
        <v>90338</v>
      </c>
      <c r="N284" s="193">
        <f>SUM(I284:M285)</f>
        <v>1524708</v>
      </c>
      <c r="O284" s="191"/>
      <c r="P284" s="147" t="s">
        <v>5079</v>
      </c>
      <c r="Q284" s="29" t="s">
        <v>82</v>
      </c>
      <c r="R284" s="81"/>
      <c r="S284" s="48" t="s">
        <v>1500</v>
      </c>
      <c r="T284" s="50"/>
      <c r="U284" s="30"/>
      <c r="V284" s="58">
        <v>45941</v>
      </c>
      <c r="W284" s="52">
        <v>1271</v>
      </c>
      <c r="X284" s="193">
        <v>1415000</v>
      </c>
      <c r="Y284" s="193">
        <f>X284*0.1</f>
        <v>141500</v>
      </c>
      <c r="Z284" s="193">
        <v>8170</v>
      </c>
      <c r="AA284" s="193">
        <f>SUM(X284:Z284)</f>
        <v>1564670</v>
      </c>
      <c r="AB284" s="195">
        <v>45944</v>
      </c>
      <c r="AC284"/>
    </row>
    <row r="285" spans="1:29" ht="17.100000000000001" customHeight="1" thickBot="1">
      <c r="A285" s="198"/>
      <c r="B285" s="31" t="s">
        <v>1985</v>
      </c>
      <c r="C285" s="31" t="s">
        <v>5080</v>
      </c>
      <c r="D285" s="32" t="s">
        <v>1849</v>
      </c>
      <c r="E285" s="200"/>
      <c r="F285" s="43" t="s">
        <v>5081</v>
      </c>
      <c r="G285" s="38">
        <v>18500</v>
      </c>
      <c r="H285" s="202"/>
      <c r="I285" s="194"/>
      <c r="J285" s="194"/>
      <c r="K285" s="194"/>
      <c r="L285" s="194"/>
      <c r="M285" s="194"/>
      <c r="N285" s="194"/>
      <c r="O285" s="192"/>
      <c r="P285" s="148" t="s">
        <v>5082</v>
      </c>
      <c r="Q285" s="33" t="s">
        <v>86</v>
      </c>
      <c r="R285" s="34" t="s">
        <v>3833</v>
      </c>
      <c r="S285" s="44" t="s">
        <v>5083</v>
      </c>
      <c r="T285" s="46"/>
      <c r="U285" s="35"/>
      <c r="V285" s="56" t="s">
        <v>521</v>
      </c>
      <c r="W285" s="46">
        <v>37518</v>
      </c>
      <c r="X285" s="194"/>
      <c r="Y285" s="194"/>
      <c r="Z285" s="194"/>
      <c r="AA285" s="194"/>
      <c r="AB285" s="196"/>
      <c r="AC285"/>
    </row>
    <row r="286" spans="1:29" ht="17.100000000000001" customHeight="1" thickTop="1">
      <c r="A286" s="197" t="s">
        <v>5084</v>
      </c>
      <c r="B286" s="26">
        <v>45891</v>
      </c>
      <c r="C286" s="36"/>
      <c r="D286" s="28" t="s">
        <v>2136</v>
      </c>
      <c r="E286" s="199"/>
      <c r="F286" s="54" t="s">
        <v>5085</v>
      </c>
      <c r="G286" s="37" t="s">
        <v>3291</v>
      </c>
      <c r="H286" s="201">
        <v>4.5</v>
      </c>
      <c r="I286" s="193">
        <f>2409000/1.1</f>
        <v>2190000</v>
      </c>
      <c r="J286" s="193">
        <f>I286*0.1</f>
        <v>219000</v>
      </c>
      <c r="K286" s="193">
        <v>15000</v>
      </c>
      <c r="L286" s="193">
        <v>12470</v>
      </c>
      <c r="M286" s="193">
        <v>115225</v>
      </c>
      <c r="N286" s="193">
        <f>SUM(I286:M287)</f>
        <v>2551695</v>
      </c>
      <c r="O286" s="191"/>
      <c r="P286" s="147" t="s">
        <v>5086</v>
      </c>
      <c r="Q286" s="29" t="s">
        <v>82</v>
      </c>
      <c r="R286" s="81"/>
      <c r="S286" s="48"/>
      <c r="T286" s="190" t="s">
        <v>5087</v>
      </c>
      <c r="U286" s="30"/>
      <c r="V286" s="58">
        <v>45941</v>
      </c>
      <c r="W286" s="52">
        <v>1271</v>
      </c>
      <c r="X286" s="193">
        <v>2400000</v>
      </c>
      <c r="Y286" s="193">
        <f>X286*0.1</f>
        <v>240000</v>
      </c>
      <c r="Z286" s="193">
        <v>12470</v>
      </c>
      <c r="AA286" s="193">
        <f>SUM(X286:Z286)</f>
        <v>2652470</v>
      </c>
      <c r="AB286" s="195">
        <v>45950</v>
      </c>
      <c r="AC286"/>
    </row>
    <row r="287" spans="1:29" ht="17.100000000000001" customHeight="1" thickBot="1">
      <c r="A287" s="198"/>
      <c r="B287" s="31" t="s">
        <v>1985</v>
      </c>
      <c r="C287" s="31" t="s">
        <v>5088</v>
      </c>
      <c r="D287" s="32" t="s">
        <v>95</v>
      </c>
      <c r="E287" s="200"/>
      <c r="F287" s="43" t="s">
        <v>5089</v>
      </c>
      <c r="G287" s="38">
        <v>47565</v>
      </c>
      <c r="H287" s="202"/>
      <c r="I287" s="194"/>
      <c r="J287" s="194"/>
      <c r="K287" s="194"/>
      <c r="L287" s="194"/>
      <c r="M287" s="194"/>
      <c r="N287" s="194"/>
      <c r="O287" s="192"/>
      <c r="P287" s="148" t="s">
        <v>5090</v>
      </c>
      <c r="Q287" s="33" t="s">
        <v>86</v>
      </c>
      <c r="R287" s="34" t="s">
        <v>1852</v>
      </c>
      <c r="S287" s="44" t="s">
        <v>5091</v>
      </c>
      <c r="T287" s="46"/>
      <c r="U287" s="35"/>
      <c r="V287" s="56" t="s">
        <v>521</v>
      </c>
      <c r="W287" s="46">
        <v>37667</v>
      </c>
      <c r="X287" s="194"/>
      <c r="Y287" s="194"/>
      <c r="Z287" s="194"/>
      <c r="AA287" s="194"/>
      <c r="AB287" s="196"/>
      <c r="AC287"/>
    </row>
    <row r="288" spans="1:29" ht="17.100000000000001" customHeight="1" thickTop="1">
      <c r="A288" s="197" t="s">
        <v>5092</v>
      </c>
      <c r="B288" s="26">
        <v>45891</v>
      </c>
      <c r="C288" s="36">
        <v>1382</v>
      </c>
      <c r="D288" s="28" t="s">
        <v>5093</v>
      </c>
      <c r="E288" s="199"/>
      <c r="F288" s="54" t="s">
        <v>5094</v>
      </c>
      <c r="G288" s="37" t="s">
        <v>5095</v>
      </c>
      <c r="H288" s="201">
        <v>4</v>
      </c>
      <c r="I288" s="193">
        <v>519000</v>
      </c>
      <c r="J288" s="193">
        <f>I288*0.1</f>
        <v>51900</v>
      </c>
      <c r="K288" s="193">
        <v>0</v>
      </c>
      <c r="L288" s="193">
        <v>10070</v>
      </c>
      <c r="M288" s="193">
        <v>13200</v>
      </c>
      <c r="N288" s="193">
        <f>SUM(I288:M289)</f>
        <v>594170</v>
      </c>
      <c r="O288" s="191"/>
      <c r="P288" s="147" t="s">
        <v>5096</v>
      </c>
      <c r="Q288" s="29" t="s">
        <v>82</v>
      </c>
      <c r="R288" s="81"/>
      <c r="S288" s="48" t="s">
        <v>2362</v>
      </c>
      <c r="T288" s="50"/>
      <c r="U288" s="30" t="s">
        <v>5097</v>
      </c>
      <c r="V288" s="58">
        <v>45934</v>
      </c>
      <c r="W288" s="52">
        <v>1270</v>
      </c>
      <c r="X288" s="193">
        <v>590000</v>
      </c>
      <c r="Y288" s="193">
        <f>X288*0.1</f>
        <v>59000</v>
      </c>
      <c r="Z288" s="193">
        <v>10070</v>
      </c>
      <c r="AA288" s="193">
        <f>SUM(X288:Z288)</f>
        <v>659070</v>
      </c>
      <c r="AB288" s="195">
        <v>45944</v>
      </c>
      <c r="AC288"/>
    </row>
    <row r="289" spans="1:29" ht="17.100000000000001" customHeight="1" thickBot="1">
      <c r="A289" s="198"/>
      <c r="B289" s="31" t="s">
        <v>3039</v>
      </c>
      <c r="C289" s="31">
        <v>5519</v>
      </c>
      <c r="D289" s="32" t="s">
        <v>1097</v>
      </c>
      <c r="E289" s="200"/>
      <c r="F289" s="43" t="s">
        <v>5098</v>
      </c>
      <c r="G289" s="38">
        <v>28630</v>
      </c>
      <c r="H289" s="202"/>
      <c r="I289" s="194"/>
      <c r="J289" s="194"/>
      <c r="K289" s="194"/>
      <c r="L289" s="194"/>
      <c r="M289" s="194"/>
      <c r="N289" s="194"/>
      <c r="O289" s="192"/>
      <c r="P289" s="148" t="s">
        <v>5099</v>
      </c>
      <c r="Q289" s="33" t="s">
        <v>86</v>
      </c>
      <c r="R289" s="34" t="s">
        <v>4742</v>
      </c>
      <c r="S289" s="44" t="s">
        <v>5100</v>
      </c>
      <c r="T289" s="46"/>
      <c r="U289" s="35"/>
      <c r="V289" s="56" t="s">
        <v>3200</v>
      </c>
      <c r="W289" s="46">
        <v>60385</v>
      </c>
      <c r="X289" s="194"/>
      <c r="Y289" s="194"/>
      <c r="Z289" s="194"/>
      <c r="AA289" s="194"/>
      <c r="AB289" s="196"/>
      <c r="AC289"/>
    </row>
    <row r="290" spans="1:29" ht="17.100000000000001" customHeight="1" thickTop="1">
      <c r="A290" s="197" t="s">
        <v>5101</v>
      </c>
      <c r="B290" s="26">
        <v>45891</v>
      </c>
      <c r="C290" s="36"/>
      <c r="D290" s="28" t="s">
        <v>5102</v>
      </c>
      <c r="E290" s="199"/>
      <c r="F290" s="54" t="s">
        <v>5103</v>
      </c>
      <c r="G290" s="37" t="s">
        <v>2914</v>
      </c>
      <c r="H290" s="201"/>
      <c r="I290" s="193">
        <v>2050000</v>
      </c>
      <c r="J290" s="193">
        <v>0</v>
      </c>
      <c r="K290" s="193"/>
      <c r="L290" s="193"/>
      <c r="M290" s="193"/>
      <c r="N290" s="193">
        <f>SUM(I290:M291)</f>
        <v>2050000</v>
      </c>
      <c r="O290" s="191"/>
      <c r="P290" s="147" t="s">
        <v>5104</v>
      </c>
      <c r="Q290" s="29" t="s">
        <v>82</v>
      </c>
      <c r="R290" s="81"/>
      <c r="S290" s="48"/>
      <c r="T290" s="50"/>
      <c r="U290" s="30"/>
      <c r="V290" s="58">
        <v>45907</v>
      </c>
      <c r="W290" s="52"/>
      <c r="X290" s="193">
        <v>3179000</v>
      </c>
      <c r="Y290" s="193">
        <v>0</v>
      </c>
      <c r="Z290" s="193">
        <v>0</v>
      </c>
      <c r="AA290" s="193">
        <f>SUM(X290:Z290)</f>
        <v>3179000</v>
      </c>
      <c r="AB290" s="195">
        <v>45957</v>
      </c>
      <c r="AC290"/>
    </row>
    <row r="291" spans="1:29" ht="17.100000000000001" customHeight="1" thickBot="1">
      <c r="A291" s="198"/>
      <c r="B291" s="31" t="s">
        <v>5105</v>
      </c>
      <c r="C291" s="31"/>
      <c r="D291" s="32"/>
      <c r="E291" s="200"/>
      <c r="F291" s="43" t="s">
        <v>5106</v>
      </c>
      <c r="G291" s="38"/>
      <c r="H291" s="202"/>
      <c r="I291" s="194"/>
      <c r="J291" s="194"/>
      <c r="K291" s="194"/>
      <c r="L291" s="194"/>
      <c r="M291" s="194"/>
      <c r="N291" s="194"/>
      <c r="O291" s="192"/>
      <c r="P291" s="148" t="s">
        <v>5107</v>
      </c>
      <c r="Q291" s="33" t="s">
        <v>86</v>
      </c>
      <c r="R291" s="34" t="s">
        <v>2921</v>
      </c>
      <c r="S291" s="44" t="s">
        <v>96</v>
      </c>
      <c r="T291" s="46"/>
      <c r="U291" s="35"/>
      <c r="V291" s="56" t="s">
        <v>5108</v>
      </c>
      <c r="W291" s="46"/>
      <c r="X291" s="194"/>
      <c r="Y291" s="194"/>
      <c r="Z291" s="194"/>
      <c r="AA291" s="194"/>
      <c r="AB291" s="196"/>
      <c r="AC291"/>
    </row>
    <row r="292" spans="1:29" ht="17.100000000000001" customHeight="1" thickTop="1">
      <c r="A292" s="197" t="s">
        <v>5109</v>
      </c>
      <c r="B292" s="26">
        <v>45892</v>
      </c>
      <c r="C292" s="36">
        <v>986</v>
      </c>
      <c r="D292" s="28" t="s">
        <v>2828</v>
      </c>
      <c r="E292" s="199"/>
      <c r="F292" s="54" t="s">
        <v>5110</v>
      </c>
      <c r="G292" s="37" t="s">
        <v>5057</v>
      </c>
      <c r="H292" s="201">
        <v>3.5</v>
      </c>
      <c r="I292" s="193">
        <v>1490000</v>
      </c>
      <c r="J292" s="193">
        <f>I292*0.1</f>
        <v>149000</v>
      </c>
      <c r="K292" s="193">
        <v>25300</v>
      </c>
      <c r="L292" s="193">
        <v>21220</v>
      </c>
      <c r="M292" s="193">
        <v>19250</v>
      </c>
      <c r="N292" s="193">
        <f>SUM(I292:M293)</f>
        <v>1704770</v>
      </c>
      <c r="O292" s="191"/>
      <c r="P292" s="147" t="s">
        <v>5111</v>
      </c>
      <c r="Q292" s="29" t="s">
        <v>82</v>
      </c>
      <c r="R292" s="81"/>
      <c r="S292" s="48" t="s">
        <v>940</v>
      </c>
      <c r="T292" s="50"/>
      <c r="U292" s="30" t="s">
        <v>5112</v>
      </c>
      <c r="V292" s="58">
        <v>46300</v>
      </c>
      <c r="W292" s="52"/>
      <c r="X292" s="193">
        <v>3100000</v>
      </c>
      <c r="Y292" s="193">
        <v>0</v>
      </c>
      <c r="Z292" s="193">
        <v>0</v>
      </c>
      <c r="AA292" s="193">
        <f>SUM(X292:Z292)</f>
        <v>3100000</v>
      </c>
      <c r="AB292" s="195">
        <v>46370</v>
      </c>
      <c r="AC292"/>
    </row>
    <row r="293" spans="1:29" ht="17.100000000000001" customHeight="1" thickBot="1">
      <c r="A293" s="198"/>
      <c r="B293" s="31" t="s">
        <v>1972</v>
      </c>
      <c r="C293" s="31">
        <v>5014</v>
      </c>
      <c r="D293" s="32" t="s">
        <v>399</v>
      </c>
      <c r="E293" s="200"/>
      <c r="F293" s="43" t="s">
        <v>5113</v>
      </c>
      <c r="G293" s="38">
        <v>37244</v>
      </c>
      <c r="H293" s="202"/>
      <c r="I293" s="194"/>
      <c r="J293" s="194"/>
      <c r="K293" s="194"/>
      <c r="L293" s="194"/>
      <c r="M293" s="194"/>
      <c r="N293" s="194"/>
      <c r="O293" s="192"/>
      <c r="P293" s="148" t="s">
        <v>5114</v>
      </c>
      <c r="Q293" s="33" t="s">
        <v>86</v>
      </c>
      <c r="R293" s="34" t="s">
        <v>4742</v>
      </c>
      <c r="S293" s="44" t="s">
        <v>5115</v>
      </c>
      <c r="T293" s="46"/>
      <c r="U293" s="35"/>
      <c r="V293" s="56" t="s">
        <v>5116</v>
      </c>
      <c r="W293" s="46"/>
      <c r="X293" s="194"/>
      <c r="Y293" s="194"/>
      <c r="Z293" s="194"/>
      <c r="AA293" s="194"/>
      <c r="AB293" s="196"/>
      <c r="AC293"/>
    </row>
    <row r="294" spans="1:29" ht="17.100000000000001" customHeight="1" thickTop="1">
      <c r="A294" s="197" t="s">
        <v>5117</v>
      </c>
      <c r="B294" s="26">
        <v>45892</v>
      </c>
      <c r="C294" s="36">
        <v>1264</v>
      </c>
      <c r="D294" s="28" t="s">
        <v>3405</v>
      </c>
      <c r="E294" s="199"/>
      <c r="F294" s="54" t="s">
        <v>5118</v>
      </c>
      <c r="G294" s="37" t="s">
        <v>4163</v>
      </c>
      <c r="H294" s="201">
        <v>4</v>
      </c>
      <c r="I294" s="193">
        <v>570000</v>
      </c>
      <c r="J294" s="193">
        <f>I294*0.1</f>
        <v>57000</v>
      </c>
      <c r="K294" s="193">
        <v>0</v>
      </c>
      <c r="L294" s="193">
        <v>7510</v>
      </c>
      <c r="M294" s="193">
        <v>13200</v>
      </c>
      <c r="N294" s="193">
        <f>SUM(I294:M295)</f>
        <v>647710</v>
      </c>
      <c r="O294" s="191"/>
      <c r="P294" s="147" t="s">
        <v>5119</v>
      </c>
      <c r="Q294" s="29" t="s">
        <v>82</v>
      </c>
      <c r="R294" s="81"/>
      <c r="S294" s="48" t="s">
        <v>1533</v>
      </c>
      <c r="T294" s="50"/>
      <c r="U294" s="30"/>
      <c r="V294" s="58">
        <v>45980</v>
      </c>
      <c r="W294" s="52">
        <v>993</v>
      </c>
      <c r="X294" s="193">
        <v>578000</v>
      </c>
      <c r="Y294" s="193">
        <f>X294*0.1</f>
        <v>57800</v>
      </c>
      <c r="Z294" s="193">
        <v>7510</v>
      </c>
      <c r="AA294" s="193">
        <f>SUM(X294:Z294)</f>
        <v>643310</v>
      </c>
      <c r="AB294" s="195">
        <v>45986</v>
      </c>
      <c r="AC294"/>
    </row>
    <row r="295" spans="1:29" ht="17.100000000000001" customHeight="1" thickBot="1">
      <c r="A295" s="198"/>
      <c r="B295" s="31" t="s">
        <v>521</v>
      </c>
      <c r="C295" s="31">
        <v>65563</v>
      </c>
      <c r="D295" s="32" t="s">
        <v>399</v>
      </c>
      <c r="E295" s="200"/>
      <c r="F295" s="43" t="s">
        <v>5120</v>
      </c>
      <c r="G295" s="38">
        <v>37787</v>
      </c>
      <c r="H295" s="202"/>
      <c r="I295" s="194"/>
      <c r="J295" s="194"/>
      <c r="K295" s="194"/>
      <c r="L295" s="194"/>
      <c r="M295" s="194"/>
      <c r="N295" s="194"/>
      <c r="O295" s="192"/>
      <c r="P295" s="148" t="s">
        <v>5121</v>
      </c>
      <c r="Q295" s="33" t="s">
        <v>86</v>
      </c>
      <c r="R295" s="34" t="s">
        <v>3427</v>
      </c>
      <c r="S295" s="44" t="s">
        <v>5122</v>
      </c>
      <c r="T295" s="46"/>
      <c r="U295" s="35"/>
      <c r="V295" s="56" t="s">
        <v>4704</v>
      </c>
      <c r="W295" s="46">
        <v>2060</v>
      </c>
      <c r="X295" s="194"/>
      <c r="Y295" s="194"/>
      <c r="Z295" s="194"/>
      <c r="AA295" s="194"/>
      <c r="AB295" s="196"/>
      <c r="AC295"/>
    </row>
    <row r="296" spans="1:29" ht="17.100000000000001" customHeight="1" thickTop="1">
      <c r="A296" s="197" t="s">
        <v>5123</v>
      </c>
      <c r="B296" s="26">
        <v>45894</v>
      </c>
      <c r="C296" s="36"/>
      <c r="D296" s="28" t="s">
        <v>2032</v>
      </c>
      <c r="E296" s="199"/>
      <c r="F296" s="54" t="s">
        <v>5124</v>
      </c>
      <c r="G296" s="37" t="s">
        <v>5125</v>
      </c>
      <c r="H296" s="201">
        <v>4.5</v>
      </c>
      <c r="I296" s="193">
        <f>3245000/1.1</f>
        <v>2949999.9999999995</v>
      </c>
      <c r="J296" s="193">
        <f>I296*0.1</f>
        <v>294999.99999999994</v>
      </c>
      <c r="K296" s="193">
        <v>8000</v>
      </c>
      <c r="L296" s="193">
        <v>11570</v>
      </c>
      <c r="M296" s="193">
        <v>136125</v>
      </c>
      <c r="N296" s="193">
        <f>SUM(I296:M297)</f>
        <v>3400694.9999999995</v>
      </c>
      <c r="O296" s="191"/>
      <c r="P296" s="147" t="s">
        <v>5126</v>
      </c>
      <c r="Q296" s="29" t="s">
        <v>82</v>
      </c>
      <c r="R296" s="81"/>
      <c r="S296" s="48" t="s">
        <v>1666</v>
      </c>
      <c r="T296" s="50"/>
      <c r="U296" s="30"/>
      <c r="V296" s="58">
        <v>45948</v>
      </c>
      <c r="W296" s="52">
        <v>1272</v>
      </c>
      <c r="X296" s="193">
        <v>3355000</v>
      </c>
      <c r="Y296" s="193">
        <f>X296*0.1</f>
        <v>335500</v>
      </c>
      <c r="Z296" s="193">
        <v>11570</v>
      </c>
      <c r="AA296" s="193">
        <f>SUM(X296:Z296)</f>
        <v>3702070</v>
      </c>
      <c r="AB296" s="195">
        <v>45954</v>
      </c>
      <c r="AC296"/>
    </row>
    <row r="297" spans="1:29" ht="17.100000000000001" customHeight="1" thickBot="1">
      <c r="A297" s="198"/>
      <c r="B297" s="31" t="s">
        <v>1985</v>
      </c>
      <c r="C297" s="31" t="s">
        <v>5127</v>
      </c>
      <c r="D297" s="32" t="s">
        <v>95</v>
      </c>
      <c r="E297" s="200"/>
      <c r="F297" s="43" t="s">
        <v>5128</v>
      </c>
      <c r="G297" s="38">
        <v>43558</v>
      </c>
      <c r="H297" s="202"/>
      <c r="I297" s="194"/>
      <c r="J297" s="194"/>
      <c r="K297" s="194"/>
      <c r="L297" s="194"/>
      <c r="M297" s="194"/>
      <c r="N297" s="194"/>
      <c r="O297" s="192"/>
      <c r="P297" s="148" t="s">
        <v>5129</v>
      </c>
      <c r="Q297" s="33" t="s">
        <v>86</v>
      </c>
      <c r="R297" s="34" t="s">
        <v>5130</v>
      </c>
      <c r="S297" s="44" t="s">
        <v>5131</v>
      </c>
      <c r="T297" s="46"/>
      <c r="U297" s="35"/>
      <c r="V297" s="56" t="s">
        <v>521</v>
      </c>
      <c r="W297" s="46">
        <v>40082</v>
      </c>
      <c r="X297" s="194"/>
      <c r="Y297" s="194"/>
      <c r="Z297" s="194"/>
      <c r="AA297" s="194"/>
      <c r="AB297" s="196"/>
      <c r="AC297"/>
    </row>
    <row r="298" spans="1:29" ht="17.100000000000001" customHeight="1" thickTop="1">
      <c r="A298" s="197" t="s">
        <v>5132</v>
      </c>
      <c r="B298" s="26">
        <v>45896</v>
      </c>
      <c r="C298" s="36">
        <v>1802</v>
      </c>
      <c r="D298" s="28" t="s">
        <v>1865</v>
      </c>
      <c r="E298" s="199"/>
      <c r="F298" s="54" t="s">
        <v>5133</v>
      </c>
      <c r="G298" s="37"/>
      <c r="H298" s="201">
        <v>4.5</v>
      </c>
      <c r="I298" s="193">
        <v>467000</v>
      </c>
      <c r="J298" s="193">
        <f>I298*0.1</f>
        <v>46700</v>
      </c>
      <c r="K298" s="193">
        <v>0</v>
      </c>
      <c r="L298" s="193">
        <v>8860</v>
      </c>
      <c r="M298" s="193">
        <v>18150</v>
      </c>
      <c r="N298" s="193">
        <f>SUM(I298:M299)</f>
        <v>540710</v>
      </c>
      <c r="O298" s="191"/>
      <c r="P298" s="147" t="s">
        <v>5134</v>
      </c>
      <c r="Q298" s="29" t="s">
        <v>82</v>
      </c>
      <c r="R298" s="81"/>
      <c r="S298" s="48"/>
      <c r="T298" s="50"/>
      <c r="U298" s="30"/>
      <c r="V298" s="58">
        <v>45938</v>
      </c>
      <c r="W298" s="52">
        <v>987</v>
      </c>
      <c r="X298" s="193">
        <v>550000</v>
      </c>
      <c r="Y298" s="193">
        <f>X298*0.1</f>
        <v>55000</v>
      </c>
      <c r="Z298" s="193">
        <v>8860</v>
      </c>
      <c r="AA298" s="193">
        <f>SUM(X298:Z298)</f>
        <v>613860</v>
      </c>
      <c r="AB298" s="195">
        <v>45944</v>
      </c>
      <c r="AC298"/>
    </row>
    <row r="299" spans="1:29" ht="17.100000000000001" customHeight="1" thickBot="1">
      <c r="A299" s="198"/>
      <c r="B299" s="31" t="s">
        <v>2945</v>
      </c>
      <c r="C299" s="31">
        <v>3111</v>
      </c>
      <c r="D299" s="32" t="s">
        <v>1097</v>
      </c>
      <c r="E299" s="200"/>
      <c r="F299" s="43" t="s">
        <v>5135</v>
      </c>
      <c r="G299" s="38">
        <v>45123</v>
      </c>
      <c r="H299" s="202"/>
      <c r="I299" s="194"/>
      <c r="J299" s="194"/>
      <c r="K299" s="194"/>
      <c r="L299" s="194"/>
      <c r="M299" s="194"/>
      <c r="N299" s="194"/>
      <c r="O299" s="192"/>
      <c r="P299" s="148" t="s">
        <v>3367</v>
      </c>
      <c r="Q299" s="33" t="s">
        <v>86</v>
      </c>
      <c r="R299" s="34" t="s">
        <v>1814</v>
      </c>
      <c r="S299" s="44" t="s">
        <v>5136</v>
      </c>
      <c r="T299" s="46"/>
      <c r="U299" s="35"/>
      <c r="V299" s="56" t="s">
        <v>104</v>
      </c>
      <c r="W299" s="46">
        <v>2006</v>
      </c>
      <c r="X299" s="194"/>
      <c r="Y299" s="194"/>
      <c r="Z299" s="194"/>
      <c r="AA299" s="194"/>
      <c r="AB299" s="196"/>
      <c r="AC299"/>
    </row>
    <row r="300" spans="1:29" ht="17.100000000000001" customHeight="1" thickTop="1">
      <c r="A300" s="197" t="s">
        <v>5137</v>
      </c>
      <c r="B300" s="26">
        <v>45896</v>
      </c>
      <c r="C300" s="36">
        <v>1802</v>
      </c>
      <c r="D300" s="28" t="s">
        <v>1883</v>
      </c>
      <c r="E300" s="199"/>
      <c r="F300" s="54" t="s">
        <v>5138</v>
      </c>
      <c r="G300" s="37"/>
      <c r="H300" s="201">
        <v>4</v>
      </c>
      <c r="I300" s="193">
        <v>534000</v>
      </c>
      <c r="J300" s="193">
        <f>I300*0.1</f>
        <v>53400</v>
      </c>
      <c r="K300" s="193">
        <v>0</v>
      </c>
      <c r="L300" s="193">
        <v>6780</v>
      </c>
      <c r="M300" s="193">
        <v>18150</v>
      </c>
      <c r="N300" s="193">
        <f>SUM(I300:M301)</f>
        <v>612330</v>
      </c>
      <c r="O300" s="191"/>
      <c r="P300" s="147" t="s">
        <v>5139</v>
      </c>
      <c r="Q300" s="29" t="s">
        <v>82</v>
      </c>
      <c r="R300" s="81"/>
      <c r="S300" s="48"/>
      <c r="T300" s="50"/>
      <c r="U300" s="30"/>
      <c r="V300" s="58">
        <v>45938</v>
      </c>
      <c r="W300" s="52">
        <v>987</v>
      </c>
      <c r="X300" s="193">
        <v>535000</v>
      </c>
      <c r="Y300" s="193">
        <f>X300*0.1</f>
        <v>53500</v>
      </c>
      <c r="Z300" s="193">
        <v>6780</v>
      </c>
      <c r="AA300" s="193">
        <f>SUM(X300:Z300)</f>
        <v>595280</v>
      </c>
      <c r="AB300" s="195">
        <v>45944</v>
      </c>
      <c r="AC300"/>
    </row>
    <row r="301" spans="1:29" ht="17.100000000000001" customHeight="1" thickBot="1">
      <c r="A301" s="198"/>
      <c r="B301" s="31" t="s">
        <v>2945</v>
      </c>
      <c r="C301" s="31">
        <v>13112</v>
      </c>
      <c r="D301" s="32" t="s">
        <v>1849</v>
      </c>
      <c r="E301" s="200"/>
      <c r="F301" s="43" t="s">
        <v>5140</v>
      </c>
      <c r="G301" s="38">
        <v>48045</v>
      </c>
      <c r="H301" s="202"/>
      <c r="I301" s="194"/>
      <c r="J301" s="194"/>
      <c r="K301" s="194"/>
      <c r="L301" s="194"/>
      <c r="M301" s="194"/>
      <c r="N301" s="194"/>
      <c r="O301" s="192"/>
      <c r="P301" s="148" t="s">
        <v>2295</v>
      </c>
      <c r="Q301" s="33" t="s">
        <v>86</v>
      </c>
      <c r="R301" s="34" t="s">
        <v>2931</v>
      </c>
      <c r="S301" s="44" t="s">
        <v>2101</v>
      </c>
      <c r="T301" s="46"/>
      <c r="U301" s="35"/>
      <c r="V301" s="56" t="s">
        <v>104</v>
      </c>
      <c r="W301" s="46">
        <v>2027</v>
      </c>
      <c r="X301" s="194"/>
      <c r="Y301" s="194"/>
      <c r="Z301" s="194"/>
      <c r="AA301" s="194"/>
      <c r="AB301" s="196"/>
      <c r="AC301"/>
    </row>
    <row r="302" spans="1:29" ht="17.100000000000001" customHeight="1" thickTop="1">
      <c r="A302" s="197" t="s">
        <v>5141</v>
      </c>
      <c r="B302" s="26">
        <v>45896</v>
      </c>
      <c r="C302" s="36">
        <v>1802</v>
      </c>
      <c r="D302" s="28" t="s">
        <v>2526</v>
      </c>
      <c r="E302" s="199"/>
      <c r="F302" s="54" t="s">
        <v>5142</v>
      </c>
      <c r="G302" s="37"/>
      <c r="H302" s="201">
        <v>4</v>
      </c>
      <c r="I302" s="193">
        <v>1305000</v>
      </c>
      <c r="J302" s="193">
        <f>I302*0.1</f>
        <v>130500</v>
      </c>
      <c r="K302" s="193">
        <v>0</v>
      </c>
      <c r="L302" s="193">
        <v>9810</v>
      </c>
      <c r="M302" s="193">
        <v>18150</v>
      </c>
      <c r="N302" s="193">
        <f>SUM(I302:M303)</f>
        <v>1463460</v>
      </c>
      <c r="O302" s="191"/>
      <c r="P302" s="147" t="s">
        <v>5143</v>
      </c>
      <c r="Q302" s="29" t="s">
        <v>82</v>
      </c>
      <c r="R302" s="81"/>
      <c r="S302" s="48"/>
      <c r="T302" s="50"/>
      <c r="U302" s="30"/>
      <c r="V302" s="58">
        <v>45931</v>
      </c>
      <c r="W302" s="52">
        <v>986</v>
      </c>
      <c r="X302" s="193">
        <v>1398000</v>
      </c>
      <c r="Y302" s="193">
        <f>X302*0.1</f>
        <v>139800</v>
      </c>
      <c r="Z302" s="193">
        <v>9810</v>
      </c>
      <c r="AA302" s="193">
        <f>SUM(X302:Z302)</f>
        <v>1547610</v>
      </c>
      <c r="AB302" s="195">
        <v>45939</v>
      </c>
      <c r="AC302"/>
    </row>
    <row r="303" spans="1:29" ht="17.100000000000001" customHeight="1" thickBot="1">
      <c r="A303" s="198"/>
      <c r="B303" s="31" t="s">
        <v>2945</v>
      </c>
      <c r="C303" s="31">
        <v>36338</v>
      </c>
      <c r="D303" s="32" t="s">
        <v>399</v>
      </c>
      <c r="E303" s="200"/>
      <c r="F303" s="43" t="s">
        <v>5144</v>
      </c>
      <c r="G303" s="38">
        <v>57537</v>
      </c>
      <c r="H303" s="202"/>
      <c r="I303" s="194"/>
      <c r="J303" s="194"/>
      <c r="K303" s="194"/>
      <c r="L303" s="194"/>
      <c r="M303" s="194"/>
      <c r="N303" s="194"/>
      <c r="O303" s="192"/>
      <c r="P303" s="148" t="s">
        <v>5145</v>
      </c>
      <c r="Q303" s="33" t="s">
        <v>86</v>
      </c>
      <c r="R303" s="34" t="s">
        <v>1814</v>
      </c>
      <c r="S303" s="44" t="s">
        <v>2524</v>
      </c>
      <c r="T303" s="46"/>
      <c r="U303" s="35"/>
      <c r="V303" s="56" t="s">
        <v>4704</v>
      </c>
      <c r="W303" s="46">
        <v>6025</v>
      </c>
      <c r="X303" s="194"/>
      <c r="Y303" s="194"/>
      <c r="Z303" s="194"/>
      <c r="AA303" s="194"/>
      <c r="AB303" s="196"/>
      <c r="AC303"/>
    </row>
    <row r="304" spans="1:29" ht="17.100000000000001" customHeight="1" thickTop="1">
      <c r="A304" s="197" t="s">
        <v>5146</v>
      </c>
      <c r="B304" s="26">
        <v>45897</v>
      </c>
      <c r="C304" s="36">
        <v>1947</v>
      </c>
      <c r="D304" s="28" t="s">
        <v>4466</v>
      </c>
      <c r="E304" s="199"/>
      <c r="F304" s="54" t="s">
        <v>5147</v>
      </c>
      <c r="G304" s="37"/>
      <c r="H304" s="201">
        <v>4</v>
      </c>
      <c r="I304" s="193">
        <v>975000</v>
      </c>
      <c r="J304" s="193">
        <f>I304*0.1</f>
        <v>97500</v>
      </c>
      <c r="K304" s="193">
        <v>0</v>
      </c>
      <c r="L304" s="193">
        <v>16260</v>
      </c>
      <c r="M304" s="193">
        <v>15950</v>
      </c>
      <c r="N304" s="193">
        <f>SUM(I304:M305)</f>
        <v>1104710</v>
      </c>
      <c r="O304" s="191"/>
      <c r="P304" s="147" t="s">
        <v>5148</v>
      </c>
      <c r="Q304" s="29" t="s">
        <v>82</v>
      </c>
      <c r="R304" s="81"/>
      <c r="S304" s="48"/>
      <c r="T304" s="50"/>
      <c r="U304" s="30"/>
      <c r="V304" s="58">
        <v>45938</v>
      </c>
      <c r="W304" s="52">
        <v>987</v>
      </c>
      <c r="X304" s="193">
        <v>1060000</v>
      </c>
      <c r="Y304" s="193">
        <f>X304*0.1</f>
        <v>106000</v>
      </c>
      <c r="Z304" s="193">
        <v>16260</v>
      </c>
      <c r="AA304" s="193">
        <f>SUM(X304:Z304)</f>
        <v>1182260</v>
      </c>
      <c r="AB304" s="195">
        <v>45944</v>
      </c>
      <c r="AC304"/>
    </row>
    <row r="305" spans="1:29" ht="17.100000000000001" customHeight="1" thickBot="1">
      <c r="A305" s="198"/>
      <c r="B305" s="31" t="s">
        <v>4408</v>
      </c>
      <c r="C305" s="31">
        <v>30002</v>
      </c>
      <c r="D305" s="32" t="s">
        <v>399</v>
      </c>
      <c r="E305" s="200"/>
      <c r="F305" s="43" t="s">
        <v>5149</v>
      </c>
      <c r="G305" s="38">
        <v>75173</v>
      </c>
      <c r="H305" s="202"/>
      <c r="I305" s="194"/>
      <c r="J305" s="194"/>
      <c r="K305" s="194"/>
      <c r="L305" s="194"/>
      <c r="M305" s="194"/>
      <c r="N305" s="194"/>
      <c r="O305" s="192"/>
      <c r="P305" s="148" t="s">
        <v>5150</v>
      </c>
      <c r="Q305" s="33" t="s">
        <v>86</v>
      </c>
      <c r="R305" s="34" t="s">
        <v>1814</v>
      </c>
      <c r="S305" s="44"/>
      <c r="T305" s="46"/>
      <c r="U305" s="35"/>
      <c r="V305" s="56" t="s">
        <v>104</v>
      </c>
      <c r="W305" s="46">
        <v>6105</v>
      </c>
      <c r="X305" s="194"/>
      <c r="Y305" s="194"/>
      <c r="Z305" s="194"/>
      <c r="AA305" s="194"/>
      <c r="AB305" s="196"/>
      <c r="AC305"/>
    </row>
    <row r="306" spans="1:29" ht="17.100000000000001" customHeight="1" thickTop="1">
      <c r="A306" s="197" t="s">
        <v>5151</v>
      </c>
      <c r="B306" s="26">
        <v>45897</v>
      </c>
      <c r="C306" s="36">
        <v>2123</v>
      </c>
      <c r="D306" s="28" t="s">
        <v>5152</v>
      </c>
      <c r="E306" s="199"/>
      <c r="F306" s="54" t="s">
        <v>5153</v>
      </c>
      <c r="G306" s="37"/>
      <c r="H306" s="201">
        <v>4</v>
      </c>
      <c r="I306" s="193">
        <v>275000</v>
      </c>
      <c r="J306" s="193">
        <f>I306*0.1</f>
        <v>27500</v>
      </c>
      <c r="K306" s="193">
        <v>0</v>
      </c>
      <c r="L306" s="193">
        <v>9070</v>
      </c>
      <c r="M306" s="193">
        <v>13750</v>
      </c>
      <c r="N306" s="193">
        <f>SUM(I306:M307)</f>
        <v>325320</v>
      </c>
      <c r="O306" s="191"/>
      <c r="P306" s="147" t="s">
        <v>5154</v>
      </c>
      <c r="Q306" s="29" t="s">
        <v>82</v>
      </c>
      <c r="R306" s="81"/>
      <c r="S306" s="48"/>
      <c r="T306" s="50"/>
      <c r="U306" s="30"/>
      <c r="V306" s="58">
        <v>45969</v>
      </c>
      <c r="W306" s="52">
        <v>1275</v>
      </c>
      <c r="X306" s="193">
        <v>280000</v>
      </c>
      <c r="Y306" s="193">
        <f>X306*0.1</f>
        <v>28000</v>
      </c>
      <c r="Z306" s="193">
        <v>9070</v>
      </c>
      <c r="AA306" s="193">
        <f>SUM(X306:Z306)</f>
        <v>317070</v>
      </c>
      <c r="AB306" s="195">
        <v>45972</v>
      </c>
      <c r="AC306"/>
    </row>
    <row r="307" spans="1:29" ht="17.100000000000001" customHeight="1" thickBot="1">
      <c r="A307" s="198"/>
      <c r="B307" s="31" t="s">
        <v>3790</v>
      </c>
      <c r="C307" s="31">
        <v>188</v>
      </c>
      <c r="D307" s="32" t="s">
        <v>95</v>
      </c>
      <c r="E307" s="200"/>
      <c r="F307" s="43" t="s">
        <v>5155</v>
      </c>
      <c r="G307" s="38">
        <v>47974</v>
      </c>
      <c r="H307" s="202"/>
      <c r="I307" s="194"/>
      <c r="J307" s="194"/>
      <c r="K307" s="194"/>
      <c r="L307" s="194"/>
      <c r="M307" s="194"/>
      <c r="N307" s="194"/>
      <c r="O307" s="192"/>
      <c r="P307" s="148" t="s">
        <v>5156</v>
      </c>
      <c r="Q307" s="33" t="s">
        <v>86</v>
      </c>
      <c r="R307" s="34" t="s">
        <v>3435</v>
      </c>
      <c r="S307" s="44"/>
      <c r="T307" s="46"/>
      <c r="U307" s="35"/>
      <c r="V307" s="56" t="s">
        <v>3800</v>
      </c>
      <c r="W307" s="46">
        <v>60487</v>
      </c>
      <c r="X307" s="194"/>
      <c r="Y307" s="194"/>
      <c r="Z307" s="194"/>
      <c r="AA307" s="194"/>
      <c r="AB307" s="196"/>
      <c r="AC307"/>
    </row>
    <row r="308" spans="1:29" ht="17.100000000000001" customHeight="1" thickTop="1">
      <c r="A308" s="197" t="s">
        <v>5157</v>
      </c>
      <c r="B308" s="26">
        <v>45897</v>
      </c>
      <c r="C308" s="36">
        <v>2123</v>
      </c>
      <c r="D308" s="28" t="s">
        <v>2909</v>
      </c>
      <c r="E308" s="199"/>
      <c r="F308" s="54" t="s">
        <v>4933</v>
      </c>
      <c r="G308" s="37"/>
      <c r="H308" s="201">
        <v>3.5</v>
      </c>
      <c r="I308" s="193">
        <v>173000</v>
      </c>
      <c r="J308" s="193">
        <f>I308*0.1</f>
        <v>17300</v>
      </c>
      <c r="K308" s="193">
        <v>0</v>
      </c>
      <c r="L308" s="193">
        <v>8930</v>
      </c>
      <c r="M308" s="193">
        <v>13750</v>
      </c>
      <c r="N308" s="193">
        <f>SUM(I308:M309)</f>
        <v>212980</v>
      </c>
      <c r="O308" s="191"/>
      <c r="P308" s="147" t="s">
        <v>5158</v>
      </c>
      <c r="Q308" s="29" t="s">
        <v>82</v>
      </c>
      <c r="R308" s="81"/>
      <c r="S308" s="48"/>
      <c r="T308" s="50"/>
      <c r="U308" s="30"/>
      <c r="V308" s="58">
        <v>45969</v>
      </c>
      <c r="W308" s="52">
        <v>1275</v>
      </c>
      <c r="X308" s="193">
        <v>178000</v>
      </c>
      <c r="Y308" s="193">
        <f>X308*0.1</f>
        <v>17800</v>
      </c>
      <c r="Z308" s="193">
        <v>8930</v>
      </c>
      <c r="AA308" s="193">
        <f>SUM(X308:Z308)</f>
        <v>204730</v>
      </c>
      <c r="AB308" s="195">
        <v>45972</v>
      </c>
      <c r="AC308"/>
    </row>
    <row r="309" spans="1:29" ht="17.100000000000001" customHeight="1" thickBot="1">
      <c r="A309" s="198"/>
      <c r="B309" s="31" t="s">
        <v>3790</v>
      </c>
      <c r="C309" s="31">
        <v>2536</v>
      </c>
      <c r="D309" s="32" t="s">
        <v>1849</v>
      </c>
      <c r="E309" s="200"/>
      <c r="F309" s="43" t="s">
        <v>5159</v>
      </c>
      <c r="G309" s="38">
        <v>44588</v>
      </c>
      <c r="H309" s="202"/>
      <c r="I309" s="194"/>
      <c r="J309" s="194"/>
      <c r="K309" s="194"/>
      <c r="L309" s="194"/>
      <c r="M309" s="194"/>
      <c r="N309" s="194"/>
      <c r="O309" s="192"/>
      <c r="P309" s="148" t="s">
        <v>5160</v>
      </c>
      <c r="Q309" s="33" t="s">
        <v>86</v>
      </c>
      <c r="R309" s="34" t="s">
        <v>5161</v>
      </c>
      <c r="S309" s="44"/>
      <c r="T309" s="46"/>
      <c r="U309" s="35"/>
      <c r="V309" s="56" t="s">
        <v>3800</v>
      </c>
      <c r="W309" s="46">
        <v>63175</v>
      </c>
      <c r="X309" s="194"/>
      <c r="Y309" s="194"/>
      <c r="Z309" s="194"/>
      <c r="AA309" s="194"/>
      <c r="AB309" s="196"/>
      <c r="AC309"/>
    </row>
    <row r="310" spans="1:29" ht="17.100000000000001" customHeight="1" thickTop="1">
      <c r="A310" s="197" t="s">
        <v>5162</v>
      </c>
      <c r="B310" s="26">
        <v>45897</v>
      </c>
      <c r="C310" s="36">
        <v>1719</v>
      </c>
      <c r="D310" s="28" t="s">
        <v>2406</v>
      </c>
      <c r="E310" s="199"/>
      <c r="F310" s="54" t="s">
        <v>5163</v>
      </c>
      <c r="G310" s="37"/>
      <c r="H310" s="201">
        <v>4</v>
      </c>
      <c r="I310" s="193">
        <v>967000</v>
      </c>
      <c r="J310" s="193">
        <f>I310*0.1</f>
        <v>96700</v>
      </c>
      <c r="K310" s="193">
        <v>0</v>
      </c>
      <c r="L310" s="193">
        <v>8100</v>
      </c>
      <c r="M310" s="193">
        <v>15400</v>
      </c>
      <c r="N310" s="193">
        <f>SUM(I310:M311)</f>
        <v>1087200</v>
      </c>
      <c r="O310" s="191"/>
      <c r="P310" s="147" t="s">
        <v>5164</v>
      </c>
      <c r="Q310" s="29" t="s">
        <v>82</v>
      </c>
      <c r="R310" s="81"/>
      <c r="S310" s="48" t="s">
        <v>940</v>
      </c>
      <c r="T310" s="50"/>
      <c r="U310" s="30"/>
      <c r="V310" s="58">
        <v>45934</v>
      </c>
      <c r="W310" s="52">
        <v>1270</v>
      </c>
      <c r="X310" s="193">
        <v>1030000</v>
      </c>
      <c r="Y310" s="193">
        <f>X310*0.1</f>
        <v>103000</v>
      </c>
      <c r="Z310" s="193">
        <v>8100</v>
      </c>
      <c r="AA310" s="193">
        <f>SUM(X310:Z310)</f>
        <v>1141100</v>
      </c>
      <c r="AB310" s="195">
        <v>45937</v>
      </c>
      <c r="AC310"/>
    </row>
    <row r="311" spans="1:29" ht="17.100000000000001" customHeight="1" thickBot="1">
      <c r="A311" s="198"/>
      <c r="B311" s="31" t="s">
        <v>5165</v>
      </c>
      <c r="C311" s="31">
        <v>3062</v>
      </c>
      <c r="D311" s="32" t="s">
        <v>3846</v>
      </c>
      <c r="E311" s="200"/>
      <c r="F311" s="43" t="s">
        <v>5166</v>
      </c>
      <c r="G311" s="38">
        <v>37047</v>
      </c>
      <c r="H311" s="202"/>
      <c r="I311" s="194"/>
      <c r="J311" s="194"/>
      <c r="K311" s="194"/>
      <c r="L311" s="194"/>
      <c r="M311" s="194"/>
      <c r="N311" s="194"/>
      <c r="O311" s="192"/>
      <c r="P311" s="148" t="s">
        <v>5167</v>
      </c>
      <c r="Q311" s="33" t="s">
        <v>86</v>
      </c>
      <c r="R311" s="34" t="s">
        <v>2428</v>
      </c>
      <c r="S311" s="44" t="s">
        <v>5168</v>
      </c>
      <c r="T311" s="46"/>
      <c r="U311" s="35"/>
      <c r="V311" s="56" t="s">
        <v>3800</v>
      </c>
      <c r="W311" s="46">
        <v>60237</v>
      </c>
      <c r="X311" s="194"/>
      <c r="Y311" s="194"/>
      <c r="Z311" s="194"/>
      <c r="AA311" s="194"/>
      <c r="AB311" s="196"/>
      <c r="AC311"/>
    </row>
    <row r="312" spans="1:29" ht="17.100000000000001" customHeight="1" thickTop="1">
      <c r="A312" s="197" t="s">
        <v>5169</v>
      </c>
      <c r="B312" s="26">
        <v>45897</v>
      </c>
      <c r="C312" s="36">
        <v>1719</v>
      </c>
      <c r="D312" s="28" t="s">
        <v>2440</v>
      </c>
      <c r="E312" s="199"/>
      <c r="F312" s="54" t="s">
        <v>4933</v>
      </c>
      <c r="G312" s="37" t="s">
        <v>5161</v>
      </c>
      <c r="H312" s="201">
        <v>6</v>
      </c>
      <c r="I312" s="193">
        <v>1095000</v>
      </c>
      <c r="J312" s="193">
        <f>I312*0.1</f>
        <v>109500</v>
      </c>
      <c r="K312" s="193">
        <v>10800</v>
      </c>
      <c r="L312" s="193">
        <v>6470</v>
      </c>
      <c r="M312" s="193">
        <v>15400</v>
      </c>
      <c r="N312" s="193">
        <f>SUM(I312:M313)</f>
        <v>1237170</v>
      </c>
      <c r="O312" s="191"/>
      <c r="P312" s="147" t="s">
        <v>5170</v>
      </c>
      <c r="Q312" s="29" t="s">
        <v>82</v>
      </c>
      <c r="R312" s="81"/>
      <c r="S312" s="48" t="s">
        <v>1514</v>
      </c>
      <c r="T312" s="50"/>
      <c r="U312" s="30" t="s">
        <v>5171</v>
      </c>
      <c r="V312" s="58">
        <v>45962</v>
      </c>
      <c r="W312" s="52">
        <v>1274</v>
      </c>
      <c r="X312" s="193">
        <v>1100000</v>
      </c>
      <c r="Y312" s="193">
        <f>X312*0.1</f>
        <v>110000</v>
      </c>
      <c r="Z312" s="193">
        <v>6470</v>
      </c>
      <c r="AA312" s="193">
        <f>SUM(X312:Z312)</f>
        <v>1216470</v>
      </c>
      <c r="AB312" s="195">
        <v>45965</v>
      </c>
      <c r="AC312"/>
    </row>
    <row r="313" spans="1:29" ht="17.100000000000001" customHeight="1" thickBot="1">
      <c r="A313" s="198"/>
      <c r="B313" s="31" t="s">
        <v>5165</v>
      </c>
      <c r="C313" s="31">
        <v>3101</v>
      </c>
      <c r="D313" s="32" t="s">
        <v>4429</v>
      </c>
      <c r="E313" s="200"/>
      <c r="F313" s="43" t="s">
        <v>5172</v>
      </c>
      <c r="G313" s="38">
        <v>7481</v>
      </c>
      <c r="H313" s="202"/>
      <c r="I313" s="194"/>
      <c r="J313" s="194"/>
      <c r="K313" s="194"/>
      <c r="L313" s="194"/>
      <c r="M313" s="194"/>
      <c r="N313" s="194"/>
      <c r="O313" s="192"/>
      <c r="P313" s="148" t="s">
        <v>5173</v>
      </c>
      <c r="Q313" s="33" t="s">
        <v>86</v>
      </c>
      <c r="R313" s="34" t="s">
        <v>3435</v>
      </c>
      <c r="S313" s="44" t="s">
        <v>1872</v>
      </c>
      <c r="T313" s="46"/>
      <c r="U313" s="35"/>
      <c r="V313" s="56" t="s">
        <v>3800</v>
      </c>
      <c r="W313" s="46">
        <v>60152</v>
      </c>
      <c r="X313" s="194"/>
      <c r="Y313" s="194"/>
      <c r="Z313" s="194"/>
      <c r="AA313" s="194"/>
      <c r="AB313" s="196"/>
      <c r="AC313"/>
    </row>
    <row r="314" spans="1:29" ht="17.100000000000001" customHeight="1" thickTop="1">
      <c r="A314" s="197" t="s">
        <v>5174</v>
      </c>
      <c r="B314" s="26">
        <v>45898</v>
      </c>
      <c r="C314" s="36">
        <v>255</v>
      </c>
      <c r="D314" s="28" t="s">
        <v>2325</v>
      </c>
      <c r="E314" s="199"/>
      <c r="F314" s="54" t="s">
        <v>3457</v>
      </c>
      <c r="G314" s="37"/>
      <c r="H314" s="201">
        <v>4.5</v>
      </c>
      <c r="I314" s="193">
        <v>687000</v>
      </c>
      <c r="J314" s="193">
        <f>I314*0.1</f>
        <v>68700</v>
      </c>
      <c r="K314" s="193">
        <v>0</v>
      </c>
      <c r="L314" s="193">
        <v>8400</v>
      </c>
      <c r="M314" s="193">
        <v>22000</v>
      </c>
      <c r="N314" s="193">
        <f>SUM(I314:M315)</f>
        <v>786100</v>
      </c>
      <c r="O314" s="191"/>
      <c r="P314" s="147" t="s">
        <v>5175</v>
      </c>
      <c r="Q314" s="29" t="s">
        <v>82</v>
      </c>
      <c r="R314" s="81"/>
      <c r="S314" s="48" t="s">
        <v>940</v>
      </c>
      <c r="T314" s="50" t="s">
        <v>5176</v>
      </c>
      <c r="U314" s="30"/>
      <c r="V314" s="58">
        <v>46071</v>
      </c>
      <c r="W314" s="52">
        <v>1005</v>
      </c>
      <c r="X314" s="193">
        <v>645000</v>
      </c>
      <c r="Y314" s="193">
        <f>X314*0.1</f>
        <v>64500</v>
      </c>
      <c r="Z314" s="193">
        <v>8400</v>
      </c>
      <c r="AA314" s="193">
        <f>SUM(X314:Z314)</f>
        <v>717900</v>
      </c>
      <c r="AB314" s="195">
        <v>46073</v>
      </c>
      <c r="AC314"/>
    </row>
    <row r="315" spans="1:29" ht="17.100000000000001" customHeight="1" thickBot="1">
      <c r="A315" s="198"/>
      <c r="B315" s="31" t="s">
        <v>4608</v>
      </c>
      <c r="C315" s="31">
        <v>61</v>
      </c>
      <c r="D315" s="32" t="s">
        <v>4487</v>
      </c>
      <c r="E315" s="200"/>
      <c r="F315" s="43" t="s">
        <v>5177</v>
      </c>
      <c r="G315" s="38">
        <v>54346</v>
      </c>
      <c r="H315" s="202"/>
      <c r="I315" s="194"/>
      <c r="J315" s="194"/>
      <c r="K315" s="194"/>
      <c r="L315" s="194"/>
      <c r="M315" s="194"/>
      <c r="N315" s="194"/>
      <c r="O315" s="192"/>
      <c r="P315" s="148" t="s">
        <v>5178</v>
      </c>
      <c r="Q315" s="33" t="s">
        <v>86</v>
      </c>
      <c r="R315" s="34" t="s">
        <v>4578</v>
      </c>
      <c r="S315" s="44" t="s">
        <v>5179</v>
      </c>
      <c r="T315" s="46"/>
      <c r="U315" s="35"/>
      <c r="V315" s="56" t="s">
        <v>104</v>
      </c>
      <c r="W315" s="46">
        <v>2030</v>
      </c>
      <c r="X315" s="194"/>
      <c r="Y315" s="194"/>
      <c r="Z315" s="194"/>
      <c r="AA315" s="194"/>
      <c r="AB315" s="196"/>
      <c r="AC315"/>
    </row>
    <row r="316" spans="1:29" ht="17.100000000000001" customHeight="1" thickTop="1">
      <c r="A316" s="197" t="s">
        <v>5189</v>
      </c>
      <c r="B316" s="26">
        <v>45898</v>
      </c>
      <c r="C316" s="36">
        <v>2099</v>
      </c>
      <c r="D316" s="28" t="s">
        <v>2712</v>
      </c>
      <c r="E316" s="199"/>
      <c r="F316" s="54" t="s">
        <v>5190</v>
      </c>
      <c r="G316" s="37" t="s">
        <v>5191</v>
      </c>
      <c r="H316" s="201">
        <v>4.5</v>
      </c>
      <c r="I316" s="193">
        <v>1395000</v>
      </c>
      <c r="J316" s="193">
        <f>I316*0.1</f>
        <v>139500</v>
      </c>
      <c r="K316" s="193">
        <v>0</v>
      </c>
      <c r="L316" s="193">
        <v>6830</v>
      </c>
      <c r="M316" s="193">
        <v>16500</v>
      </c>
      <c r="N316" s="193">
        <f>SUM(I316:M317)</f>
        <v>1557830</v>
      </c>
      <c r="O316" s="191"/>
      <c r="P316" s="147" t="s">
        <v>5192</v>
      </c>
      <c r="Q316" s="29" t="s">
        <v>82</v>
      </c>
      <c r="R316" s="81"/>
      <c r="S316" s="48" t="s">
        <v>940</v>
      </c>
      <c r="T316" s="50"/>
      <c r="U316" s="30" t="s">
        <v>5193</v>
      </c>
      <c r="V316" s="58">
        <v>45934</v>
      </c>
      <c r="W316" s="52">
        <v>1270</v>
      </c>
      <c r="X316" s="193">
        <v>1380000</v>
      </c>
      <c r="Y316" s="193">
        <f>X316*0.1</f>
        <v>138000</v>
      </c>
      <c r="Z316" s="193">
        <v>6830</v>
      </c>
      <c r="AA316" s="193">
        <f>SUM(X316:Z316)</f>
        <v>1524830</v>
      </c>
      <c r="AB316" s="195">
        <v>45937</v>
      </c>
      <c r="AC316"/>
    </row>
    <row r="317" spans="1:29" ht="17.100000000000001" customHeight="1" thickBot="1">
      <c r="A317" s="198"/>
      <c r="B317" s="31" t="s">
        <v>1797</v>
      </c>
      <c r="C317" s="31">
        <v>55268</v>
      </c>
      <c r="D317" s="32" t="s">
        <v>1832</v>
      </c>
      <c r="E317" s="200"/>
      <c r="F317" s="43" t="s">
        <v>5194</v>
      </c>
      <c r="G317" s="38">
        <v>47438</v>
      </c>
      <c r="H317" s="202"/>
      <c r="I317" s="194"/>
      <c r="J317" s="194"/>
      <c r="K317" s="194"/>
      <c r="L317" s="194"/>
      <c r="M317" s="194"/>
      <c r="N317" s="194"/>
      <c r="O317" s="192"/>
      <c r="P317" s="148" t="s">
        <v>2711</v>
      </c>
      <c r="Q317" s="33" t="s">
        <v>86</v>
      </c>
      <c r="R317" s="34" t="s">
        <v>2428</v>
      </c>
      <c r="S317" s="44" t="s">
        <v>96</v>
      </c>
      <c r="T317" s="46"/>
      <c r="U317" s="35"/>
      <c r="V317" s="56" t="s">
        <v>3800</v>
      </c>
      <c r="W317" s="46">
        <v>60355</v>
      </c>
      <c r="X317" s="194"/>
      <c r="Y317" s="194"/>
      <c r="Z317" s="194"/>
      <c r="AA317" s="194"/>
      <c r="AB317" s="196"/>
      <c r="AC317"/>
    </row>
    <row r="318" spans="1:29" ht="17.100000000000001" customHeight="1" thickTop="1">
      <c r="A318" s="197" t="s">
        <v>5195</v>
      </c>
      <c r="B318" s="26">
        <v>45898</v>
      </c>
      <c r="C318" s="36">
        <v>2099</v>
      </c>
      <c r="D318" s="28" t="s">
        <v>1001</v>
      </c>
      <c r="E318" s="199"/>
      <c r="F318" s="54" t="s">
        <v>2991</v>
      </c>
      <c r="G318" s="37" t="s">
        <v>3932</v>
      </c>
      <c r="H318" s="201">
        <v>4.5</v>
      </c>
      <c r="I318" s="193">
        <v>1215000</v>
      </c>
      <c r="J318" s="193">
        <f>I318*0.1</f>
        <v>121500</v>
      </c>
      <c r="K318" s="193">
        <v>0</v>
      </c>
      <c r="L318" s="193">
        <v>9370</v>
      </c>
      <c r="M318" s="193">
        <v>16500</v>
      </c>
      <c r="N318" s="193">
        <f>SUM(I318:M319)</f>
        <v>1362370</v>
      </c>
      <c r="O318" s="191"/>
      <c r="P318" s="147" t="s">
        <v>5196</v>
      </c>
      <c r="Q318" s="29" t="s">
        <v>82</v>
      </c>
      <c r="R318" s="81"/>
      <c r="S318" s="48" t="s">
        <v>5197</v>
      </c>
      <c r="T318" s="50"/>
      <c r="U318" s="30" t="s">
        <v>5198</v>
      </c>
      <c r="V318" s="58">
        <v>45990</v>
      </c>
      <c r="W318" s="52">
        <v>1278</v>
      </c>
      <c r="X318" s="193">
        <v>1215000</v>
      </c>
      <c r="Y318" s="193">
        <f>X318*0.1</f>
        <v>121500</v>
      </c>
      <c r="Z318" s="193">
        <v>9370</v>
      </c>
      <c r="AA318" s="193">
        <f>SUM(X318:Z318)</f>
        <v>1345870</v>
      </c>
      <c r="AB318" s="195">
        <v>45994</v>
      </c>
      <c r="AC318"/>
    </row>
    <row r="319" spans="1:29" ht="17.100000000000001" customHeight="1" thickBot="1">
      <c r="A319" s="198"/>
      <c r="B319" s="31" t="s">
        <v>1797</v>
      </c>
      <c r="C319" s="31">
        <v>55484</v>
      </c>
      <c r="D319" s="32" t="s">
        <v>95</v>
      </c>
      <c r="E319" s="200"/>
      <c r="F319" s="43" t="s">
        <v>5199</v>
      </c>
      <c r="G319" s="38">
        <v>46491</v>
      </c>
      <c r="H319" s="202"/>
      <c r="I319" s="194"/>
      <c r="J319" s="194"/>
      <c r="K319" s="194"/>
      <c r="L319" s="194"/>
      <c r="M319" s="194"/>
      <c r="N319" s="194"/>
      <c r="O319" s="192"/>
      <c r="P319" s="148" t="s">
        <v>5200</v>
      </c>
      <c r="Q319" s="33" t="s">
        <v>86</v>
      </c>
      <c r="R319" s="34" t="s">
        <v>2428</v>
      </c>
      <c r="S319" s="44" t="s">
        <v>5201</v>
      </c>
      <c r="T319" s="46"/>
      <c r="U319" s="35"/>
      <c r="V319" s="56" t="s">
        <v>3800</v>
      </c>
      <c r="W319" s="46">
        <v>60255</v>
      </c>
      <c r="X319" s="194"/>
      <c r="Y319" s="194"/>
      <c r="Z319" s="194"/>
      <c r="AA319" s="194"/>
      <c r="AB319" s="196"/>
      <c r="AC319"/>
    </row>
    <row r="320" spans="1:29" ht="17.100000000000001" customHeight="1" thickTop="1">
      <c r="A320" s="197" t="s">
        <v>5202</v>
      </c>
      <c r="B320" s="26">
        <v>45898</v>
      </c>
      <c r="C320" s="36">
        <v>2099</v>
      </c>
      <c r="D320" s="28" t="s">
        <v>3405</v>
      </c>
      <c r="E320" s="199"/>
      <c r="F320" s="54" t="s">
        <v>5203</v>
      </c>
      <c r="G320" s="37" t="s">
        <v>3368</v>
      </c>
      <c r="H320" s="201">
        <v>4</v>
      </c>
      <c r="I320" s="193">
        <v>690000</v>
      </c>
      <c r="J320" s="193">
        <f>I320*0.1</f>
        <v>69000</v>
      </c>
      <c r="K320" s="193">
        <v>0</v>
      </c>
      <c r="L320" s="193">
        <v>8550</v>
      </c>
      <c r="M320" s="193">
        <v>16500</v>
      </c>
      <c r="N320" s="193">
        <f>SUM(I320:M321)</f>
        <v>784050</v>
      </c>
      <c r="O320" s="191"/>
      <c r="P320" s="147" t="s">
        <v>5204</v>
      </c>
      <c r="Q320" s="29" t="s">
        <v>82</v>
      </c>
      <c r="R320" s="81"/>
      <c r="S320" s="48" t="s">
        <v>940</v>
      </c>
      <c r="T320" s="50"/>
      <c r="U320" s="30" t="s">
        <v>5205</v>
      </c>
      <c r="V320" s="58">
        <v>45973</v>
      </c>
      <c r="W320" s="52">
        <v>992</v>
      </c>
      <c r="X320" s="193">
        <v>735000</v>
      </c>
      <c r="Y320" s="193">
        <f>X320*0.1</f>
        <v>73500</v>
      </c>
      <c r="Z320" s="193">
        <v>8550</v>
      </c>
      <c r="AA320" s="193">
        <f>SUM(X320:Z320)</f>
        <v>817050</v>
      </c>
      <c r="AB320" s="195">
        <v>45978</v>
      </c>
      <c r="AC320"/>
    </row>
    <row r="321" spans="1:29" ht="17.100000000000001" customHeight="1" thickBot="1">
      <c r="A321" s="198"/>
      <c r="B321" s="31" t="s">
        <v>1797</v>
      </c>
      <c r="C321" s="31">
        <v>85217</v>
      </c>
      <c r="D321" s="32" t="s">
        <v>158</v>
      </c>
      <c r="E321" s="200"/>
      <c r="F321" s="43" t="s">
        <v>5206</v>
      </c>
      <c r="G321" s="38">
        <v>16367</v>
      </c>
      <c r="H321" s="202"/>
      <c r="I321" s="194"/>
      <c r="J321" s="194"/>
      <c r="K321" s="194"/>
      <c r="L321" s="194"/>
      <c r="M321" s="194"/>
      <c r="N321" s="194"/>
      <c r="O321" s="192"/>
      <c r="P321" s="148" t="s">
        <v>5207</v>
      </c>
      <c r="Q321" s="33" t="s">
        <v>86</v>
      </c>
      <c r="R321" s="34" t="s">
        <v>2958</v>
      </c>
      <c r="S321" s="44" t="s">
        <v>5208</v>
      </c>
      <c r="T321" s="46"/>
      <c r="U321" s="35"/>
      <c r="V321" s="56" t="s">
        <v>104</v>
      </c>
      <c r="W321" s="46">
        <v>2006</v>
      </c>
      <c r="X321" s="194"/>
      <c r="Y321" s="194"/>
      <c r="Z321" s="194"/>
      <c r="AA321" s="194"/>
      <c r="AB321" s="196"/>
      <c r="AC321"/>
    </row>
    <row r="322" spans="1:29" ht="17.100000000000001" customHeight="1" thickTop="1">
      <c r="A322" s="197" t="s">
        <v>5209</v>
      </c>
      <c r="B322" s="26">
        <v>45898</v>
      </c>
      <c r="C322" s="36"/>
      <c r="D322" s="28" t="s">
        <v>2071</v>
      </c>
      <c r="E322" s="199"/>
      <c r="F322" s="54" t="s">
        <v>5124</v>
      </c>
      <c r="G322" s="37" t="s">
        <v>4350</v>
      </c>
      <c r="H322" s="201">
        <v>4.5</v>
      </c>
      <c r="I322" s="193">
        <f>3481500/1.1</f>
        <v>3164999.9999999995</v>
      </c>
      <c r="J322" s="193">
        <f>I322*0.1</f>
        <v>316500</v>
      </c>
      <c r="K322" s="193">
        <v>8000</v>
      </c>
      <c r="L322" s="193">
        <v>11570</v>
      </c>
      <c r="M322" s="193">
        <v>142038</v>
      </c>
      <c r="N322" s="193">
        <f>SUM(I322:M323)</f>
        <v>3643107.9999999995</v>
      </c>
      <c r="O322" s="191"/>
      <c r="P322" s="147" t="s">
        <v>5210</v>
      </c>
      <c r="Q322" s="29" t="s">
        <v>82</v>
      </c>
      <c r="R322" s="81"/>
      <c r="S322" s="48" t="s">
        <v>1500</v>
      </c>
      <c r="T322" s="50"/>
      <c r="U322" s="30"/>
      <c r="V322" s="58">
        <v>45934</v>
      </c>
      <c r="W322" s="52">
        <v>1270</v>
      </c>
      <c r="X322" s="193">
        <v>3480000</v>
      </c>
      <c r="Y322" s="193">
        <f>X322*0.1</f>
        <v>348000</v>
      </c>
      <c r="Z322" s="193">
        <v>11570</v>
      </c>
      <c r="AA322" s="193">
        <f>SUM(X322:Z322)</f>
        <v>3839570</v>
      </c>
      <c r="AB322" s="195">
        <v>45944</v>
      </c>
      <c r="AC322"/>
    </row>
    <row r="323" spans="1:29" ht="17.100000000000001" customHeight="1" thickBot="1">
      <c r="A323" s="198"/>
      <c r="B323" s="31" t="s">
        <v>1985</v>
      </c>
      <c r="C323" s="31" t="s">
        <v>5211</v>
      </c>
      <c r="D323" s="32" t="s">
        <v>399</v>
      </c>
      <c r="E323" s="200"/>
      <c r="F323" s="43" t="s">
        <v>5212</v>
      </c>
      <c r="G323" s="38">
        <v>14333</v>
      </c>
      <c r="H323" s="202"/>
      <c r="I323" s="194"/>
      <c r="J323" s="194"/>
      <c r="K323" s="194"/>
      <c r="L323" s="194"/>
      <c r="M323" s="194"/>
      <c r="N323" s="194"/>
      <c r="O323" s="192"/>
      <c r="P323" s="148" t="s">
        <v>5213</v>
      </c>
      <c r="Q323" s="33" t="s">
        <v>86</v>
      </c>
      <c r="R323" s="34" t="s">
        <v>4886</v>
      </c>
      <c r="S323" s="44" t="s">
        <v>5214</v>
      </c>
      <c r="T323" s="46"/>
      <c r="U323" s="35"/>
      <c r="V323" s="56" t="s">
        <v>3800</v>
      </c>
      <c r="W323" s="46">
        <v>40012</v>
      </c>
      <c r="X323" s="194"/>
      <c r="Y323" s="194"/>
      <c r="Z323" s="194"/>
      <c r="AA323" s="194"/>
      <c r="AB323" s="196"/>
      <c r="AC323"/>
    </row>
    <row r="324" spans="1:29" ht="17.100000000000001" customHeight="1" thickTop="1">
      <c r="A324" s="197" t="s">
        <v>5215</v>
      </c>
      <c r="B324" s="26">
        <v>45898</v>
      </c>
      <c r="C324" s="36">
        <v>1383</v>
      </c>
      <c r="D324" s="28" t="s">
        <v>1001</v>
      </c>
      <c r="E324" s="199"/>
      <c r="F324" s="54" t="s">
        <v>5216</v>
      </c>
      <c r="G324" s="37" t="s">
        <v>5217</v>
      </c>
      <c r="H324" s="205" t="s">
        <v>1981</v>
      </c>
      <c r="I324" s="193">
        <v>751000</v>
      </c>
      <c r="J324" s="193">
        <f>I324*0.1</f>
        <v>75100</v>
      </c>
      <c r="K324" s="193">
        <v>0</v>
      </c>
      <c r="L324" s="193">
        <v>7150</v>
      </c>
      <c r="M324" s="193">
        <v>13200</v>
      </c>
      <c r="N324" s="193">
        <f>SUM(I324:M325)</f>
        <v>846450</v>
      </c>
      <c r="O324" s="191"/>
      <c r="P324" s="147" t="s">
        <v>5218</v>
      </c>
      <c r="Q324" s="29" t="s">
        <v>82</v>
      </c>
      <c r="R324" s="81"/>
      <c r="S324" s="48"/>
      <c r="T324" s="50"/>
      <c r="U324" s="30" t="s">
        <v>5219</v>
      </c>
      <c r="V324" s="58">
        <v>45934</v>
      </c>
      <c r="W324" s="52">
        <v>1270</v>
      </c>
      <c r="X324" s="193">
        <v>900000</v>
      </c>
      <c r="Y324" s="193">
        <f>X324*0.1</f>
        <v>90000</v>
      </c>
      <c r="Z324" s="193">
        <v>7150</v>
      </c>
      <c r="AA324" s="193">
        <f>SUM(X324:Z324)</f>
        <v>997150</v>
      </c>
      <c r="AB324" s="195">
        <v>45944</v>
      </c>
      <c r="AC324"/>
    </row>
    <row r="325" spans="1:29" ht="17.100000000000001" customHeight="1" thickBot="1">
      <c r="A325" s="198"/>
      <c r="B325" s="31" t="s">
        <v>3039</v>
      </c>
      <c r="C325" s="31">
        <v>3160</v>
      </c>
      <c r="D325" s="32" t="s">
        <v>1987</v>
      </c>
      <c r="E325" s="200"/>
      <c r="F325" s="43" t="s">
        <v>5220</v>
      </c>
      <c r="G325" s="38">
        <v>66995</v>
      </c>
      <c r="H325" s="202"/>
      <c r="I325" s="194"/>
      <c r="J325" s="194"/>
      <c r="K325" s="194"/>
      <c r="L325" s="194"/>
      <c r="M325" s="194"/>
      <c r="N325" s="194"/>
      <c r="O325" s="192"/>
      <c r="P325" s="148" t="s">
        <v>5221</v>
      </c>
      <c r="Q325" s="33" t="s">
        <v>86</v>
      </c>
      <c r="R325" s="34" t="s">
        <v>2428</v>
      </c>
      <c r="S325" s="44" t="s">
        <v>5222</v>
      </c>
      <c r="T325" s="46"/>
      <c r="U325" s="35"/>
      <c r="V325" s="56" t="s">
        <v>4704</v>
      </c>
      <c r="W325" s="46">
        <v>60381</v>
      </c>
      <c r="X325" s="194"/>
      <c r="Y325" s="194"/>
      <c r="Z325" s="194"/>
      <c r="AA325" s="194"/>
      <c r="AB325" s="196"/>
      <c r="AC325"/>
    </row>
    <row r="326" spans="1:29" ht="17.100000000000001" customHeight="1" thickTop="1">
      <c r="A326" s="197" t="s">
        <v>5223</v>
      </c>
      <c r="B326" s="26">
        <v>45899</v>
      </c>
      <c r="C326" s="36">
        <v>1265</v>
      </c>
      <c r="D326" s="28" t="s">
        <v>5224</v>
      </c>
      <c r="E326" s="199"/>
      <c r="F326" s="54" t="s">
        <v>5225</v>
      </c>
      <c r="G326" s="37" t="s">
        <v>4779</v>
      </c>
      <c r="H326" s="201">
        <v>4.5</v>
      </c>
      <c r="I326" s="193">
        <v>785000</v>
      </c>
      <c r="J326" s="193">
        <f>I326*0.1</f>
        <v>78500</v>
      </c>
      <c r="K326" s="193">
        <v>0</v>
      </c>
      <c r="L326" s="193">
        <v>9010</v>
      </c>
      <c r="M326" s="193">
        <v>12100</v>
      </c>
      <c r="N326" s="193">
        <f>SUM(I326:M327)</f>
        <v>884610</v>
      </c>
      <c r="O326" s="191"/>
      <c r="P326" s="147" t="s">
        <v>5226</v>
      </c>
      <c r="Q326" s="29" t="s">
        <v>82</v>
      </c>
      <c r="R326" s="81"/>
      <c r="S326" s="48" t="s">
        <v>1666</v>
      </c>
      <c r="T326" s="50"/>
      <c r="U326" s="30" t="s">
        <v>5227</v>
      </c>
      <c r="V326" s="58">
        <v>45934</v>
      </c>
      <c r="W326" s="52">
        <v>1270</v>
      </c>
      <c r="X326" s="193">
        <v>880000</v>
      </c>
      <c r="Y326" s="193">
        <f>X326*0.1</f>
        <v>88000</v>
      </c>
      <c r="Z326" s="193">
        <v>9010</v>
      </c>
      <c r="AA326" s="193">
        <f>SUM(X326:Z326)</f>
        <v>977010</v>
      </c>
      <c r="AB326" s="195">
        <v>45938</v>
      </c>
      <c r="AC326"/>
    </row>
    <row r="327" spans="1:29" ht="17.100000000000001" customHeight="1" thickBot="1">
      <c r="A327" s="198"/>
      <c r="B327" s="31" t="s">
        <v>521</v>
      </c>
      <c r="C327" s="31">
        <v>65226</v>
      </c>
      <c r="D327" s="32" t="s">
        <v>95</v>
      </c>
      <c r="E327" s="200"/>
      <c r="F327" s="43" t="s">
        <v>5228</v>
      </c>
      <c r="G327" s="38">
        <v>77384</v>
      </c>
      <c r="H327" s="202"/>
      <c r="I327" s="194"/>
      <c r="J327" s="194"/>
      <c r="K327" s="194"/>
      <c r="L327" s="194"/>
      <c r="M327" s="194"/>
      <c r="N327" s="194"/>
      <c r="O327" s="192"/>
      <c r="P327" s="148" t="s">
        <v>5229</v>
      </c>
      <c r="Q327" s="33" t="s">
        <v>86</v>
      </c>
      <c r="R327" s="34" t="s">
        <v>2958</v>
      </c>
      <c r="S327" s="44" t="s">
        <v>287</v>
      </c>
      <c r="T327" s="46"/>
      <c r="U327" s="35"/>
      <c r="V327" s="56" t="s">
        <v>3800</v>
      </c>
      <c r="W327" s="46">
        <v>60321</v>
      </c>
      <c r="X327" s="194"/>
      <c r="Y327" s="194"/>
      <c r="Z327" s="194"/>
      <c r="AA327" s="194"/>
      <c r="AB327" s="196"/>
      <c r="AC327"/>
    </row>
    <row r="328" spans="1:29" ht="17.100000000000001" customHeight="1" thickTop="1">
      <c r="A328" s="197" t="s">
        <v>5230</v>
      </c>
      <c r="B328" s="26">
        <v>45899</v>
      </c>
      <c r="C328" s="36">
        <v>1265</v>
      </c>
      <c r="D328" s="28" t="s">
        <v>3177</v>
      </c>
      <c r="E328" s="199"/>
      <c r="F328" s="54" t="s">
        <v>5231</v>
      </c>
      <c r="G328" s="37"/>
      <c r="H328" s="201">
        <v>4.5</v>
      </c>
      <c r="I328" s="193">
        <v>785000</v>
      </c>
      <c r="J328" s="193">
        <f>I328*0.1</f>
        <v>78500</v>
      </c>
      <c r="K328" s="193">
        <v>0</v>
      </c>
      <c r="L328" s="193">
        <v>8740</v>
      </c>
      <c r="M328" s="193">
        <v>12100</v>
      </c>
      <c r="N328" s="193">
        <f>SUM(I328:M329)</f>
        <v>884340</v>
      </c>
      <c r="O328" s="191"/>
      <c r="P328" s="147" t="s">
        <v>5232</v>
      </c>
      <c r="Q328" s="29" t="s">
        <v>82</v>
      </c>
      <c r="R328" s="81"/>
      <c r="S328" s="48" t="s">
        <v>1540</v>
      </c>
      <c r="T328" s="50"/>
      <c r="U328" s="30"/>
      <c r="V328" s="58">
        <v>45945</v>
      </c>
      <c r="W328" s="52">
        <v>988</v>
      </c>
      <c r="X328" s="193">
        <v>850000</v>
      </c>
      <c r="Y328" s="193">
        <f>X328*0.1</f>
        <v>85000</v>
      </c>
      <c r="Z328" s="193">
        <v>8740</v>
      </c>
      <c r="AA328" s="193">
        <f>SUM(X328:Z328)</f>
        <v>943740</v>
      </c>
      <c r="AB328" s="195">
        <v>45952</v>
      </c>
      <c r="AC328"/>
    </row>
    <row r="329" spans="1:29" ht="17.100000000000001" customHeight="1" thickBot="1">
      <c r="A329" s="198"/>
      <c r="B329" s="31" t="s">
        <v>521</v>
      </c>
      <c r="C329" s="31">
        <v>65303</v>
      </c>
      <c r="D329" s="32" t="s">
        <v>4487</v>
      </c>
      <c r="E329" s="200"/>
      <c r="F329" s="43" t="s">
        <v>5233</v>
      </c>
      <c r="G329" s="38">
        <v>47265</v>
      </c>
      <c r="H329" s="202"/>
      <c r="I329" s="194"/>
      <c r="J329" s="194"/>
      <c r="K329" s="194"/>
      <c r="L329" s="194"/>
      <c r="M329" s="194"/>
      <c r="N329" s="194"/>
      <c r="O329" s="192"/>
      <c r="P329" s="148" t="s">
        <v>5234</v>
      </c>
      <c r="Q329" s="33" t="s">
        <v>86</v>
      </c>
      <c r="R329" s="34" t="s">
        <v>5161</v>
      </c>
      <c r="S329" s="44" t="s">
        <v>5083</v>
      </c>
      <c r="T329" s="46"/>
      <c r="U329" s="35"/>
      <c r="V329" s="56" t="s">
        <v>5235</v>
      </c>
      <c r="W329" s="46">
        <v>2013</v>
      </c>
      <c r="X329" s="194"/>
      <c r="Y329" s="194"/>
      <c r="Z329" s="194"/>
      <c r="AA329" s="194"/>
      <c r="AB329" s="196"/>
      <c r="AC329"/>
    </row>
    <row r="330" spans="1:29" ht="17.100000000000001" customHeight="1" thickTop="1">
      <c r="A330" s="197" t="s">
        <v>5236</v>
      </c>
      <c r="B330" s="26">
        <v>45899</v>
      </c>
      <c r="C330" s="36">
        <v>1265</v>
      </c>
      <c r="D330" s="28" t="s">
        <v>4810</v>
      </c>
      <c r="E330" s="199"/>
      <c r="F330" s="54" t="s">
        <v>5237</v>
      </c>
      <c r="G330" s="37" t="s">
        <v>5238</v>
      </c>
      <c r="H330" s="201">
        <v>4.5</v>
      </c>
      <c r="I330" s="193">
        <v>1255000</v>
      </c>
      <c r="J330" s="193">
        <f>I330*0.1</f>
        <v>125500</v>
      </c>
      <c r="K330" s="193">
        <f>20100+2010</f>
        <v>22110</v>
      </c>
      <c r="L330" s="193">
        <v>12680</v>
      </c>
      <c r="M330" s="193">
        <v>16500</v>
      </c>
      <c r="N330" s="193">
        <f>SUM(I330:M331)</f>
        <v>1431790</v>
      </c>
      <c r="O330" s="191"/>
      <c r="P330" s="147" t="s">
        <v>5239</v>
      </c>
      <c r="Q330" s="29" t="s">
        <v>82</v>
      </c>
      <c r="R330" s="81"/>
      <c r="S330" s="48"/>
      <c r="T330" s="50"/>
      <c r="U330" s="30"/>
      <c r="V330" s="58">
        <v>45931</v>
      </c>
      <c r="W330" s="52">
        <v>986</v>
      </c>
      <c r="X330" s="193">
        <v>1350000</v>
      </c>
      <c r="Y330" s="193">
        <f>X330*0.1</f>
        <v>135000</v>
      </c>
      <c r="Z330" s="193">
        <v>12680</v>
      </c>
      <c r="AA330" s="193">
        <f>SUM(X330:Z330)</f>
        <v>1497680</v>
      </c>
      <c r="AB330" s="195">
        <v>45937</v>
      </c>
      <c r="AC330"/>
    </row>
    <row r="331" spans="1:29" ht="17.100000000000001" customHeight="1" thickBot="1">
      <c r="A331" s="198"/>
      <c r="B331" s="31" t="s">
        <v>521</v>
      </c>
      <c r="C331" s="31">
        <v>82393</v>
      </c>
      <c r="D331" s="32" t="s">
        <v>1097</v>
      </c>
      <c r="E331" s="200"/>
      <c r="F331" s="43" t="s">
        <v>5240</v>
      </c>
      <c r="G331" s="38">
        <v>79954</v>
      </c>
      <c r="H331" s="202"/>
      <c r="I331" s="194"/>
      <c r="J331" s="194"/>
      <c r="K331" s="194"/>
      <c r="L331" s="194"/>
      <c r="M331" s="194"/>
      <c r="N331" s="194"/>
      <c r="O331" s="192"/>
      <c r="P331" s="148" t="s">
        <v>3367</v>
      </c>
      <c r="Q331" s="33" t="s">
        <v>86</v>
      </c>
      <c r="R331" s="34" t="s">
        <v>5161</v>
      </c>
      <c r="S331" s="44" t="s">
        <v>5241</v>
      </c>
      <c r="T331" s="46" t="s">
        <v>5242</v>
      </c>
      <c r="U331" s="35"/>
      <c r="V331" s="56" t="s">
        <v>4704</v>
      </c>
      <c r="W331" s="46">
        <v>6001</v>
      </c>
      <c r="X331" s="194"/>
      <c r="Y331" s="194"/>
      <c r="Z331" s="194"/>
      <c r="AA331" s="194"/>
      <c r="AB331" s="196"/>
      <c r="AC331"/>
    </row>
    <row r="332" spans="1:29" ht="17.100000000000001" customHeight="1" thickTop="1">
      <c r="A332" s="197" t="s">
        <v>5243</v>
      </c>
      <c r="B332" s="26">
        <v>45901</v>
      </c>
      <c r="C332" s="36">
        <v>2058</v>
      </c>
      <c r="D332" s="28" t="s">
        <v>4111</v>
      </c>
      <c r="E332" s="199"/>
      <c r="F332" s="54" t="s">
        <v>5244</v>
      </c>
      <c r="G332" s="37"/>
      <c r="H332" s="201">
        <v>4</v>
      </c>
      <c r="I332" s="193">
        <v>3485000</v>
      </c>
      <c r="J332" s="193">
        <f>I332*0.1</f>
        <v>348500</v>
      </c>
      <c r="K332" s="193">
        <v>0</v>
      </c>
      <c r="L332" s="193">
        <v>17640</v>
      </c>
      <c r="M332" s="193">
        <v>12100</v>
      </c>
      <c r="N332" s="193">
        <f>SUM(I332:M333)</f>
        <v>3863240</v>
      </c>
      <c r="O332" s="191"/>
      <c r="P332" s="147" t="s">
        <v>5245</v>
      </c>
      <c r="Q332" s="29" t="s">
        <v>82</v>
      </c>
      <c r="R332" s="81"/>
      <c r="S332" s="48" t="s">
        <v>5246</v>
      </c>
      <c r="T332" s="50"/>
      <c r="U332" s="30"/>
      <c r="V332" s="58">
        <v>45990</v>
      </c>
      <c r="W332" s="52">
        <v>1278</v>
      </c>
      <c r="X332" s="193">
        <v>3700000</v>
      </c>
      <c r="Y332" s="193">
        <f>X332*0.1</f>
        <v>370000</v>
      </c>
      <c r="Z332" s="193">
        <v>17640</v>
      </c>
      <c r="AA332" s="193">
        <f>SUM(X332:Z332)</f>
        <v>4087640</v>
      </c>
      <c r="AB332" s="195">
        <v>45995</v>
      </c>
      <c r="AC332"/>
    </row>
    <row r="333" spans="1:29" ht="17.100000000000001" customHeight="1" thickBot="1">
      <c r="A333" s="198"/>
      <c r="B333" s="31" t="s">
        <v>189</v>
      </c>
      <c r="C333" s="31">
        <v>11017</v>
      </c>
      <c r="D333" s="32" t="s">
        <v>1811</v>
      </c>
      <c r="E333" s="200"/>
      <c r="F333" s="43" t="s">
        <v>5247</v>
      </c>
      <c r="G333" s="38">
        <v>45750</v>
      </c>
      <c r="H333" s="202"/>
      <c r="I333" s="194"/>
      <c r="J333" s="194"/>
      <c r="K333" s="194"/>
      <c r="L333" s="194"/>
      <c r="M333" s="194"/>
      <c r="N333" s="194"/>
      <c r="O333" s="192"/>
      <c r="P333" s="148" t="s">
        <v>5248</v>
      </c>
      <c r="Q333" s="33" t="s">
        <v>86</v>
      </c>
      <c r="R333" s="34" t="s">
        <v>4578</v>
      </c>
      <c r="S333" s="145" t="s">
        <v>2524</v>
      </c>
      <c r="T333" s="46"/>
      <c r="U333" s="35"/>
      <c r="V333" s="56" t="s">
        <v>3200</v>
      </c>
      <c r="W333" s="46">
        <v>80060</v>
      </c>
      <c r="X333" s="194"/>
      <c r="Y333" s="194"/>
      <c r="Z333" s="194"/>
      <c r="AA333" s="194"/>
      <c r="AB333" s="196"/>
      <c r="AC333"/>
    </row>
    <row r="334" spans="1:29" ht="17.100000000000001" customHeight="1" thickTop="1">
      <c r="A334" s="197" t="s">
        <v>5252</v>
      </c>
      <c r="B334" s="26">
        <v>45901</v>
      </c>
      <c r="C334" s="36"/>
      <c r="D334" s="28" t="s">
        <v>2749</v>
      </c>
      <c r="E334" s="199"/>
      <c r="F334" s="54" t="s">
        <v>5253</v>
      </c>
      <c r="G334" s="37" t="s">
        <v>5254</v>
      </c>
      <c r="H334" s="201">
        <v>4</v>
      </c>
      <c r="I334" s="193">
        <f>363000/1.1</f>
        <v>330000</v>
      </c>
      <c r="J334" s="193">
        <f>I334*0.1</f>
        <v>33000</v>
      </c>
      <c r="K334" s="193">
        <v>0</v>
      </c>
      <c r="L334" s="193">
        <v>9300</v>
      </c>
      <c r="M334" s="193">
        <v>45159</v>
      </c>
      <c r="N334" s="193">
        <f>SUM(I334:M335)</f>
        <v>417459</v>
      </c>
      <c r="O334" s="191"/>
      <c r="P334" s="147" t="s">
        <v>5255</v>
      </c>
      <c r="Q334" s="29" t="s">
        <v>82</v>
      </c>
      <c r="R334" s="81"/>
      <c r="S334" s="48" t="s">
        <v>1596</v>
      </c>
      <c r="T334" s="50"/>
      <c r="U334" s="30"/>
      <c r="V334" s="58">
        <v>45941</v>
      </c>
      <c r="W334" s="52">
        <v>1271</v>
      </c>
      <c r="X334" s="193">
        <v>275000</v>
      </c>
      <c r="Y334" s="193">
        <f>X334*0.1</f>
        <v>27500</v>
      </c>
      <c r="Z334" s="193">
        <v>9300</v>
      </c>
      <c r="AA334" s="193">
        <f>SUM(X334:Z334)</f>
        <v>311800</v>
      </c>
      <c r="AB334" s="195">
        <v>45944</v>
      </c>
      <c r="AC334"/>
    </row>
    <row r="335" spans="1:29" ht="17.100000000000001" customHeight="1" thickBot="1">
      <c r="A335" s="198"/>
      <c r="B335" s="31" t="s">
        <v>1985</v>
      </c>
      <c r="C335" s="31" t="s">
        <v>5256</v>
      </c>
      <c r="D335" s="32" t="s">
        <v>244</v>
      </c>
      <c r="E335" s="200"/>
      <c r="F335" s="43" t="s">
        <v>5257</v>
      </c>
      <c r="G335" s="38">
        <v>70942</v>
      </c>
      <c r="H335" s="202"/>
      <c r="I335" s="194"/>
      <c r="J335" s="194"/>
      <c r="K335" s="194"/>
      <c r="L335" s="194"/>
      <c r="M335" s="194"/>
      <c r="N335" s="194"/>
      <c r="O335" s="192"/>
      <c r="P335" s="148" t="s">
        <v>5258</v>
      </c>
      <c r="Q335" s="33" t="s">
        <v>86</v>
      </c>
      <c r="R335" s="34" t="s">
        <v>2436</v>
      </c>
      <c r="S335" s="44" t="s">
        <v>287</v>
      </c>
      <c r="T335" s="46"/>
      <c r="U335" s="35"/>
      <c r="V335" s="56" t="s">
        <v>521</v>
      </c>
      <c r="W335" s="46">
        <v>31092</v>
      </c>
      <c r="X335" s="194"/>
      <c r="Y335" s="194"/>
      <c r="Z335" s="194"/>
      <c r="AA335" s="194"/>
      <c r="AB335" s="196"/>
      <c r="AC335"/>
    </row>
    <row r="336" spans="1:29" ht="17.100000000000001" customHeight="1" thickTop="1">
      <c r="A336" s="197" t="s">
        <v>5259</v>
      </c>
      <c r="B336" s="26">
        <v>45901</v>
      </c>
      <c r="C336" s="36"/>
      <c r="D336" s="28" t="s">
        <v>1883</v>
      </c>
      <c r="E336" s="199"/>
      <c r="F336" s="54" t="s">
        <v>5260</v>
      </c>
      <c r="G336" s="37"/>
      <c r="H336" s="201">
        <v>3.5</v>
      </c>
      <c r="I336" s="193">
        <v>328000</v>
      </c>
      <c r="J336" s="193">
        <f>I336*0.1</f>
        <v>32800</v>
      </c>
      <c r="K336" s="193">
        <v>0</v>
      </c>
      <c r="L336" s="193">
        <v>9790</v>
      </c>
      <c r="M336" s="193">
        <v>15950</v>
      </c>
      <c r="N336" s="193">
        <f>SUM(I336:M337)</f>
        <v>386540</v>
      </c>
      <c r="O336" s="191"/>
      <c r="P336" s="147" t="s">
        <v>5261</v>
      </c>
      <c r="Q336" s="29" t="s">
        <v>82</v>
      </c>
      <c r="R336" s="81"/>
      <c r="S336" s="48"/>
      <c r="T336" s="50"/>
      <c r="U336" s="30"/>
      <c r="V336" s="58">
        <v>45934</v>
      </c>
      <c r="W336" s="52">
        <v>1270</v>
      </c>
      <c r="X336" s="193">
        <v>380000</v>
      </c>
      <c r="Y336" s="193">
        <f>X336*0.1</f>
        <v>38000</v>
      </c>
      <c r="Z336" s="193">
        <v>9790</v>
      </c>
      <c r="AA336" s="193">
        <f>SUM(X336:Z336)</f>
        <v>427790</v>
      </c>
      <c r="AB336" s="195">
        <v>45937</v>
      </c>
      <c r="AC336"/>
    </row>
    <row r="337" spans="1:29" ht="17.100000000000001" customHeight="1" thickBot="1">
      <c r="A337" s="198"/>
      <c r="B337" s="31" t="s">
        <v>5262</v>
      </c>
      <c r="C337" s="31">
        <v>79158</v>
      </c>
      <c r="D337" s="32" t="s">
        <v>1832</v>
      </c>
      <c r="E337" s="200"/>
      <c r="F337" s="43" t="s">
        <v>5263</v>
      </c>
      <c r="G337" s="38">
        <v>59556</v>
      </c>
      <c r="H337" s="202"/>
      <c r="I337" s="194"/>
      <c r="J337" s="194"/>
      <c r="K337" s="194"/>
      <c r="L337" s="194"/>
      <c r="M337" s="194"/>
      <c r="N337" s="194"/>
      <c r="O337" s="192"/>
      <c r="P337" s="148" t="s">
        <v>5264</v>
      </c>
      <c r="Q337" s="33" t="s">
        <v>86</v>
      </c>
      <c r="R337" s="34" t="s">
        <v>3412</v>
      </c>
      <c r="S337" s="44"/>
      <c r="T337" s="46"/>
      <c r="U337" s="35"/>
      <c r="V337" s="56" t="s">
        <v>3800</v>
      </c>
      <c r="W337" s="46">
        <v>60276</v>
      </c>
      <c r="X337" s="194"/>
      <c r="Y337" s="194"/>
      <c r="Z337" s="194"/>
      <c r="AA337" s="194"/>
      <c r="AB337" s="196"/>
      <c r="AC337"/>
    </row>
    <row r="338" spans="1:29" ht="17.100000000000001" customHeight="1" thickTop="1">
      <c r="A338" s="197" t="s">
        <v>5265</v>
      </c>
      <c r="B338" s="26">
        <v>45902</v>
      </c>
      <c r="C338" s="36">
        <v>1907</v>
      </c>
      <c r="D338" s="28" t="s">
        <v>5266</v>
      </c>
      <c r="E338" s="199"/>
      <c r="F338" s="54" t="s">
        <v>5267</v>
      </c>
      <c r="G338" s="37" t="s">
        <v>4708</v>
      </c>
      <c r="H338" s="201">
        <v>4</v>
      </c>
      <c r="I338" s="193">
        <v>163000</v>
      </c>
      <c r="J338" s="193">
        <f>I338*0.1</f>
        <v>16300</v>
      </c>
      <c r="K338" s="193">
        <v>0</v>
      </c>
      <c r="L338" s="193">
        <v>8670</v>
      </c>
      <c r="M338" s="193">
        <v>15950</v>
      </c>
      <c r="N338" s="193">
        <f>SUM(I338:M339)</f>
        <v>203920</v>
      </c>
      <c r="O338" s="191"/>
      <c r="P338" s="147" t="s">
        <v>5268</v>
      </c>
      <c r="Q338" s="29" t="s">
        <v>82</v>
      </c>
      <c r="R338" s="81"/>
      <c r="S338" s="48"/>
      <c r="T338" s="50"/>
      <c r="U338" s="30"/>
      <c r="V338" s="58">
        <v>45955</v>
      </c>
      <c r="W338" s="52">
        <v>1273</v>
      </c>
      <c r="X338" s="193">
        <v>180000</v>
      </c>
      <c r="Y338" s="193">
        <f>X338*0.1</f>
        <v>18000</v>
      </c>
      <c r="Z338" s="193">
        <v>8670</v>
      </c>
      <c r="AA338" s="193">
        <f>SUM(X338:Z338)</f>
        <v>206670</v>
      </c>
      <c r="AB338" s="195">
        <v>45960</v>
      </c>
      <c r="AC338"/>
    </row>
    <row r="339" spans="1:29" ht="17.100000000000001" customHeight="1" thickBot="1">
      <c r="A339" s="198"/>
      <c r="B339" s="31" t="s">
        <v>2450</v>
      </c>
      <c r="C339" s="31">
        <v>3081</v>
      </c>
      <c r="D339" s="32" t="s">
        <v>1097</v>
      </c>
      <c r="E339" s="200"/>
      <c r="F339" s="43" t="s">
        <v>5269</v>
      </c>
      <c r="G339" s="38">
        <v>36603</v>
      </c>
      <c r="H339" s="202"/>
      <c r="I339" s="194"/>
      <c r="J339" s="194"/>
      <c r="K339" s="194"/>
      <c r="L339" s="194"/>
      <c r="M339" s="194"/>
      <c r="N339" s="194"/>
      <c r="O339" s="192"/>
      <c r="P339" s="148" t="s">
        <v>5270</v>
      </c>
      <c r="Q339" s="33" t="s">
        <v>86</v>
      </c>
      <c r="R339" s="34" t="s">
        <v>5161</v>
      </c>
      <c r="S339" s="44"/>
      <c r="T339" s="46"/>
      <c r="U339" s="35"/>
      <c r="V339" s="56" t="s">
        <v>3800</v>
      </c>
      <c r="W339" s="46">
        <v>60315</v>
      </c>
      <c r="X339" s="194"/>
      <c r="Y339" s="194"/>
      <c r="Z339" s="194"/>
      <c r="AA339" s="194"/>
      <c r="AB339" s="196"/>
      <c r="AC339"/>
    </row>
    <row r="340" spans="1:29" ht="17.100000000000001" customHeight="1" thickTop="1">
      <c r="A340" s="197" t="s">
        <v>5271</v>
      </c>
      <c r="B340" s="26">
        <v>45902</v>
      </c>
      <c r="C340" s="36">
        <v>905</v>
      </c>
      <c r="D340" s="28" t="s">
        <v>2247</v>
      </c>
      <c r="E340" s="199"/>
      <c r="F340" s="54" t="s">
        <v>5272</v>
      </c>
      <c r="G340" s="37" t="s">
        <v>4568</v>
      </c>
      <c r="H340" s="201">
        <v>3.5</v>
      </c>
      <c r="I340" s="193">
        <v>670000</v>
      </c>
      <c r="J340" s="193">
        <f>I340*0.1</f>
        <v>67000</v>
      </c>
      <c r="K340" s="193">
        <v>0</v>
      </c>
      <c r="L340" s="193">
        <v>8400</v>
      </c>
      <c r="M340" s="193">
        <v>15950</v>
      </c>
      <c r="N340" s="193">
        <f>SUM(I340:M341)</f>
        <v>761350</v>
      </c>
      <c r="O340" s="191"/>
      <c r="P340" s="147" t="s">
        <v>5273</v>
      </c>
      <c r="Q340" s="29" t="s">
        <v>82</v>
      </c>
      <c r="R340" s="81"/>
      <c r="S340" s="48" t="s">
        <v>940</v>
      </c>
      <c r="T340" s="50"/>
      <c r="U340" s="30" t="s">
        <v>5274</v>
      </c>
      <c r="V340" s="58">
        <v>45987</v>
      </c>
      <c r="W340" s="52">
        <v>994</v>
      </c>
      <c r="X340" s="193">
        <v>750000</v>
      </c>
      <c r="Y340" s="193">
        <f>X340*0.1</f>
        <v>75000</v>
      </c>
      <c r="Z340" s="193">
        <v>8400</v>
      </c>
      <c r="AA340" s="193">
        <f>SUM(X340:Z340)</f>
        <v>833400</v>
      </c>
      <c r="AB340" s="195">
        <v>45994</v>
      </c>
      <c r="AC340"/>
    </row>
    <row r="341" spans="1:29" ht="17.100000000000001" customHeight="1" thickBot="1">
      <c r="A341" s="198"/>
      <c r="B341" s="31" t="s">
        <v>107</v>
      </c>
      <c r="C341" s="31">
        <v>3157</v>
      </c>
      <c r="D341" s="32" t="s">
        <v>2946</v>
      </c>
      <c r="E341" s="200"/>
      <c r="F341" s="43" t="s">
        <v>5275</v>
      </c>
      <c r="G341" s="38">
        <v>55323</v>
      </c>
      <c r="H341" s="202"/>
      <c r="I341" s="194"/>
      <c r="J341" s="194"/>
      <c r="K341" s="194"/>
      <c r="L341" s="194"/>
      <c r="M341" s="194"/>
      <c r="N341" s="194"/>
      <c r="O341" s="192"/>
      <c r="P341" s="148" t="s">
        <v>5276</v>
      </c>
      <c r="Q341" s="33" t="s">
        <v>86</v>
      </c>
      <c r="R341" s="34" t="s">
        <v>5277</v>
      </c>
      <c r="S341" s="44" t="s">
        <v>5278</v>
      </c>
      <c r="T341" s="46"/>
      <c r="U341" s="35"/>
      <c r="V341" s="56" t="s">
        <v>4704</v>
      </c>
      <c r="W341" s="46">
        <v>2074</v>
      </c>
      <c r="X341" s="194"/>
      <c r="Y341" s="194"/>
      <c r="Z341" s="194"/>
      <c r="AA341" s="194"/>
      <c r="AB341" s="196"/>
      <c r="AC341"/>
    </row>
    <row r="342" spans="1:29" ht="17.100000000000001" customHeight="1" thickTop="1">
      <c r="A342" s="197" t="s">
        <v>5279</v>
      </c>
      <c r="B342" s="26">
        <v>45902</v>
      </c>
      <c r="C342" s="36">
        <v>773</v>
      </c>
      <c r="D342" s="28" t="s">
        <v>2712</v>
      </c>
      <c r="E342" s="199"/>
      <c r="F342" s="54" t="s">
        <v>5280</v>
      </c>
      <c r="G342" s="37"/>
      <c r="H342" s="201">
        <v>3.5</v>
      </c>
      <c r="I342" s="193">
        <v>839000</v>
      </c>
      <c r="J342" s="193">
        <f>I342*0.1</f>
        <v>83900</v>
      </c>
      <c r="K342" s="193">
        <v>0</v>
      </c>
      <c r="L342" s="193">
        <v>8740</v>
      </c>
      <c r="M342" s="193">
        <v>22000</v>
      </c>
      <c r="N342" s="193">
        <f>SUM(I342:M343)</f>
        <v>953640</v>
      </c>
      <c r="O342" s="191"/>
      <c r="P342" s="147" t="s">
        <v>5281</v>
      </c>
      <c r="Q342" s="29" t="s">
        <v>82</v>
      </c>
      <c r="R342" s="81"/>
      <c r="S342" s="48"/>
      <c r="T342" s="50"/>
      <c r="U342" s="30"/>
      <c r="V342" s="58">
        <v>45941</v>
      </c>
      <c r="W342" s="52">
        <v>1271</v>
      </c>
      <c r="X342" s="193">
        <v>900000</v>
      </c>
      <c r="Y342" s="193">
        <f>X342*0.1</f>
        <v>90000</v>
      </c>
      <c r="Z342" s="193">
        <v>8740</v>
      </c>
      <c r="AA342" s="193">
        <f>SUM(X342:Z342)</f>
        <v>998740</v>
      </c>
      <c r="AB342" s="195">
        <v>45945</v>
      </c>
      <c r="AC342"/>
    </row>
    <row r="343" spans="1:29" ht="17.100000000000001" customHeight="1" thickBot="1">
      <c r="A343" s="198"/>
      <c r="B343" s="31" t="s">
        <v>5282</v>
      </c>
      <c r="C343" s="31">
        <v>177</v>
      </c>
      <c r="D343" s="32" t="s">
        <v>1832</v>
      </c>
      <c r="E343" s="200"/>
      <c r="F343" s="43" t="s">
        <v>5283</v>
      </c>
      <c r="G343" s="38">
        <v>23043</v>
      </c>
      <c r="H343" s="202"/>
      <c r="I343" s="194"/>
      <c r="J343" s="194"/>
      <c r="K343" s="194"/>
      <c r="L343" s="194"/>
      <c r="M343" s="194"/>
      <c r="N343" s="194"/>
      <c r="O343" s="192"/>
      <c r="P343" s="148" t="s">
        <v>2365</v>
      </c>
      <c r="Q343" s="33" t="s">
        <v>86</v>
      </c>
      <c r="R343" s="34" t="s">
        <v>5277</v>
      </c>
      <c r="S343" s="44" t="s">
        <v>5284</v>
      </c>
      <c r="T343" s="46"/>
      <c r="U343" s="35"/>
      <c r="V343" s="56" t="s">
        <v>3800</v>
      </c>
      <c r="W343" s="46">
        <v>60231</v>
      </c>
      <c r="X343" s="194"/>
      <c r="Y343" s="194"/>
      <c r="Z343" s="194"/>
      <c r="AA343" s="194"/>
      <c r="AB343" s="196"/>
      <c r="AC343"/>
    </row>
    <row r="344" spans="1:29" ht="17.100000000000001" customHeight="1" thickTop="1">
      <c r="A344" s="197" t="s">
        <v>5285</v>
      </c>
      <c r="B344" s="26">
        <v>45903</v>
      </c>
      <c r="C344" s="36">
        <v>1803</v>
      </c>
      <c r="D344" s="28" t="s">
        <v>1892</v>
      </c>
      <c r="E344" s="199"/>
      <c r="F344" s="54" t="s">
        <v>5286</v>
      </c>
      <c r="G344" s="37"/>
      <c r="H344" s="201">
        <v>4</v>
      </c>
      <c r="I344" s="193">
        <v>696000</v>
      </c>
      <c r="J344" s="193">
        <f>I344*0.1</f>
        <v>69600</v>
      </c>
      <c r="K344" s="193">
        <v>0</v>
      </c>
      <c r="L344" s="193">
        <v>7860</v>
      </c>
      <c r="M344" s="193">
        <v>18150</v>
      </c>
      <c r="N344" s="193">
        <f>SUM(I344:M345)</f>
        <v>791610</v>
      </c>
      <c r="O344" s="191"/>
      <c r="P344" s="147" t="s">
        <v>5287</v>
      </c>
      <c r="Q344" s="29" t="s">
        <v>82</v>
      </c>
      <c r="R344" s="81"/>
      <c r="S344" s="48"/>
      <c r="T344" s="50"/>
      <c r="U344" s="30"/>
      <c r="V344" s="58">
        <v>45945</v>
      </c>
      <c r="W344" s="52">
        <v>988</v>
      </c>
      <c r="X344" s="193">
        <v>775000</v>
      </c>
      <c r="Y344" s="193">
        <f>X344*0.1</f>
        <v>77500</v>
      </c>
      <c r="Z344" s="193">
        <v>7880</v>
      </c>
      <c r="AA344" s="193">
        <f>SUM(X344:Z344)</f>
        <v>860380</v>
      </c>
      <c r="AB344" s="195">
        <v>45950</v>
      </c>
      <c r="AC344"/>
    </row>
    <row r="345" spans="1:29" ht="17.100000000000001" customHeight="1" thickBot="1">
      <c r="A345" s="198"/>
      <c r="B345" s="31" t="s">
        <v>2945</v>
      </c>
      <c r="C345" s="31">
        <v>3260</v>
      </c>
      <c r="D345" s="32" t="s">
        <v>399</v>
      </c>
      <c r="E345" s="200"/>
      <c r="F345" s="43" t="s">
        <v>5288</v>
      </c>
      <c r="G345" s="38">
        <v>16173</v>
      </c>
      <c r="H345" s="202"/>
      <c r="I345" s="194"/>
      <c r="J345" s="194"/>
      <c r="K345" s="194"/>
      <c r="L345" s="194"/>
      <c r="M345" s="194"/>
      <c r="N345" s="194"/>
      <c r="O345" s="192"/>
      <c r="P345" s="148" t="s">
        <v>5289</v>
      </c>
      <c r="Q345" s="33" t="s">
        <v>86</v>
      </c>
      <c r="R345" s="34" t="s">
        <v>3412</v>
      </c>
      <c r="S345" s="44"/>
      <c r="T345" s="46"/>
      <c r="U345" s="35"/>
      <c r="V345" s="56" t="s">
        <v>104</v>
      </c>
      <c r="W345" s="46">
        <v>2077</v>
      </c>
      <c r="X345" s="194"/>
      <c r="Y345" s="194"/>
      <c r="Z345" s="194"/>
      <c r="AA345" s="194"/>
      <c r="AB345" s="196"/>
      <c r="AC345"/>
    </row>
    <row r="346" spans="1:29" ht="17.100000000000001" customHeight="1" thickTop="1">
      <c r="A346" s="197" t="s">
        <v>5290</v>
      </c>
      <c r="B346" s="26">
        <v>45903</v>
      </c>
      <c r="C346" s="36">
        <v>1803</v>
      </c>
      <c r="D346" s="28" t="s">
        <v>2836</v>
      </c>
      <c r="E346" s="199"/>
      <c r="F346" s="54" t="s">
        <v>4972</v>
      </c>
      <c r="G346" s="37" t="s">
        <v>4568</v>
      </c>
      <c r="H346" s="201">
        <v>4.5</v>
      </c>
      <c r="I346" s="193">
        <v>659000</v>
      </c>
      <c r="J346" s="193">
        <f>I346*0.1</f>
        <v>65900</v>
      </c>
      <c r="K346" s="193">
        <v>0</v>
      </c>
      <c r="L346" s="193">
        <v>9790</v>
      </c>
      <c r="M346" s="193">
        <v>18150</v>
      </c>
      <c r="N346" s="193">
        <f>SUM(I346:M347)</f>
        <v>752840</v>
      </c>
      <c r="O346" s="191"/>
      <c r="P346" s="147" t="s">
        <v>5291</v>
      </c>
      <c r="Q346" s="29" t="s">
        <v>82</v>
      </c>
      <c r="R346" s="81"/>
      <c r="S346" s="48" t="s">
        <v>1596</v>
      </c>
      <c r="T346" s="50"/>
      <c r="U346" s="30" t="s">
        <v>5292</v>
      </c>
      <c r="V346" s="58">
        <v>45952</v>
      </c>
      <c r="W346" s="52">
        <v>989</v>
      </c>
      <c r="X346" s="193">
        <v>705000</v>
      </c>
      <c r="Y346" s="193">
        <f>X346*0.1</f>
        <v>70500</v>
      </c>
      <c r="Z346" s="193">
        <v>9790</v>
      </c>
      <c r="AA346" s="193">
        <f>SUM(X346:Z346)</f>
        <v>785290</v>
      </c>
      <c r="AB346" s="195">
        <v>45957</v>
      </c>
      <c r="AC346"/>
    </row>
    <row r="347" spans="1:29" ht="17.100000000000001" customHeight="1" thickBot="1">
      <c r="A347" s="198"/>
      <c r="B347" s="31" t="s">
        <v>2945</v>
      </c>
      <c r="C347" s="31">
        <v>9236</v>
      </c>
      <c r="D347" s="32" t="s">
        <v>4487</v>
      </c>
      <c r="E347" s="200"/>
      <c r="F347" s="43" t="s">
        <v>5293</v>
      </c>
      <c r="G347" s="38">
        <v>54450</v>
      </c>
      <c r="H347" s="202"/>
      <c r="I347" s="194"/>
      <c r="J347" s="194"/>
      <c r="K347" s="194"/>
      <c r="L347" s="194"/>
      <c r="M347" s="194"/>
      <c r="N347" s="194"/>
      <c r="O347" s="192"/>
      <c r="P347" s="148" t="s">
        <v>5294</v>
      </c>
      <c r="Q347" s="33" t="s">
        <v>86</v>
      </c>
      <c r="R347" s="34" t="s">
        <v>3412</v>
      </c>
      <c r="S347" s="44" t="s">
        <v>5295</v>
      </c>
      <c r="T347" s="46"/>
      <c r="U347" s="35"/>
      <c r="V347" s="56" t="s">
        <v>5040</v>
      </c>
      <c r="W347" s="46">
        <v>2039</v>
      </c>
      <c r="X347" s="194"/>
      <c r="Y347" s="194"/>
      <c r="Z347" s="194"/>
      <c r="AA347" s="194"/>
      <c r="AB347" s="196"/>
      <c r="AC347"/>
    </row>
    <row r="348" spans="1:29" ht="17.100000000000001" customHeight="1" thickTop="1">
      <c r="A348" s="197" t="s">
        <v>5296</v>
      </c>
      <c r="B348" s="26">
        <v>45904</v>
      </c>
      <c r="C348" s="36">
        <v>1531</v>
      </c>
      <c r="D348" s="28" t="s">
        <v>2810</v>
      </c>
      <c r="E348" s="199"/>
      <c r="F348" s="54" t="s">
        <v>5297</v>
      </c>
      <c r="G348" s="37" t="s">
        <v>3295</v>
      </c>
      <c r="H348" s="201">
        <v>4.5</v>
      </c>
      <c r="I348" s="193">
        <v>1720000</v>
      </c>
      <c r="J348" s="193">
        <f>I348*0.1</f>
        <v>172000</v>
      </c>
      <c r="K348" s="193">
        <f>17200+1720</f>
        <v>18920</v>
      </c>
      <c r="L348" s="193">
        <v>19040</v>
      </c>
      <c r="M348" s="193">
        <v>16500</v>
      </c>
      <c r="N348" s="193">
        <f>SUM(I348:M349)</f>
        <v>1946460</v>
      </c>
      <c r="O348" s="191"/>
      <c r="P348" s="147" t="s">
        <v>5298</v>
      </c>
      <c r="Q348" s="29" t="s">
        <v>82</v>
      </c>
      <c r="R348" s="81"/>
      <c r="S348" s="48" t="s">
        <v>2743</v>
      </c>
      <c r="T348" s="50"/>
      <c r="U348" s="30"/>
      <c r="V348" s="58">
        <v>45948</v>
      </c>
      <c r="W348" s="52">
        <v>1272</v>
      </c>
      <c r="X348" s="193">
        <v>1800000</v>
      </c>
      <c r="Y348" s="193">
        <f>X348*0.1</f>
        <v>180000</v>
      </c>
      <c r="Z348" s="193">
        <v>19040</v>
      </c>
      <c r="AA348" s="193">
        <f>SUM(X348:Z348)</f>
        <v>1999040</v>
      </c>
      <c r="AB348" s="195">
        <v>45953</v>
      </c>
      <c r="AC348"/>
    </row>
    <row r="349" spans="1:29" ht="17.100000000000001" customHeight="1" thickBot="1">
      <c r="A349" s="198"/>
      <c r="B349" s="31" t="s">
        <v>1858</v>
      </c>
      <c r="C349" s="31">
        <v>73003</v>
      </c>
      <c r="D349" s="32" t="s">
        <v>1849</v>
      </c>
      <c r="E349" s="200"/>
      <c r="F349" s="43" t="s">
        <v>5299</v>
      </c>
      <c r="G349" s="38">
        <v>61134</v>
      </c>
      <c r="H349" s="202"/>
      <c r="I349" s="194"/>
      <c r="J349" s="194"/>
      <c r="K349" s="194"/>
      <c r="L349" s="194"/>
      <c r="M349" s="194"/>
      <c r="N349" s="194"/>
      <c r="O349" s="192"/>
      <c r="P349" s="148" t="s">
        <v>5300</v>
      </c>
      <c r="Q349" s="33" t="s">
        <v>86</v>
      </c>
      <c r="R349" s="34" t="s">
        <v>3412</v>
      </c>
      <c r="S349" s="44" t="s">
        <v>96</v>
      </c>
      <c r="T349" s="46"/>
      <c r="U349" s="35"/>
      <c r="V349" s="56" t="s">
        <v>521</v>
      </c>
      <c r="W349" s="46">
        <v>80014</v>
      </c>
      <c r="X349" s="194"/>
      <c r="Y349" s="194"/>
      <c r="Z349" s="194"/>
      <c r="AA349" s="194"/>
      <c r="AB349" s="196"/>
      <c r="AC349"/>
    </row>
    <row r="350" spans="1:29" ht="17.100000000000001" customHeight="1" thickTop="1">
      <c r="A350" s="197" t="s">
        <v>5301</v>
      </c>
      <c r="B350" s="26">
        <v>45904</v>
      </c>
      <c r="C350" s="36">
        <v>2124</v>
      </c>
      <c r="D350" s="28" t="s">
        <v>1938</v>
      </c>
      <c r="E350" s="199"/>
      <c r="F350" s="54" t="s">
        <v>5302</v>
      </c>
      <c r="G350" s="37"/>
      <c r="H350" s="201">
        <v>4.5</v>
      </c>
      <c r="I350" s="193">
        <v>596000</v>
      </c>
      <c r="J350" s="193">
        <f>I350*0.1</f>
        <v>59600</v>
      </c>
      <c r="K350" s="193">
        <v>0</v>
      </c>
      <c r="L350" s="193">
        <v>8140</v>
      </c>
      <c r="M350" s="193">
        <v>13750</v>
      </c>
      <c r="N350" s="193">
        <f>SUM(I350:M351)</f>
        <v>677490</v>
      </c>
      <c r="O350" s="191"/>
      <c r="P350" s="147" t="s">
        <v>5303</v>
      </c>
      <c r="Q350" s="29" t="s">
        <v>82</v>
      </c>
      <c r="R350" s="81"/>
      <c r="S350" s="48"/>
      <c r="T350" s="50"/>
      <c r="U350" s="30"/>
      <c r="V350" s="58">
        <v>46050</v>
      </c>
      <c r="W350" s="52">
        <v>1002</v>
      </c>
      <c r="X350" s="193">
        <v>605000</v>
      </c>
      <c r="Y350" s="193">
        <f>X350*0.1</f>
        <v>60500</v>
      </c>
      <c r="Z350" s="193">
        <v>8140</v>
      </c>
      <c r="AA350" s="193">
        <f>SUM(X350:Z350)</f>
        <v>673640</v>
      </c>
      <c r="AB350" s="195">
        <v>46055</v>
      </c>
      <c r="AC350"/>
    </row>
    <row r="351" spans="1:29" ht="17.100000000000001" customHeight="1" thickBot="1">
      <c r="A351" s="198"/>
      <c r="B351" s="31" t="s">
        <v>3790</v>
      </c>
      <c r="C351" s="31">
        <v>2109</v>
      </c>
      <c r="D351" s="32" t="s">
        <v>3226</v>
      </c>
      <c r="E351" s="200"/>
      <c r="F351" s="43" t="s">
        <v>5304</v>
      </c>
      <c r="G351" s="38">
        <v>49360</v>
      </c>
      <c r="H351" s="202"/>
      <c r="I351" s="194"/>
      <c r="J351" s="194"/>
      <c r="K351" s="194"/>
      <c r="L351" s="194"/>
      <c r="M351" s="194"/>
      <c r="N351" s="194"/>
      <c r="O351" s="192"/>
      <c r="P351" s="148" t="s">
        <v>3367</v>
      </c>
      <c r="Q351" s="33" t="s">
        <v>86</v>
      </c>
      <c r="R351" s="34" t="s">
        <v>5277</v>
      </c>
      <c r="S351" s="44"/>
      <c r="T351" s="46"/>
      <c r="U351" s="35"/>
      <c r="V351" s="56" t="s">
        <v>104</v>
      </c>
      <c r="W351" s="46">
        <v>2032</v>
      </c>
      <c r="X351" s="194"/>
      <c r="Y351" s="194"/>
      <c r="Z351" s="194"/>
      <c r="AA351" s="194"/>
      <c r="AB351" s="196"/>
      <c r="AC351"/>
    </row>
    <row r="352" spans="1:29" ht="17.100000000000001" customHeight="1" thickTop="1">
      <c r="A352" s="197" t="s">
        <v>5305</v>
      </c>
      <c r="B352" s="26">
        <v>45904</v>
      </c>
      <c r="C352" s="36">
        <v>2124</v>
      </c>
      <c r="D352" s="28" t="s">
        <v>2221</v>
      </c>
      <c r="E352" s="199"/>
      <c r="F352" s="54" t="s">
        <v>5306</v>
      </c>
      <c r="G352" s="37" t="s">
        <v>5078</v>
      </c>
      <c r="H352" s="201">
        <v>6</v>
      </c>
      <c r="I352" s="193">
        <v>1080000</v>
      </c>
      <c r="J352" s="193">
        <f>I352*0.1</f>
        <v>108000</v>
      </c>
      <c r="K352" s="193">
        <v>0</v>
      </c>
      <c r="L352" s="193">
        <v>6320</v>
      </c>
      <c r="M352" s="193">
        <v>13750</v>
      </c>
      <c r="N352" s="193">
        <f>SUM(I352:M353)</f>
        <v>1208070</v>
      </c>
      <c r="O352" s="191"/>
      <c r="P352" s="147" t="s">
        <v>5307</v>
      </c>
      <c r="Q352" s="29" t="s">
        <v>82</v>
      </c>
      <c r="R352" s="81"/>
      <c r="S352" s="48" t="s">
        <v>1494</v>
      </c>
      <c r="T352" s="50"/>
      <c r="U352" s="30" t="s">
        <v>5308</v>
      </c>
      <c r="V352" s="58">
        <v>45969</v>
      </c>
      <c r="W352" s="52">
        <v>1275</v>
      </c>
      <c r="X352" s="193">
        <v>1020000</v>
      </c>
      <c r="Y352" s="193">
        <f>X352*0.1</f>
        <v>102000</v>
      </c>
      <c r="Z352" s="193">
        <v>6320</v>
      </c>
      <c r="AA352" s="193">
        <f>SUM(X352:Z352)</f>
        <v>1128320</v>
      </c>
      <c r="AB352" s="195">
        <v>45972</v>
      </c>
      <c r="AC352"/>
    </row>
    <row r="353" spans="1:29" ht="17.100000000000001" customHeight="1" thickBot="1">
      <c r="A353" s="198"/>
      <c r="B353" s="31" t="s">
        <v>3790</v>
      </c>
      <c r="C353" s="31">
        <v>2525</v>
      </c>
      <c r="D353" s="32" t="s">
        <v>5309</v>
      </c>
      <c r="E353" s="200"/>
      <c r="F353" s="43" t="s">
        <v>5310</v>
      </c>
      <c r="G353" s="38">
        <v>5</v>
      </c>
      <c r="H353" s="202"/>
      <c r="I353" s="194"/>
      <c r="J353" s="194"/>
      <c r="K353" s="194"/>
      <c r="L353" s="194"/>
      <c r="M353" s="194"/>
      <c r="N353" s="194"/>
      <c r="O353" s="192"/>
      <c r="P353" s="148" t="s">
        <v>5311</v>
      </c>
      <c r="Q353" s="33" t="s">
        <v>86</v>
      </c>
      <c r="R353" s="34" t="s">
        <v>2973</v>
      </c>
      <c r="S353" s="44" t="s">
        <v>2000</v>
      </c>
      <c r="T353" s="46"/>
      <c r="U353" s="35"/>
      <c r="V353" s="56" t="s">
        <v>3800</v>
      </c>
      <c r="W353" s="46">
        <v>60451</v>
      </c>
      <c r="X353" s="194"/>
      <c r="Y353" s="194"/>
      <c r="Z353" s="194"/>
      <c r="AA353" s="194"/>
      <c r="AB353" s="196"/>
      <c r="AC353"/>
    </row>
    <row r="354" spans="1:29" ht="17.100000000000001" customHeight="1" thickTop="1">
      <c r="A354" s="197" t="s">
        <v>5312</v>
      </c>
      <c r="B354" s="26">
        <v>45904</v>
      </c>
      <c r="C354" s="36">
        <v>2124</v>
      </c>
      <c r="D354" s="28" t="s">
        <v>4460</v>
      </c>
      <c r="E354" s="199"/>
      <c r="F354" s="54" t="s">
        <v>5313</v>
      </c>
      <c r="G354" s="37"/>
      <c r="H354" s="201">
        <v>4.5</v>
      </c>
      <c r="I354" s="193">
        <v>1305000</v>
      </c>
      <c r="J354" s="193">
        <f>I354*0.1</f>
        <v>130500</v>
      </c>
      <c r="K354" s="193">
        <v>0</v>
      </c>
      <c r="L354" s="193">
        <v>6830</v>
      </c>
      <c r="M354" s="193">
        <v>13750</v>
      </c>
      <c r="N354" s="193">
        <f>SUM(I354:M355)</f>
        <v>1456080</v>
      </c>
      <c r="O354" s="191"/>
      <c r="P354" s="147" t="s">
        <v>5314</v>
      </c>
      <c r="Q354" s="29" t="s">
        <v>82</v>
      </c>
      <c r="R354" s="81"/>
      <c r="S354" s="48"/>
      <c r="T354" s="50"/>
      <c r="U354" s="30"/>
      <c r="V354" s="58">
        <v>45951</v>
      </c>
      <c r="W354" s="52">
        <v>1914</v>
      </c>
      <c r="X354" s="193">
        <v>1289000</v>
      </c>
      <c r="Y354" s="193">
        <f>X354*0.1</f>
        <v>128900</v>
      </c>
      <c r="Z354" s="193">
        <v>6830</v>
      </c>
      <c r="AA354" s="193">
        <f>SUM(X354:Z354)</f>
        <v>1424730</v>
      </c>
      <c r="AB354" s="195">
        <v>45957</v>
      </c>
      <c r="AC354"/>
    </row>
    <row r="355" spans="1:29" ht="17.100000000000001" customHeight="1" thickBot="1">
      <c r="A355" s="198"/>
      <c r="B355" s="31" t="s">
        <v>3790</v>
      </c>
      <c r="C355" s="31">
        <v>2599</v>
      </c>
      <c r="D355" s="32" t="s">
        <v>95</v>
      </c>
      <c r="E355" s="200"/>
      <c r="F355" s="43" t="s">
        <v>5315</v>
      </c>
      <c r="G355" s="38">
        <v>43467</v>
      </c>
      <c r="H355" s="202"/>
      <c r="I355" s="194"/>
      <c r="J355" s="194"/>
      <c r="K355" s="194"/>
      <c r="L355" s="194"/>
      <c r="M355" s="194"/>
      <c r="N355" s="194"/>
      <c r="O355" s="192"/>
      <c r="P355" s="148" t="s">
        <v>2807</v>
      </c>
      <c r="Q355" s="33" t="s">
        <v>86</v>
      </c>
      <c r="R355" s="34" t="s">
        <v>5277</v>
      </c>
      <c r="S355" s="44"/>
      <c r="T355" s="46" t="s">
        <v>5316</v>
      </c>
      <c r="U355" s="35"/>
      <c r="V355" s="56" t="s">
        <v>2450</v>
      </c>
      <c r="W355" s="46">
        <v>3069</v>
      </c>
      <c r="X355" s="194"/>
      <c r="Y355" s="194"/>
      <c r="Z355" s="194"/>
      <c r="AA355" s="194"/>
      <c r="AB355" s="196"/>
      <c r="AC355"/>
    </row>
    <row r="356" spans="1:29" ht="17.100000000000001" customHeight="1" thickTop="1">
      <c r="A356" s="197" t="s">
        <v>5317</v>
      </c>
      <c r="B356" s="26">
        <v>45904</v>
      </c>
      <c r="C356" s="36">
        <v>2124</v>
      </c>
      <c r="D356" s="28" t="s">
        <v>2296</v>
      </c>
      <c r="E356" s="199"/>
      <c r="F356" s="54" t="s">
        <v>5318</v>
      </c>
      <c r="G356" s="37"/>
      <c r="H356" s="201">
        <v>4</v>
      </c>
      <c r="I356" s="193">
        <v>1306000</v>
      </c>
      <c r="J356" s="193">
        <f>I356*0.1</f>
        <v>130600</v>
      </c>
      <c r="K356" s="193">
        <v>0</v>
      </c>
      <c r="L356" s="193">
        <v>8130</v>
      </c>
      <c r="M356" s="193">
        <v>13750</v>
      </c>
      <c r="N356" s="193">
        <f>SUM(I356:M357)</f>
        <v>1458480</v>
      </c>
      <c r="O356" s="191"/>
      <c r="P356" s="147" t="s">
        <v>5319</v>
      </c>
      <c r="Q356" s="29" t="s">
        <v>82</v>
      </c>
      <c r="R356" s="81"/>
      <c r="S356" s="48"/>
      <c r="T356" s="50"/>
      <c r="U356" s="30"/>
      <c r="V356" s="58">
        <v>45931</v>
      </c>
      <c r="W356" s="52">
        <v>986</v>
      </c>
      <c r="X356" s="193">
        <v>1380000</v>
      </c>
      <c r="Y356" s="193">
        <f>X356*0.1</f>
        <v>138000</v>
      </c>
      <c r="Z356" s="193">
        <v>8130</v>
      </c>
      <c r="AA356" s="193">
        <f>SUM(X356:Z356)</f>
        <v>1526130</v>
      </c>
      <c r="AB356" s="195">
        <v>45939</v>
      </c>
      <c r="AC356"/>
    </row>
    <row r="357" spans="1:29" ht="17.100000000000001" customHeight="1" thickBot="1">
      <c r="A357" s="198"/>
      <c r="B357" s="31" t="s">
        <v>3790</v>
      </c>
      <c r="C357" s="31">
        <v>2604</v>
      </c>
      <c r="D357" s="32" t="s">
        <v>4409</v>
      </c>
      <c r="E357" s="200"/>
      <c r="F357" s="43" t="s">
        <v>5320</v>
      </c>
      <c r="G357" s="38">
        <v>21437</v>
      </c>
      <c r="H357" s="202"/>
      <c r="I357" s="194"/>
      <c r="J357" s="194"/>
      <c r="K357" s="194"/>
      <c r="L357" s="194"/>
      <c r="M357" s="194"/>
      <c r="N357" s="194"/>
      <c r="O357" s="192"/>
      <c r="P357" s="148" t="s">
        <v>2807</v>
      </c>
      <c r="Q357" s="33" t="s">
        <v>86</v>
      </c>
      <c r="R357" s="34" t="s">
        <v>5277</v>
      </c>
      <c r="S357" s="44" t="s">
        <v>2607</v>
      </c>
      <c r="T357" s="46"/>
      <c r="U357" s="35"/>
      <c r="V357" s="56" t="s">
        <v>4704</v>
      </c>
      <c r="W357" s="46">
        <v>2062</v>
      </c>
      <c r="X357" s="194"/>
      <c r="Y357" s="194"/>
      <c r="Z357" s="194"/>
      <c r="AA357" s="194"/>
      <c r="AB357" s="196"/>
      <c r="AC357"/>
    </row>
    <row r="358" spans="1:29" ht="17.100000000000001" customHeight="1" thickTop="1">
      <c r="A358" s="197" t="s">
        <v>5321</v>
      </c>
      <c r="B358" s="26">
        <v>45904</v>
      </c>
      <c r="C358" s="36">
        <v>2124</v>
      </c>
      <c r="D358" s="28" t="s">
        <v>2669</v>
      </c>
      <c r="E358" s="199"/>
      <c r="F358" s="54" t="s">
        <v>5322</v>
      </c>
      <c r="G358" s="37" t="s">
        <v>5323</v>
      </c>
      <c r="H358" s="201">
        <v>4.5</v>
      </c>
      <c r="I358" s="193">
        <v>2132000</v>
      </c>
      <c r="J358" s="193">
        <f>I358*0.1</f>
        <v>213200</v>
      </c>
      <c r="K358" s="193">
        <f>17910+1790</f>
        <v>19700</v>
      </c>
      <c r="L358" s="193">
        <v>15880</v>
      </c>
      <c r="M358" s="193">
        <v>13750</v>
      </c>
      <c r="N358" s="193">
        <f>SUM(I358:M359)</f>
        <v>2394530</v>
      </c>
      <c r="O358" s="191"/>
      <c r="P358" s="147" t="s">
        <v>5324</v>
      </c>
      <c r="Q358" s="29" t="s">
        <v>82</v>
      </c>
      <c r="R358" s="81"/>
      <c r="S358" s="48"/>
      <c r="T358" s="50"/>
      <c r="U358" s="30"/>
      <c r="V358" s="58">
        <v>45934</v>
      </c>
      <c r="W358" s="52">
        <v>1270</v>
      </c>
      <c r="X358" s="193">
        <v>2275000</v>
      </c>
      <c r="Y358" s="193">
        <f>X358*0.1</f>
        <v>227500</v>
      </c>
      <c r="Z358" s="193">
        <v>15880</v>
      </c>
      <c r="AA358" s="193">
        <f>SUM(X358:Z358)</f>
        <v>2518380</v>
      </c>
      <c r="AB358" s="195">
        <v>45938</v>
      </c>
      <c r="AC358"/>
    </row>
    <row r="359" spans="1:29" ht="17.100000000000001" customHeight="1" thickBot="1">
      <c r="A359" s="198"/>
      <c r="B359" s="31" t="s">
        <v>3790</v>
      </c>
      <c r="C359" s="31">
        <v>71325</v>
      </c>
      <c r="D359" s="32" t="s">
        <v>1832</v>
      </c>
      <c r="E359" s="200"/>
      <c r="F359" s="43" t="s">
        <v>5325</v>
      </c>
      <c r="G359" s="38">
        <v>57433</v>
      </c>
      <c r="H359" s="202"/>
      <c r="I359" s="194"/>
      <c r="J359" s="194"/>
      <c r="K359" s="194"/>
      <c r="L359" s="194"/>
      <c r="M359" s="194"/>
      <c r="N359" s="194"/>
      <c r="O359" s="192"/>
      <c r="P359" s="148" t="s">
        <v>5326</v>
      </c>
      <c r="Q359" s="33" t="s">
        <v>86</v>
      </c>
      <c r="R359" s="34" t="s">
        <v>5277</v>
      </c>
      <c r="S359" s="44"/>
      <c r="T359" s="46"/>
      <c r="U359" s="35"/>
      <c r="V359" s="56" t="s">
        <v>3800</v>
      </c>
      <c r="W359" s="46">
        <v>80044</v>
      </c>
      <c r="X359" s="194"/>
      <c r="Y359" s="194"/>
      <c r="Z359" s="194"/>
      <c r="AA359" s="194"/>
      <c r="AB359" s="196"/>
      <c r="AC359"/>
    </row>
    <row r="360" spans="1:29" ht="17.100000000000001" customHeight="1" thickTop="1">
      <c r="A360" s="197" t="s">
        <v>5327</v>
      </c>
      <c r="B360" s="26">
        <v>45905</v>
      </c>
      <c r="C360" s="36">
        <v>2100</v>
      </c>
      <c r="D360" s="28" t="s">
        <v>2105</v>
      </c>
      <c r="E360" s="199"/>
      <c r="F360" s="54" t="s">
        <v>5328</v>
      </c>
      <c r="G360" s="37" t="s">
        <v>2869</v>
      </c>
      <c r="H360" s="201">
        <v>4.5</v>
      </c>
      <c r="I360" s="193">
        <v>1175000</v>
      </c>
      <c r="J360" s="193">
        <f>I360*0.1</f>
        <v>117500</v>
      </c>
      <c r="K360" s="193">
        <v>0</v>
      </c>
      <c r="L360" s="193">
        <v>6470</v>
      </c>
      <c r="M360" s="193">
        <v>16500</v>
      </c>
      <c r="N360" s="193">
        <f>SUM(I360:M361)</f>
        <v>1315470</v>
      </c>
      <c r="O360" s="191"/>
      <c r="P360" s="147" t="s">
        <v>5329</v>
      </c>
      <c r="Q360" s="29" t="s">
        <v>82</v>
      </c>
      <c r="R360" s="81"/>
      <c r="S360" s="48" t="s">
        <v>5330</v>
      </c>
      <c r="T360" s="50"/>
      <c r="U360" s="30"/>
      <c r="V360" s="58">
        <v>45948</v>
      </c>
      <c r="W360" s="52">
        <v>1272</v>
      </c>
      <c r="X360" s="193">
        <v>1220000</v>
      </c>
      <c r="Y360" s="193">
        <f>X360*0.1</f>
        <v>122000</v>
      </c>
      <c r="Z360" s="193">
        <v>6470</v>
      </c>
      <c r="AA360" s="193">
        <f>SUM(X360:Z360)</f>
        <v>1348470</v>
      </c>
      <c r="AB360" s="195">
        <v>45951</v>
      </c>
      <c r="AC360"/>
    </row>
    <row r="361" spans="1:29" ht="17.100000000000001" customHeight="1" thickBot="1">
      <c r="A361" s="198"/>
      <c r="B361" s="31" t="s">
        <v>1797</v>
      </c>
      <c r="C361" s="31">
        <v>55220</v>
      </c>
      <c r="D361" s="32" t="s">
        <v>399</v>
      </c>
      <c r="E361" s="200"/>
      <c r="F361" s="43" t="s">
        <v>5331</v>
      </c>
      <c r="G361" s="38">
        <v>20875</v>
      </c>
      <c r="H361" s="202"/>
      <c r="I361" s="194"/>
      <c r="J361" s="194"/>
      <c r="K361" s="194"/>
      <c r="L361" s="194"/>
      <c r="M361" s="194"/>
      <c r="N361" s="194"/>
      <c r="O361" s="192"/>
      <c r="P361" s="148" t="s">
        <v>5332</v>
      </c>
      <c r="Q361" s="33" t="s">
        <v>86</v>
      </c>
      <c r="R361" s="34" t="s">
        <v>2436</v>
      </c>
      <c r="S361" s="44" t="s">
        <v>5333</v>
      </c>
      <c r="T361" s="46"/>
      <c r="U361" s="35"/>
      <c r="V361" s="56" t="s">
        <v>3800</v>
      </c>
      <c r="W361" s="46">
        <v>60080</v>
      </c>
      <c r="X361" s="194"/>
      <c r="Y361" s="194"/>
      <c r="Z361" s="194"/>
      <c r="AA361" s="194"/>
      <c r="AB361" s="196"/>
      <c r="AC361"/>
    </row>
    <row r="362" spans="1:29" ht="17.100000000000001" customHeight="1" thickTop="1">
      <c r="A362" s="197" t="s">
        <v>5346</v>
      </c>
      <c r="B362" s="26">
        <v>45905</v>
      </c>
      <c r="C362" s="36">
        <v>2100</v>
      </c>
      <c r="D362" s="28" t="s">
        <v>5152</v>
      </c>
      <c r="E362" s="199"/>
      <c r="F362" s="54" t="s">
        <v>4319</v>
      </c>
      <c r="G362" s="37" t="s">
        <v>5347</v>
      </c>
      <c r="H362" s="201">
        <v>4</v>
      </c>
      <c r="I362" s="193">
        <v>345000</v>
      </c>
      <c r="J362" s="193">
        <f>I362*0.1</f>
        <v>34500</v>
      </c>
      <c r="K362" s="193">
        <v>0</v>
      </c>
      <c r="L362" s="193">
        <v>9780</v>
      </c>
      <c r="M362" s="193">
        <v>16500</v>
      </c>
      <c r="N362" s="193">
        <f>SUM(I362:M363)</f>
        <v>405780</v>
      </c>
      <c r="O362" s="191"/>
      <c r="P362" s="147" t="s">
        <v>5348</v>
      </c>
      <c r="Q362" s="29" t="s">
        <v>82</v>
      </c>
      <c r="R362" s="81"/>
      <c r="S362" s="48"/>
      <c r="T362" s="50"/>
      <c r="U362" s="30"/>
      <c r="V362" s="58">
        <v>45927</v>
      </c>
      <c r="W362" s="52">
        <v>1269</v>
      </c>
      <c r="X362" s="193">
        <v>430000</v>
      </c>
      <c r="Y362" s="193">
        <f>X362*0.1</f>
        <v>43000</v>
      </c>
      <c r="Z362" s="193">
        <v>9780</v>
      </c>
      <c r="AA362" s="193">
        <f>SUM(X362:Z362)</f>
        <v>482780</v>
      </c>
      <c r="AB362" s="195">
        <v>45937</v>
      </c>
      <c r="AC362"/>
    </row>
    <row r="363" spans="1:29" ht="17.100000000000001" customHeight="1" thickBot="1">
      <c r="A363" s="198"/>
      <c r="B363" s="31" t="s">
        <v>1797</v>
      </c>
      <c r="C363" s="31">
        <v>85233</v>
      </c>
      <c r="D363" s="32" t="s">
        <v>95</v>
      </c>
      <c r="E363" s="200"/>
      <c r="F363" s="43" t="s">
        <v>5349</v>
      </c>
      <c r="G363" s="38">
        <v>54346</v>
      </c>
      <c r="H363" s="202"/>
      <c r="I363" s="194"/>
      <c r="J363" s="194"/>
      <c r="K363" s="194"/>
      <c r="L363" s="194"/>
      <c r="M363" s="194"/>
      <c r="N363" s="194"/>
      <c r="O363" s="192"/>
      <c r="P363" s="148" t="s">
        <v>5350</v>
      </c>
      <c r="Q363" s="33" t="s">
        <v>86</v>
      </c>
      <c r="R363" s="34" t="s">
        <v>2973</v>
      </c>
      <c r="S363" s="44" t="s">
        <v>5351</v>
      </c>
      <c r="T363" s="46"/>
      <c r="U363" s="35"/>
      <c r="V363" s="56" t="s">
        <v>3200</v>
      </c>
      <c r="W363" s="46">
        <v>60192</v>
      </c>
      <c r="X363" s="194"/>
      <c r="Y363" s="194"/>
      <c r="Z363" s="194"/>
      <c r="AA363" s="194"/>
      <c r="AB363" s="196"/>
      <c r="AC363"/>
    </row>
    <row r="364" spans="1:29" ht="17.100000000000001" customHeight="1" thickTop="1">
      <c r="A364" s="197" t="s">
        <v>5352</v>
      </c>
      <c r="B364" s="26">
        <v>45905</v>
      </c>
      <c r="C364" s="36">
        <v>48</v>
      </c>
      <c r="D364" s="28" t="s">
        <v>4355</v>
      </c>
      <c r="E364" s="199"/>
      <c r="F364" s="54" t="s">
        <v>5353</v>
      </c>
      <c r="G364" s="37" t="s">
        <v>3470</v>
      </c>
      <c r="H364" s="201">
        <v>4</v>
      </c>
      <c r="I364" s="193">
        <v>325000</v>
      </c>
      <c r="J364" s="193">
        <f>I364*0.1</f>
        <v>32500</v>
      </c>
      <c r="K364" s="193">
        <v>0</v>
      </c>
      <c r="L364" s="193">
        <v>8490</v>
      </c>
      <c r="M364" s="193">
        <v>33000</v>
      </c>
      <c r="N364" s="193">
        <f>SUM(I364:M365)</f>
        <v>398990</v>
      </c>
      <c r="O364" s="191"/>
      <c r="P364" s="147" t="s">
        <v>5354</v>
      </c>
      <c r="Q364" s="29" t="s">
        <v>82</v>
      </c>
      <c r="R364" s="81"/>
      <c r="S364" s="48" t="s">
        <v>1596</v>
      </c>
      <c r="T364" s="50"/>
      <c r="U364" s="30"/>
      <c r="V364" s="58">
        <v>45951</v>
      </c>
      <c r="W364" s="52">
        <v>1914</v>
      </c>
      <c r="X364" s="193">
        <v>460000</v>
      </c>
      <c r="Y364" s="193">
        <f>X364*0.1</f>
        <v>46000</v>
      </c>
      <c r="Z364" s="193">
        <v>8490</v>
      </c>
      <c r="AA364" s="193">
        <f>SUM(X364:Z364)</f>
        <v>514490</v>
      </c>
      <c r="AB364" s="195">
        <v>45957</v>
      </c>
      <c r="AC364"/>
    </row>
    <row r="365" spans="1:29" ht="17.100000000000001" customHeight="1" thickBot="1">
      <c r="A365" s="198"/>
      <c r="B365" s="31" t="s">
        <v>5355</v>
      </c>
      <c r="C365" s="31">
        <v>2018</v>
      </c>
      <c r="D365" s="32" t="s">
        <v>244</v>
      </c>
      <c r="E365" s="200"/>
      <c r="F365" s="43" t="s">
        <v>5356</v>
      </c>
      <c r="G365" s="38">
        <v>35879</v>
      </c>
      <c r="H365" s="202"/>
      <c r="I365" s="194"/>
      <c r="J365" s="194"/>
      <c r="K365" s="194"/>
      <c r="L365" s="194"/>
      <c r="M365" s="194"/>
      <c r="N365" s="194"/>
      <c r="O365" s="192"/>
      <c r="P365" s="148" t="s">
        <v>5357</v>
      </c>
      <c r="Q365" s="33" t="s">
        <v>86</v>
      </c>
      <c r="R365" s="34" t="s">
        <v>1898</v>
      </c>
      <c r="S365" s="44" t="s">
        <v>96</v>
      </c>
      <c r="T365" s="46"/>
      <c r="U365" s="35"/>
      <c r="V365" s="56" t="s">
        <v>2450</v>
      </c>
      <c r="W365" s="46">
        <v>3197</v>
      </c>
      <c r="X365" s="194"/>
      <c r="Y365" s="194"/>
      <c r="Z365" s="194"/>
      <c r="AA365" s="194"/>
      <c r="AB365" s="196"/>
      <c r="AC365"/>
    </row>
    <row r="366" spans="1:29" ht="17.100000000000001" customHeight="1" thickTop="1">
      <c r="A366" s="197" t="s">
        <v>5358</v>
      </c>
      <c r="B366" s="26">
        <v>45905</v>
      </c>
      <c r="C366" s="36"/>
      <c r="D366" s="28" t="s">
        <v>2147</v>
      </c>
      <c r="E366" s="199"/>
      <c r="F366" s="54" t="s">
        <v>5359</v>
      </c>
      <c r="G366" s="37" t="s">
        <v>5360</v>
      </c>
      <c r="H366" s="201">
        <v>3.5</v>
      </c>
      <c r="I366" s="193">
        <f>2321000/1.1</f>
        <v>2110000</v>
      </c>
      <c r="J366" s="193">
        <f>I366*0.1</f>
        <v>211000</v>
      </c>
      <c r="K366" s="193">
        <v>22500</v>
      </c>
      <c r="L366" s="193">
        <v>16550</v>
      </c>
      <c r="M366" s="193">
        <v>113025</v>
      </c>
      <c r="N366" s="193">
        <f>SUM(I366:M367)</f>
        <v>2473075</v>
      </c>
      <c r="O366" s="191"/>
      <c r="P366" s="147" t="s">
        <v>5361</v>
      </c>
      <c r="Q366" s="29" t="s">
        <v>82</v>
      </c>
      <c r="R366" s="81"/>
      <c r="S366" s="48" t="s">
        <v>1596</v>
      </c>
      <c r="T366" s="50"/>
      <c r="U366" s="30"/>
      <c r="V366" s="58">
        <v>45934</v>
      </c>
      <c r="W366" s="52">
        <v>1270</v>
      </c>
      <c r="X366" s="193">
        <v>2285000</v>
      </c>
      <c r="Y366" s="193">
        <f>X366*0.1</f>
        <v>228500</v>
      </c>
      <c r="Z366" s="193">
        <v>16550</v>
      </c>
      <c r="AA366" s="193">
        <f>SUM(X366:Z366)</f>
        <v>2530050</v>
      </c>
      <c r="AB366" s="195">
        <v>45944</v>
      </c>
      <c r="AC366"/>
    </row>
    <row r="367" spans="1:29" ht="17.100000000000001" customHeight="1" thickBot="1">
      <c r="A367" s="198"/>
      <c r="B367" s="31" t="s">
        <v>1985</v>
      </c>
      <c r="C367" s="31" t="s">
        <v>5362</v>
      </c>
      <c r="D367" s="32" t="s">
        <v>399</v>
      </c>
      <c r="E367" s="200"/>
      <c r="F367" s="43" t="s">
        <v>5363</v>
      </c>
      <c r="G367" s="38">
        <v>41400</v>
      </c>
      <c r="H367" s="202"/>
      <c r="I367" s="194"/>
      <c r="J367" s="194"/>
      <c r="K367" s="194"/>
      <c r="L367" s="194"/>
      <c r="M367" s="194"/>
      <c r="N367" s="194"/>
      <c r="O367" s="192"/>
      <c r="P367" s="148" t="s">
        <v>1935</v>
      </c>
      <c r="Q367" s="33" t="s">
        <v>86</v>
      </c>
      <c r="R367" s="34" t="s">
        <v>4636</v>
      </c>
      <c r="S367" s="44" t="s">
        <v>5364</v>
      </c>
      <c r="T367" s="46"/>
      <c r="U367" s="35"/>
      <c r="V367" s="56" t="s">
        <v>3800</v>
      </c>
      <c r="W367" s="46">
        <v>37759</v>
      </c>
      <c r="X367" s="194"/>
      <c r="Y367" s="194"/>
      <c r="Z367" s="194"/>
      <c r="AA367" s="194"/>
      <c r="AB367" s="196"/>
      <c r="AC367"/>
    </row>
    <row r="368" spans="1:29" ht="17.100000000000001" customHeight="1" thickTop="1">
      <c r="A368" s="197" t="s">
        <v>5365</v>
      </c>
      <c r="B368" s="26">
        <v>45905</v>
      </c>
      <c r="C368" s="36">
        <v>1384</v>
      </c>
      <c r="D368" s="28" t="s">
        <v>3429</v>
      </c>
      <c r="E368" s="199"/>
      <c r="F368" s="54" t="s">
        <v>5366</v>
      </c>
      <c r="G368" s="37" t="s">
        <v>4038</v>
      </c>
      <c r="H368" s="201">
        <v>4.5</v>
      </c>
      <c r="I368" s="193">
        <v>1102000</v>
      </c>
      <c r="J368" s="193">
        <f>I368*0.1</f>
        <v>110200</v>
      </c>
      <c r="K368" s="193">
        <v>0</v>
      </c>
      <c r="L368" s="193">
        <v>8740</v>
      </c>
      <c r="M368" s="193">
        <v>13200</v>
      </c>
      <c r="N368" s="193">
        <f>SUM(I368:M369)</f>
        <v>1234140</v>
      </c>
      <c r="O368" s="191"/>
      <c r="P368" s="147" t="s">
        <v>5367</v>
      </c>
      <c r="Q368" s="29" t="s">
        <v>82</v>
      </c>
      <c r="R368" s="81"/>
      <c r="S368" s="48"/>
      <c r="T368" s="50"/>
      <c r="U368" s="30" t="s">
        <v>5368</v>
      </c>
      <c r="V368" s="58">
        <v>45931</v>
      </c>
      <c r="W368" s="52">
        <v>986</v>
      </c>
      <c r="X368" s="193">
        <v>1200000</v>
      </c>
      <c r="Y368" s="193">
        <f>X368*0.1</f>
        <v>120000</v>
      </c>
      <c r="Z368" s="193">
        <v>8740</v>
      </c>
      <c r="AA368" s="193">
        <f>SUM(X368:Z368)</f>
        <v>1328740</v>
      </c>
      <c r="AB368" s="195">
        <v>45939</v>
      </c>
      <c r="AC368"/>
    </row>
    <row r="369" spans="1:29" ht="17.100000000000001" customHeight="1" thickBot="1">
      <c r="A369" s="198"/>
      <c r="B369" s="31" t="s">
        <v>3039</v>
      </c>
      <c r="C369" s="31">
        <v>7502</v>
      </c>
      <c r="D369" s="32" t="s">
        <v>1832</v>
      </c>
      <c r="E369" s="200"/>
      <c r="F369" s="43" t="s">
        <v>5369</v>
      </c>
      <c r="G369" s="38">
        <v>50486</v>
      </c>
      <c r="H369" s="202"/>
      <c r="I369" s="194"/>
      <c r="J369" s="194"/>
      <c r="K369" s="194"/>
      <c r="L369" s="194"/>
      <c r="M369" s="194"/>
      <c r="N369" s="194"/>
      <c r="O369" s="192"/>
      <c r="P369" s="148" t="s">
        <v>5370</v>
      </c>
      <c r="Q369" s="33" t="s">
        <v>86</v>
      </c>
      <c r="R369" s="34" t="s">
        <v>5277</v>
      </c>
      <c r="S369" s="44" t="s">
        <v>5278</v>
      </c>
      <c r="T369" s="46"/>
      <c r="U369" s="35"/>
      <c r="V369" s="56" t="s">
        <v>4704</v>
      </c>
      <c r="W369" s="46">
        <v>2056</v>
      </c>
      <c r="X369" s="194"/>
      <c r="Y369" s="194"/>
      <c r="Z369" s="194"/>
      <c r="AA369" s="194"/>
      <c r="AB369" s="196"/>
      <c r="AC369"/>
    </row>
    <row r="370" spans="1:29" ht="17.100000000000001" customHeight="1" thickTop="1">
      <c r="A370" s="197" t="s">
        <v>5371</v>
      </c>
      <c r="B370" s="26">
        <v>45905</v>
      </c>
      <c r="C370" s="36">
        <v>1384</v>
      </c>
      <c r="D370" s="28" t="s">
        <v>2310</v>
      </c>
      <c r="E370" s="199"/>
      <c r="F370" s="54" t="s">
        <v>5372</v>
      </c>
      <c r="G370" s="37" t="s">
        <v>5373</v>
      </c>
      <c r="H370" s="201">
        <v>4</v>
      </c>
      <c r="I370" s="193">
        <v>1358000</v>
      </c>
      <c r="J370" s="193">
        <f>I370*0.1</f>
        <v>135800</v>
      </c>
      <c r="K370" s="193">
        <v>13750</v>
      </c>
      <c r="L370" s="193">
        <v>7450</v>
      </c>
      <c r="M370" s="193">
        <v>13200</v>
      </c>
      <c r="N370" s="193">
        <f>SUM(I370:M371)</f>
        <v>1528200</v>
      </c>
      <c r="O370" s="191"/>
      <c r="P370" s="147" t="s">
        <v>5374</v>
      </c>
      <c r="Q370" s="29" t="s">
        <v>82</v>
      </c>
      <c r="R370" s="81"/>
      <c r="S370" s="48"/>
      <c r="T370" s="50"/>
      <c r="U370" s="30"/>
      <c r="V370" s="58">
        <v>45934</v>
      </c>
      <c r="W370" s="52">
        <v>1270</v>
      </c>
      <c r="X370" s="193">
        <v>1405000</v>
      </c>
      <c r="Y370" s="193">
        <f>X370*0.1</f>
        <v>140500</v>
      </c>
      <c r="Z370" s="193">
        <v>7450</v>
      </c>
      <c r="AA370" s="193">
        <f>SUM(X370:Z370)</f>
        <v>1552950</v>
      </c>
      <c r="AB370" s="195">
        <v>45937</v>
      </c>
      <c r="AC370"/>
    </row>
    <row r="371" spans="1:29" ht="17.100000000000001" customHeight="1" thickBot="1">
      <c r="A371" s="198"/>
      <c r="B371" s="31" t="s">
        <v>3039</v>
      </c>
      <c r="C371" s="31">
        <v>7568</v>
      </c>
      <c r="D371" s="32" t="s">
        <v>399</v>
      </c>
      <c r="E371" s="200"/>
      <c r="F371" s="43" t="s">
        <v>5375</v>
      </c>
      <c r="G371" s="38">
        <v>54786</v>
      </c>
      <c r="H371" s="202"/>
      <c r="I371" s="194"/>
      <c r="J371" s="194"/>
      <c r="K371" s="194"/>
      <c r="L371" s="194"/>
      <c r="M371" s="194"/>
      <c r="N371" s="194"/>
      <c r="O371" s="192"/>
      <c r="P371" s="148" t="s">
        <v>5370</v>
      </c>
      <c r="Q371" s="33" t="s">
        <v>86</v>
      </c>
      <c r="R371" s="34" t="s">
        <v>5277</v>
      </c>
      <c r="S371" s="44" t="s">
        <v>5376</v>
      </c>
      <c r="T371" s="46"/>
      <c r="U371" s="35"/>
      <c r="V371" s="56" t="s">
        <v>3800</v>
      </c>
      <c r="W371" s="46">
        <v>55065</v>
      </c>
      <c r="X371" s="194"/>
      <c r="Y371" s="194"/>
      <c r="Z371" s="194"/>
      <c r="AA371" s="194"/>
      <c r="AB371" s="196"/>
      <c r="AC371"/>
    </row>
    <row r="372" spans="1:29" ht="17.100000000000001" customHeight="1" thickTop="1">
      <c r="A372" s="197" t="s">
        <v>5377</v>
      </c>
      <c r="B372" s="26">
        <v>45906</v>
      </c>
      <c r="C372" s="36">
        <v>1509</v>
      </c>
      <c r="D372" s="28" t="s">
        <v>1978</v>
      </c>
      <c r="E372" s="199"/>
      <c r="F372" s="54" t="s">
        <v>5378</v>
      </c>
      <c r="G372" s="37" t="s">
        <v>5379</v>
      </c>
      <c r="H372" s="201">
        <v>4.5</v>
      </c>
      <c r="I372" s="193">
        <v>680000</v>
      </c>
      <c r="J372" s="193">
        <f>I372*0.1</f>
        <v>68000</v>
      </c>
      <c r="K372" s="193">
        <f>18920</f>
        <v>18920</v>
      </c>
      <c r="L372" s="193">
        <v>18960</v>
      </c>
      <c r="M372" s="193">
        <v>16500</v>
      </c>
      <c r="N372" s="193">
        <f>SUM(I372:M373)</f>
        <v>802380</v>
      </c>
      <c r="O372" s="191"/>
      <c r="P372" s="147" t="s">
        <v>5380</v>
      </c>
      <c r="Q372" s="29" t="s">
        <v>82</v>
      </c>
      <c r="R372" s="81"/>
      <c r="S372" s="48"/>
      <c r="T372" s="50"/>
      <c r="U372" s="30"/>
      <c r="V372" s="58">
        <v>45948</v>
      </c>
      <c r="W372" s="52">
        <v>1272</v>
      </c>
      <c r="X372" s="193">
        <v>800000</v>
      </c>
      <c r="Y372" s="193">
        <f>X372*0.1</f>
        <v>80000</v>
      </c>
      <c r="Z372" s="193">
        <v>18960</v>
      </c>
      <c r="AA372" s="193">
        <f>SUM(X372:Z372)</f>
        <v>898960</v>
      </c>
      <c r="AB372" s="195">
        <v>45953</v>
      </c>
      <c r="AC372"/>
    </row>
    <row r="373" spans="1:29" ht="17.100000000000001" customHeight="1" thickBot="1">
      <c r="A373" s="198"/>
      <c r="B373" s="31" t="s">
        <v>1810</v>
      </c>
      <c r="C373" s="31">
        <v>83063</v>
      </c>
      <c r="D373" s="32" t="s">
        <v>2089</v>
      </c>
      <c r="E373" s="200"/>
      <c r="F373" s="43" t="s">
        <v>5381</v>
      </c>
      <c r="G373" s="38">
        <v>48091</v>
      </c>
      <c r="H373" s="202"/>
      <c r="I373" s="194"/>
      <c r="J373" s="194"/>
      <c r="K373" s="194"/>
      <c r="L373" s="194"/>
      <c r="M373" s="194"/>
      <c r="N373" s="194"/>
      <c r="O373" s="192"/>
      <c r="P373" s="148" t="s">
        <v>5382</v>
      </c>
      <c r="Q373" s="33" t="s">
        <v>86</v>
      </c>
      <c r="R373" s="34" t="s">
        <v>2973</v>
      </c>
      <c r="S373" s="44" t="s">
        <v>4201</v>
      </c>
      <c r="T373" s="46"/>
      <c r="U373" s="35"/>
      <c r="V373" s="56" t="s">
        <v>3800</v>
      </c>
      <c r="W373" s="46">
        <v>80073</v>
      </c>
      <c r="X373" s="194"/>
      <c r="Y373" s="194"/>
      <c r="Z373" s="194"/>
      <c r="AA373" s="194"/>
      <c r="AB373" s="196"/>
      <c r="AC373"/>
    </row>
    <row r="374" spans="1:29" ht="17.100000000000001" customHeight="1" thickTop="1">
      <c r="A374" s="197" t="s">
        <v>5383</v>
      </c>
      <c r="B374" s="26">
        <v>45906</v>
      </c>
      <c r="C374" s="36">
        <v>1266</v>
      </c>
      <c r="D374" s="28" t="s">
        <v>2175</v>
      </c>
      <c r="E374" s="199"/>
      <c r="F374" s="54" t="s">
        <v>1875</v>
      </c>
      <c r="G374" s="37"/>
      <c r="H374" s="201">
        <v>5</v>
      </c>
      <c r="I374" s="193">
        <v>640000</v>
      </c>
      <c r="J374" s="193">
        <f>I374*0.1</f>
        <v>64000</v>
      </c>
      <c r="K374" s="193">
        <v>0</v>
      </c>
      <c r="L374" s="193">
        <v>17250</v>
      </c>
      <c r="M374" s="193">
        <v>16500</v>
      </c>
      <c r="N374" s="193">
        <f>SUM(I374:M375)</f>
        <v>737750</v>
      </c>
      <c r="O374" s="191"/>
      <c r="P374" s="147" t="s">
        <v>5384</v>
      </c>
      <c r="Q374" s="29" t="s">
        <v>82</v>
      </c>
      <c r="R374" s="81"/>
      <c r="S374" s="48" t="s">
        <v>1494</v>
      </c>
      <c r="T374" s="50"/>
      <c r="U374" s="30"/>
      <c r="V374" s="58">
        <v>45960</v>
      </c>
      <c r="W374" s="52">
        <v>1304</v>
      </c>
      <c r="X374" s="193">
        <v>760000</v>
      </c>
      <c r="Y374" s="193">
        <f>X374*0.1</f>
        <v>76000</v>
      </c>
      <c r="Z374" s="193">
        <v>17250</v>
      </c>
      <c r="AA374" s="193">
        <f>SUM(X374:Z374)</f>
        <v>853250</v>
      </c>
      <c r="AB374" s="195">
        <v>45961</v>
      </c>
      <c r="AC374"/>
    </row>
    <row r="375" spans="1:29" ht="17.100000000000001" customHeight="1" thickBot="1">
      <c r="A375" s="198"/>
      <c r="B375" s="31" t="s">
        <v>521</v>
      </c>
      <c r="C375" s="31">
        <v>80386</v>
      </c>
      <c r="D375" s="32" t="s">
        <v>1849</v>
      </c>
      <c r="E375" s="200"/>
      <c r="F375" s="43" t="s">
        <v>5385</v>
      </c>
      <c r="G375" s="38">
        <v>33841</v>
      </c>
      <c r="H375" s="202"/>
      <c r="I375" s="194"/>
      <c r="J375" s="194"/>
      <c r="K375" s="194"/>
      <c r="L375" s="194"/>
      <c r="M375" s="194"/>
      <c r="N375" s="194"/>
      <c r="O375" s="192"/>
      <c r="P375" s="148" t="s">
        <v>5386</v>
      </c>
      <c r="Q375" s="33" t="s">
        <v>86</v>
      </c>
      <c r="R375" s="34" t="s">
        <v>5387</v>
      </c>
      <c r="S375" s="44" t="s">
        <v>96</v>
      </c>
      <c r="T375" s="46"/>
      <c r="U375" s="35"/>
      <c r="V375" s="56" t="s">
        <v>2017</v>
      </c>
      <c r="W375" s="46">
        <v>973</v>
      </c>
      <c r="X375" s="194"/>
      <c r="Y375" s="194"/>
      <c r="Z375" s="194"/>
      <c r="AA375" s="194"/>
      <c r="AB375" s="196"/>
      <c r="AC375"/>
    </row>
    <row r="376" spans="1:29" ht="17.100000000000001" customHeight="1" thickTop="1">
      <c r="A376" s="197" t="s">
        <v>5388</v>
      </c>
      <c r="B376" s="26">
        <v>45906</v>
      </c>
      <c r="C376" s="36">
        <v>1266</v>
      </c>
      <c r="D376" s="28" t="s">
        <v>3841</v>
      </c>
      <c r="E376" s="199"/>
      <c r="F376" s="54" t="s">
        <v>2087</v>
      </c>
      <c r="G376" s="37"/>
      <c r="H376" s="201">
        <v>4</v>
      </c>
      <c r="I376" s="193">
        <v>1715000</v>
      </c>
      <c r="J376" s="193">
        <v>171500</v>
      </c>
      <c r="K376" s="193">
        <v>0</v>
      </c>
      <c r="L376" s="193">
        <v>16240</v>
      </c>
      <c r="M376" s="193">
        <v>16500</v>
      </c>
      <c r="N376" s="193">
        <f>SUM(I376:M377)</f>
        <v>1919240</v>
      </c>
      <c r="O376" s="191"/>
      <c r="P376" s="147" t="s">
        <v>5389</v>
      </c>
      <c r="Q376" s="29" t="s">
        <v>82</v>
      </c>
      <c r="R376" s="81"/>
      <c r="S376" s="48" t="s">
        <v>1500</v>
      </c>
      <c r="T376" s="50"/>
      <c r="U376" s="30"/>
      <c r="V376" s="58">
        <v>45962</v>
      </c>
      <c r="W376" s="52">
        <v>1274</v>
      </c>
      <c r="X376" s="193">
        <v>1770000</v>
      </c>
      <c r="Y376" s="193">
        <f>X376*0.1</f>
        <v>177000</v>
      </c>
      <c r="Z376" s="193">
        <v>16240</v>
      </c>
      <c r="AA376" s="193">
        <f>SUM(X376:Z376)</f>
        <v>1963240</v>
      </c>
      <c r="AB376" s="195">
        <v>45971</v>
      </c>
      <c r="AC376"/>
    </row>
    <row r="377" spans="1:29" ht="17.100000000000001" customHeight="1" thickBot="1">
      <c r="A377" s="198"/>
      <c r="B377" s="31" t="s">
        <v>521</v>
      </c>
      <c r="C377" s="31">
        <v>82097</v>
      </c>
      <c r="D377" s="32" t="s">
        <v>1987</v>
      </c>
      <c r="E377" s="200"/>
      <c r="F377" s="43" t="s">
        <v>5390</v>
      </c>
      <c r="G377" s="38">
        <v>41370</v>
      </c>
      <c r="H377" s="202"/>
      <c r="I377" s="194"/>
      <c r="J377" s="194"/>
      <c r="K377" s="194"/>
      <c r="L377" s="194"/>
      <c r="M377" s="194"/>
      <c r="N377" s="194"/>
      <c r="O377" s="192"/>
      <c r="P377" s="148" t="s">
        <v>3102</v>
      </c>
      <c r="Q377" s="33" t="s">
        <v>86</v>
      </c>
      <c r="R377" s="34" t="s">
        <v>5387</v>
      </c>
      <c r="S377" s="44" t="s">
        <v>5391</v>
      </c>
      <c r="T377" s="46"/>
      <c r="U377" s="35"/>
      <c r="V377" s="56" t="s">
        <v>3200</v>
      </c>
      <c r="W377" s="46">
        <v>80064</v>
      </c>
      <c r="X377" s="194"/>
      <c r="Y377" s="194"/>
      <c r="Z377" s="194"/>
      <c r="AA377" s="194"/>
      <c r="AB377" s="196"/>
      <c r="AC377"/>
    </row>
    <row r="378" spans="1:29" ht="17.100000000000001" customHeight="1" thickTop="1">
      <c r="A378" s="197" t="s">
        <v>5397</v>
      </c>
      <c r="B378" s="26">
        <v>45908</v>
      </c>
      <c r="C378" s="36"/>
      <c r="D378" s="28" t="s">
        <v>1980</v>
      </c>
      <c r="E378" s="199"/>
      <c r="F378" s="54" t="s">
        <v>5398</v>
      </c>
      <c r="G378" s="37"/>
      <c r="H378" s="201">
        <v>4.5</v>
      </c>
      <c r="I378" s="193">
        <v>2454000</v>
      </c>
      <c r="J378" s="193">
        <f>I378*0.1</f>
        <v>245400</v>
      </c>
      <c r="K378" s="193">
        <v>0</v>
      </c>
      <c r="L378" s="193">
        <v>19180</v>
      </c>
      <c r="M378" s="193">
        <v>14850</v>
      </c>
      <c r="N378" s="193">
        <f>SUM(I378:M379)</f>
        <v>2733430</v>
      </c>
      <c r="O378" s="191"/>
      <c r="P378" s="147" t="s">
        <v>5399</v>
      </c>
      <c r="Q378" s="29" t="s">
        <v>82</v>
      </c>
      <c r="R378" s="81"/>
      <c r="S378" s="48" t="s">
        <v>940</v>
      </c>
      <c r="T378" s="50"/>
      <c r="U378" s="30"/>
      <c r="V378" s="58">
        <v>45990</v>
      </c>
      <c r="W378" s="52">
        <v>1278</v>
      </c>
      <c r="X378" s="193">
        <v>2490000</v>
      </c>
      <c r="Y378" s="193">
        <f>X378*0.1</f>
        <v>249000</v>
      </c>
      <c r="Z378" s="193">
        <v>19180</v>
      </c>
      <c r="AA378" s="193">
        <f>SUM(X378:Z378)</f>
        <v>2758180</v>
      </c>
      <c r="AB378" s="195">
        <v>45994</v>
      </c>
      <c r="AC378"/>
    </row>
    <row r="379" spans="1:29" ht="17.100000000000001" customHeight="1" thickBot="1">
      <c r="A379" s="198"/>
      <c r="B379" s="31" t="s">
        <v>3196</v>
      </c>
      <c r="C379" s="31">
        <v>80224</v>
      </c>
      <c r="D379" s="32" t="s">
        <v>1849</v>
      </c>
      <c r="E379" s="200"/>
      <c r="F379" s="43" t="s">
        <v>5400</v>
      </c>
      <c r="G379" s="38">
        <v>37586</v>
      </c>
      <c r="H379" s="202"/>
      <c r="I379" s="194"/>
      <c r="J379" s="194"/>
      <c r="K379" s="194"/>
      <c r="L379" s="194"/>
      <c r="M379" s="194"/>
      <c r="N379" s="194"/>
      <c r="O379" s="192"/>
      <c r="P379" s="148" t="s">
        <v>5401</v>
      </c>
      <c r="Q379" s="33" t="s">
        <v>86</v>
      </c>
      <c r="R379" s="34" t="s">
        <v>3466</v>
      </c>
      <c r="S379" s="44" t="s">
        <v>5402</v>
      </c>
      <c r="T379" s="46"/>
      <c r="U379" s="35"/>
      <c r="V379" s="56" t="s">
        <v>3800</v>
      </c>
      <c r="W379" s="46">
        <v>80025</v>
      </c>
      <c r="X379" s="194"/>
      <c r="Y379" s="194"/>
      <c r="Z379" s="194"/>
      <c r="AA379" s="194"/>
      <c r="AB379" s="196"/>
      <c r="AC379"/>
    </row>
    <row r="380" spans="1:29" ht="17.100000000000001" customHeight="1" thickTop="1">
      <c r="A380" s="197" t="s">
        <v>5403</v>
      </c>
      <c r="B380" s="26">
        <v>45908</v>
      </c>
      <c r="C380" s="36">
        <v>2059</v>
      </c>
      <c r="D380" s="28" t="s">
        <v>1883</v>
      </c>
      <c r="E380" s="199"/>
      <c r="F380" s="54" t="s">
        <v>5404</v>
      </c>
      <c r="G380" s="37"/>
      <c r="H380" s="201">
        <v>4.5</v>
      </c>
      <c r="I380" s="193">
        <v>553000</v>
      </c>
      <c r="J380" s="193">
        <f>I380*0.1</f>
        <v>55300</v>
      </c>
      <c r="K380" s="193">
        <v>0</v>
      </c>
      <c r="L380" s="193">
        <v>9790</v>
      </c>
      <c r="M380" s="193">
        <v>8800</v>
      </c>
      <c r="N380" s="193">
        <f>SUM(I380:M381)</f>
        <v>626890</v>
      </c>
      <c r="O380" s="191"/>
      <c r="P380" s="147" t="s">
        <v>5405</v>
      </c>
      <c r="Q380" s="29" t="s">
        <v>82</v>
      </c>
      <c r="R380" s="81"/>
      <c r="S380" s="48" t="s">
        <v>5406</v>
      </c>
      <c r="T380" s="50"/>
      <c r="U380" s="30"/>
      <c r="V380" s="58">
        <v>45941</v>
      </c>
      <c r="W380" s="52">
        <v>1271</v>
      </c>
      <c r="X380" s="193">
        <v>665000</v>
      </c>
      <c r="Y380" s="193">
        <f>X380*0.1</f>
        <v>66500</v>
      </c>
      <c r="Z380" s="193">
        <v>9790</v>
      </c>
      <c r="AA380" s="193">
        <f>SUM(X380:Z380)</f>
        <v>741290</v>
      </c>
      <c r="AB380" s="195">
        <v>45945</v>
      </c>
      <c r="AC380"/>
    </row>
    <row r="381" spans="1:29" ht="17.100000000000001" customHeight="1" thickBot="1">
      <c r="A381" s="198"/>
      <c r="B381" s="31" t="s">
        <v>189</v>
      </c>
      <c r="C381" s="31">
        <v>22519</v>
      </c>
      <c r="D381" s="32" t="s">
        <v>399</v>
      </c>
      <c r="E381" s="200"/>
      <c r="F381" s="43" t="s">
        <v>5407</v>
      </c>
      <c r="G381" s="38">
        <v>53982</v>
      </c>
      <c r="H381" s="202"/>
      <c r="I381" s="194"/>
      <c r="J381" s="194"/>
      <c r="K381" s="194"/>
      <c r="L381" s="194"/>
      <c r="M381" s="194"/>
      <c r="N381" s="194"/>
      <c r="O381" s="192"/>
      <c r="P381" s="148" t="s">
        <v>5408</v>
      </c>
      <c r="Q381" s="33" t="s">
        <v>86</v>
      </c>
      <c r="R381" s="34" t="s">
        <v>5277</v>
      </c>
      <c r="S381" s="44" t="s">
        <v>96</v>
      </c>
      <c r="T381" s="46"/>
      <c r="U381" s="35"/>
      <c r="V381" s="56" t="s">
        <v>521</v>
      </c>
      <c r="W381" s="46">
        <v>60293</v>
      </c>
      <c r="X381" s="194"/>
      <c r="Y381" s="194"/>
      <c r="Z381" s="194"/>
      <c r="AA381" s="194"/>
      <c r="AB381" s="196"/>
      <c r="AC381"/>
    </row>
    <row r="382" spans="1:29" ht="17.100000000000001" customHeight="1" thickTop="1">
      <c r="A382" s="197" t="s">
        <v>5409</v>
      </c>
      <c r="B382" s="26">
        <v>45908</v>
      </c>
      <c r="C382" s="36"/>
      <c r="D382" s="28" t="s">
        <v>2462</v>
      </c>
      <c r="E382" s="199"/>
      <c r="F382" s="54" t="s">
        <v>5410</v>
      </c>
      <c r="G382" s="37" t="s">
        <v>5411</v>
      </c>
      <c r="H382" s="201">
        <v>3.5</v>
      </c>
      <c r="I382" s="193">
        <f>726000/1.1</f>
        <v>660000</v>
      </c>
      <c r="J382" s="193">
        <f>I382*0.1</f>
        <v>66000</v>
      </c>
      <c r="K382" s="193">
        <v>0</v>
      </c>
      <c r="L382" s="193">
        <v>9010</v>
      </c>
      <c r="M382" s="193">
        <v>64265</v>
      </c>
      <c r="N382" s="193">
        <f>SUM(I382:M383)</f>
        <v>799275</v>
      </c>
      <c r="O382" s="191"/>
      <c r="P382" s="147" t="s">
        <v>5412</v>
      </c>
      <c r="Q382" s="29" t="s">
        <v>82</v>
      </c>
      <c r="R382" s="81"/>
      <c r="S382" s="48" t="s">
        <v>1279</v>
      </c>
      <c r="T382" s="50"/>
      <c r="U382" s="30"/>
      <c r="V382" s="58">
        <v>45948</v>
      </c>
      <c r="W382" s="52">
        <v>1272</v>
      </c>
      <c r="X382" s="193">
        <v>880000</v>
      </c>
      <c r="Y382" s="193">
        <f>X382*0.1</f>
        <v>88000</v>
      </c>
      <c r="Z382" s="193">
        <v>9010</v>
      </c>
      <c r="AA382" s="193">
        <f>SUM(X382:Z382)</f>
        <v>977010</v>
      </c>
      <c r="AB382" s="195">
        <v>45951</v>
      </c>
      <c r="AC382"/>
    </row>
    <row r="383" spans="1:29" ht="17.100000000000001" customHeight="1" thickBot="1">
      <c r="A383" s="198"/>
      <c r="B383" s="31" t="s">
        <v>1985</v>
      </c>
      <c r="C383" s="31" t="s">
        <v>5413</v>
      </c>
      <c r="D383" s="32" t="s">
        <v>244</v>
      </c>
      <c r="E383" s="200"/>
      <c r="F383" s="43" t="s">
        <v>5414</v>
      </c>
      <c r="G383" s="38">
        <v>79710</v>
      </c>
      <c r="H383" s="202"/>
      <c r="I383" s="194"/>
      <c r="J383" s="194"/>
      <c r="K383" s="194"/>
      <c r="L383" s="194"/>
      <c r="M383" s="194"/>
      <c r="N383" s="194"/>
      <c r="O383" s="192"/>
      <c r="P383" s="148" t="s">
        <v>5415</v>
      </c>
      <c r="Q383" s="33" t="s">
        <v>86</v>
      </c>
      <c r="R383" s="34" t="s">
        <v>5130</v>
      </c>
      <c r="S383" s="44" t="s">
        <v>5416</v>
      </c>
      <c r="T383" s="46"/>
      <c r="U383" s="35"/>
      <c r="V383" s="56" t="s">
        <v>3800</v>
      </c>
      <c r="W383" s="46">
        <v>65179</v>
      </c>
      <c r="X383" s="194"/>
      <c r="Y383" s="194"/>
      <c r="Z383" s="194"/>
      <c r="AA383" s="194"/>
      <c r="AB383" s="196"/>
      <c r="AC383"/>
    </row>
    <row r="384" spans="1:29" ht="17.100000000000001" customHeight="1" thickTop="1">
      <c r="A384" s="197" t="s">
        <v>5417</v>
      </c>
      <c r="B384" s="26">
        <v>45908</v>
      </c>
      <c r="C384" s="36"/>
      <c r="D384" s="28" t="s">
        <v>4566</v>
      </c>
      <c r="E384" s="199"/>
      <c r="F384" s="54" t="s">
        <v>5418</v>
      </c>
      <c r="G384" s="37" t="s">
        <v>5419</v>
      </c>
      <c r="H384" s="201">
        <v>4</v>
      </c>
      <c r="I384" s="193">
        <f>830500/1.1</f>
        <v>754999.99999999988</v>
      </c>
      <c r="J384" s="193">
        <f>I384*0.1</f>
        <v>75499.999999999985</v>
      </c>
      <c r="K384" s="193">
        <v>0</v>
      </c>
      <c r="L384" s="193">
        <v>6540</v>
      </c>
      <c r="M384" s="193">
        <v>69765</v>
      </c>
      <c r="N384" s="193">
        <f>SUM(I384:M385)</f>
        <v>906804.99999999988</v>
      </c>
      <c r="O384" s="191"/>
      <c r="P384" s="147" t="s">
        <v>5420</v>
      </c>
      <c r="Q384" s="29" t="s">
        <v>82</v>
      </c>
      <c r="R384" s="81"/>
      <c r="S384" s="48" t="s">
        <v>1500</v>
      </c>
      <c r="T384" s="50"/>
      <c r="U384" s="30"/>
      <c r="V384" s="58">
        <v>45934</v>
      </c>
      <c r="W384" s="52">
        <v>1270</v>
      </c>
      <c r="X384" s="193">
        <v>995000</v>
      </c>
      <c r="Y384" s="193">
        <f>X384*0.1</f>
        <v>99500</v>
      </c>
      <c r="Z384" s="193">
        <v>6540</v>
      </c>
      <c r="AA384" s="193">
        <f>SUM(X384:Z384)</f>
        <v>1101040</v>
      </c>
      <c r="AB384" s="195">
        <v>45938</v>
      </c>
      <c r="AC384"/>
    </row>
    <row r="385" spans="1:29" ht="17.100000000000001" customHeight="1" thickBot="1">
      <c r="A385" s="198"/>
      <c r="B385" s="31" t="s">
        <v>1985</v>
      </c>
      <c r="C385" s="31" t="s">
        <v>5421</v>
      </c>
      <c r="D385" s="32" t="s">
        <v>1987</v>
      </c>
      <c r="E385" s="200"/>
      <c r="F385" s="43" t="s">
        <v>5422</v>
      </c>
      <c r="G385" s="38">
        <v>40897</v>
      </c>
      <c r="H385" s="202"/>
      <c r="I385" s="194"/>
      <c r="J385" s="194"/>
      <c r="K385" s="194"/>
      <c r="L385" s="194"/>
      <c r="M385" s="194"/>
      <c r="N385" s="194"/>
      <c r="O385" s="192"/>
      <c r="P385" s="148" t="s">
        <v>5423</v>
      </c>
      <c r="Q385" s="33" t="s">
        <v>86</v>
      </c>
      <c r="R385" s="34" t="s">
        <v>2480</v>
      </c>
      <c r="S385" s="44" t="s">
        <v>2101</v>
      </c>
      <c r="T385" s="46"/>
      <c r="U385" s="35"/>
      <c r="V385" s="56" t="s">
        <v>3800</v>
      </c>
      <c r="W385" s="46">
        <v>65040</v>
      </c>
      <c r="X385" s="194"/>
      <c r="Y385" s="194"/>
      <c r="Z385" s="194"/>
      <c r="AA385" s="194"/>
      <c r="AB385" s="196"/>
      <c r="AC385"/>
    </row>
    <row r="386" spans="1:29" ht="17.100000000000001" customHeight="1" thickTop="1">
      <c r="A386" s="197" t="s">
        <v>5424</v>
      </c>
      <c r="B386" s="26">
        <v>45908</v>
      </c>
      <c r="C386" s="36"/>
      <c r="D386" s="28" t="s">
        <v>2640</v>
      </c>
      <c r="E386" s="199"/>
      <c r="F386" s="54" t="s">
        <v>5425</v>
      </c>
      <c r="G386" s="37" t="s">
        <v>5426</v>
      </c>
      <c r="H386" s="201">
        <v>4</v>
      </c>
      <c r="I386" s="193">
        <f>929500/1.1</f>
        <v>844999.99999999988</v>
      </c>
      <c r="J386" s="193">
        <f>I386*0.1</f>
        <v>84500</v>
      </c>
      <c r="K386" s="193">
        <v>12700</v>
      </c>
      <c r="L386" s="193">
        <v>8170</v>
      </c>
      <c r="M386" s="193">
        <v>74974</v>
      </c>
      <c r="N386" s="193">
        <f>SUM(I386:M387)</f>
        <v>1025343.9999999999</v>
      </c>
      <c r="O386" s="191"/>
      <c r="P386" s="147" t="s">
        <v>5427</v>
      </c>
      <c r="Q386" s="29" t="s">
        <v>82</v>
      </c>
      <c r="R386" s="81"/>
      <c r="S386" s="48" t="s">
        <v>1983</v>
      </c>
      <c r="T386" s="50"/>
      <c r="U386" s="30"/>
      <c r="V386" s="58">
        <v>45941</v>
      </c>
      <c r="W386" s="52">
        <v>1271</v>
      </c>
      <c r="X386" s="193">
        <v>1175000</v>
      </c>
      <c r="Y386" s="193">
        <f>X386*0.1</f>
        <v>117500</v>
      </c>
      <c r="Z386" s="193">
        <v>8170</v>
      </c>
      <c r="AA386" s="193">
        <f>SUM(X386:Z386)</f>
        <v>1300670</v>
      </c>
      <c r="AB386" s="195">
        <v>45944</v>
      </c>
      <c r="AC386"/>
    </row>
    <row r="387" spans="1:29" ht="17.100000000000001" customHeight="1" thickBot="1">
      <c r="A387" s="198"/>
      <c r="B387" s="31" t="s">
        <v>1985</v>
      </c>
      <c r="C387" s="31" t="s">
        <v>5428</v>
      </c>
      <c r="D387" s="32" t="s">
        <v>399</v>
      </c>
      <c r="E387" s="200"/>
      <c r="F387" s="43" t="s">
        <v>5429</v>
      </c>
      <c r="G387" s="38">
        <v>41075</v>
      </c>
      <c r="H387" s="202"/>
      <c r="I387" s="194"/>
      <c r="J387" s="194"/>
      <c r="K387" s="194"/>
      <c r="L387" s="194"/>
      <c r="M387" s="194"/>
      <c r="N387" s="194"/>
      <c r="O387" s="192"/>
      <c r="P387" s="148" t="s">
        <v>5430</v>
      </c>
      <c r="Q387" s="33" t="s">
        <v>86</v>
      </c>
      <c r="R387" s="34" t="s">
        <v>2480</v>
      </c>
      <c r="S387" s="44" t="s">
        <v>3166</v>
      </c>
      <c r="T387" s="46"/>
      <c r="U387" s="35"/>
      <c r="V387" s="56" t="s">
        <v>3800</v>
      </c>
      <c r="W387" s="46">
        <v>37653</v>
      </c>
      <c r="X387" s="194"/>
      <c r="Y387" s="194"/>
      <c r="Z387" s="194"/>
      <c r="AA387" s="194"/>
      <c r="AB387" s="196"/>
      <c r="AC387"/>
    </row>
    <row r="388" spans="1:29" ht="17.100000000000001" customHeight="1" thickTop="1">
      <c r="A388" s="197" t="s">
        <v>5440</v>
      </c>
      <c r="B388" s="26">
        <v>45908</v>
      </c>
      <c r="C388" s="36">
        <v>49</v>
      </c>
      <c r="D388" s="28" t="s">
        <v>2136</v>
      </c>
      <c r="E388" s="199"/>
      <c r="F388" s="54" t="s">
        <v>5441</v>
      </c>
      <c r="G388" s="37" t="s">
        <v>4708</v>
      </c>
      <c r="H388" s="201">
        <v>4.5</v>
      </c>
      <c r="I388" s="193">
        <v>1050000</v>
      </c>
      <c r="J388" s="193">
        <f>I388*0.1</f>
        <v>105000</v>
      </c>
      <c r="K388" s="193">
        <v>0</v>
      </c>
      <c r="L388" s="193">
        <v>8640</v>
      </c>
      <c r="M388" s="193">
        <v>44000</v>
      </c>
      <c r="N388" s="193">
        <f>SUM(I388:M389)</f>
        <v>1207640</v>
      </c>
      <c r="O388" s="191"/>
      <c r="P388" s="147" t="s">
        <v>5442</v>
      </c>
      <c r="Q388" s="29" t="s">
        <v>82</v>
      </c>
      <c r="R388" s="81"/>
      <c r="S388" s="48" t="s">
        <v>5443</v>
      </c>
      <c r="T388" s="50"/>
      <c r="U388" s="30"/>
      <c r="V388" s="58">
        <v>45934</v>
      </c>
      <c r="W388" s="52">
        <v>1270</v>
      </c>
      <c r="X388" s="193">
        <v>1090000</v>
      </c>
      <c r="Y388" s="193">
        <f>X388*0.1</f>
        <v>109000</v>
      </c>
      <c r="Z388" s="193">
        <v>8640</v>
      </c>
      <c r="AA388" s="193">
        <f>SUM(X388:Z388)</f>
        <v>1207640</v>
      </c>
      <c r="AB388" s="195">
        <v>45939</v>
      </c>
      <c r="AC388"/>
    </row>
    <row r="389" spans="1:29" ht="17.100000000000001" customHeight="1" thickBot="1">
      <c r="A389" s="198"/>
      <c r="B389" s="31" t="s">
        <v>5355</v>
      </c>
      <c r="C389" s="31">
        <v>1021</v>
      </c>
      <c r="D389" s="32" t="s">
        <v>4409</v>
      </c>
      <c r="E389" s="200"/>
      <c r="F389" s="43" t="s">
        <v>5444</v>
      </c>
      <c r="G389" s="38">
        <v>27507</v>
      </c>
      <c r="H389" s="202"/>
      <c r="I389" s="194"/>
      <c r="J389" s="194"/>
      <c r="K389" s="194"/>
      <c r="L389" s="194"/>
      <c r="M389" s="194"/>
      <c r="N389" s="194"/>
      <c r="O389" s="192"/>
      <c r="P389" s="148" t="s">
        <v>4175</v>
      </c>
      <c r="Q389" s="33" t="s">
        <v>86</v>
      </c>
      <c r="R389" s="34" t="s">
        <v>5445</v>
      </c>
      <c r="S389" s="44" t="s">
        <v>5446</v>
      </c>
      <c r="T389" s="46"/>
      <c r="U389" s="35"/>
      <c r="V389" s="56" t="s">
        <v>3800</v>
      </c>
      <c r="W389" s="46">
        <v>65110</v>
      </c>
      <c r="X389" s="194"/>
      <c r="Y389" s="194"/>
      <c r="Z389" s="194"/>
      <c r="AA389" s="194"/>
      <c r="AB389" s="196"/>
      <c r="AC389"/>
    </row>
    <row r="390" spans="1:29" ht="17.100000000000001" customHeight="1" thickTop="1">
      <c r="A390" s="197" t="s">
        <v>5447</v>
      </c>
      <c r="B390" s="26">
        <v>45909</v>
      </c>
      <c r="C390" s="36">
        <v>1908</v>
      </c>
      <c r="D390" s="28" t="s">
        <v>5448</v>
      </c>
      <c r="E390" s="199"/>
      <c r="F390" s="54" t="s">
        <v>1830</v>
      </c>
      <c r="G390" s="37" t="s">
        <v>2906</v>
      </c>
      <c r="H390" s="201">
        <v>4</v>
      </c>
      <c r="I390" s="193">
        <v>506000</v>
      </c>
      <c r="J390" s="193">
        <f>I390*0.1</f>
        <v>50600</v>
      </c>
      <c r="K390" s="193">
        <v>21670</v>
      </c>
      <c r="L390" s="193">
        <v>16740</v>
      </c>
      <c r="M390" s="193">
        <v>15950</v>
      </c>
      <c r="N390" s="193">
        <f>SUM(I390:M391)</f>
        <v>610960</v>
      </c>
      <c r="O390" s="191"/>
      <c r="P390" s="147" t="s">
        <v>5449</v>
      </c>
      <c r="Q390" s="29" t="s">
        <v>82</v>
      </c>
      <c r="R390" s="81"/>
      <c r="S390" s="48" t="s">
        <v>1279</v>
      </c>
      <c r="T390" s="50"/>
      <c r="U390" s="30"/>
      <c r="V390" s="58">
        <v>45959</v>
      </c>
      <c r="W390" s="52">
        <v>990</v>
      </c>
      <c r="X390" s="193">
        <v>570000</v>
      </c>
      <c r="Y390" s="193">
        <f>X390*0.1</f>
        <v>57000</v>
      </c>
      <c r="Z390" s="193">
        <v>16740</v>
      </c>
      <c r="AA390" s="193">
        <f>SUM(X390:Z390)</f>
        <v>643740</v>
      </c>
      <c r="AB390" s="195">
        <v>45965</v>
      </c>
      <c r="AC390"/>
    </row>
    <row r="391" spans="1:29" ht="17.100000000000001" customHeight="1" thickBot="1">
      <c r="A391" s="198"/>
      <c r="B391" s="31" t="s">
        <v>2450</v>
      </c>
      <c r="C391" s="31">
        <v>5017</v>
      </c>
      <c r="D391" s="32" t="s">
        <v>1097</v>
      </c>
      <c r="E391" s="200"/>
      <c r="F391" s="43" t="s">
        <v>5450</v>
      </c>
      <c r="G391" s="38">
        <v>60874</v>
      </c>
      <c r="H391" s="202"/>
      <c r="I391" s="194"/>
      <c r="J391" s="194"/>
      <c r="K391" s="194"/>
      <c r="L391" s="194"/>
      <c r="M391" s="194"/>
      <c r="N391" s="194"/>
      <c r="O391" s="192"/>
      <c r="P391" s="148" t="s">
        <v>5451</v>
      </c>
      <c r="Q391" s="33" t="s">
        <v>86</v>
      </c>
      <c r="R391" s="34" t="s">
        <v>2436</v>
      </c>
      <c r="S391" s="44" t="s">
        <v>5452</v>
      </c>
      <c r="T391" s="46"/>
      <c r="U391" s="35" t="s">
        <v>103</v>
      </c>
      <c r="V391" s="56" t="s">
        <v>5040</v>
      </c>
      <c r="W391" s="46">
        <v>5126</v>
      </c>
      <c r="X391" s="194"/>
      <c r="Y391" s="194"/>
      <c r="Z391" s="194"/>
      <c r="AA391" s="194"/>
      <c r="AB391" s="196"/>
      <c r="AC391"/>
    </row>
    <row r="392" spans="1:29" ht="17.100000000000001" customHeight="1" thickTop="1">
      <c r="A392" s="197" t="s">
        <v>5453</v>
      </c>
      <c r="B392" s="26">
        <v>45909</v>
      </c>
      <c r="C392" s="36">
        <v>786</v>
      </c>
      <c r="D392" s="28" t="s">
        <v>5454</v>
      </c>
      <c r="E392" s="199"/>
      <c r="F392" s="54" t="s">
        <v>5455</v>
      </c>
      <c r="G392" s="37" t="s">
        <v>4061</v>
      </c>
      <c r="H392" s="201">
        <v>4.5</v>
      </c>
      <c r="I392" s="193">
        <v>1011000</v>
      </c>
      <c r="J392" s="193">
        <f>I392*0.1</f>
        <v>101100</v>
      </c>
      <c r="K392" s="193">
        <v>0</v>
      </c>
      <c r="L392" s="193">
        <v>8200</v>
      </c>
      <c r="M392" s="193">
        <v>15950</v>
      </c>
      <c r="N392" s="193">
        <f>SUM(I392:M393)</f>
        <v>1136250</v>
      </c>
      <c r="O392" s="191"/>
      <c r="P392" s="147" t="s">
        <v>5456</v>
      </c>
      <c r="Q392" s="29" t="s">
        <v>82</v>
      </c>
      <c r="R392" s="81"/>
      <c r="S392" s="48" t="s">
        <v>5457</v>
      </c>
      <c r="T392" s="50"/>
      <c r="U392" s="30" t="s">
        <v>5458</v>
      </c>
      <c r="V392" s="58">
        <v>46053</v>
      </c>
      <c r="W392" s="52">
        <v>1286</v>
      </c>
      <c r="X392" s="193">
        <v>1100000</v>
      </c>
      <c r="Y392" s="193">
        <f>X392*0.1</f>
        <v>110000</v>
      </c>
      <c r="Z392" s="193">
        <v>9200</v>
      </c>
      <c r="AA392" s="193">
        <f>SUM(X392:Z392)</f>
        <v>1219200</v>
      </c>
      <c r="AB392" s="195">
        <v>46056</v>
      </c>
      <c r="AC392"/>
    </row>
    <row r="393" spans="1:29" ht="17.100000000000001" customHeight="1" thickBot="1">
      <c r="A393" s="198"/>
      <c r="B393" s="31" t="s">
        <v>3893</v>
      </c>
      <c r="C393" s="31">
        <v>3007</v>
      </c>
      <c r="D393" s="32" t="s">
        <v>1849</v>
      </c>
      <c r="E393" s="200"/>
      <c r="F393" s="43" t="s">
        <v>5459</v>
      </c>
      <c r="G393" s="38">
        <v>9719</v>
      </c>
      <c r="H393" s="202"/>
      <c r="I393" s="194"/>
      <c r="J393" s="194"/>
      <c r="K393" s="194"/>
      <c r="L393" s="194"/>
      <c r="M393" s="194"/>
      <c r="N393" s="194"/>
      <c r="O393" s="192"/>
      <c r="P393" s="148" t="s">
        <v>5460</v>
      </c>
      <c r="Q393" s="33" t="s">
        <v>86</v>
      </c>
      <c r="R393" s="34" t="s">
        <v>3466</v>
      </c>
      <c r="S393" s="44" t="s">
        <v>5461</v>
      </c>
      <c r="T393" s="46"/>
      <c r="U393" s="35"/>
      <c r="V393" s="56" t="s">
        <v>521</v>
      </c>
      <c r="W393" s="46">
        <v>62069</v>
      </c>
      <c r="X393" s="194"/>
      <c r="Y393" s="194"/>
      <c r="Z393" s="194"/>
      <c r="AA393" s="194"/>
      <c r="AB393" s="196"/>
      <c r="AC393"/>
    </row>
    <row r="394" spans="1:29" ht="17.100000000000001" customHeight="1" thickTop="1">
      <c r="A394" s="197" t="s">
        <v>5462</v>
      </c>
      <c r="B394" s="26">
        <v>45909</v>
      </c>
      <c r="C394" s="36">
        <v>786</v>
      </c>
      <c r="D394" s="28" t="s">
        <v>3106</v>
      </c>
      <c r="E394" s="199"/>
      <c r="F394" s="54" t="s">
        <v>5463</v>
      </c>
      <c r="G394" s="37" t="s">
        <v>4061</v>
      </c>
      <c r="H394" s="201">
        <v>5</v>
      </c>
      <c r="I394" s="193">
        <v>1102000</v>
      </c>
      <c r="J394" s="193">
        <f>I394*0.1</f>
        <v>110200</v>
      </c>
      <c r="K394" s="193">
        <v>0</v>
      </c>
      <c r="L394" s="193">
        <v>8200</v>
      </c>
      <c r="M394" s="193">
        <v>15950</v>
      </c>
      <c r="N394" s="193">
        <f>SUM(I394:M395)</f>
        <v>1236350</v>
      </c>
      <c r="O394" s="191"/>
      <c r="P394" s="147" t="s">
        <v>5464</v>
      </c>
      <c r="Q394" s="29" t="s">
        <v>82</v>
      </c>
      <c r="R394" s="81"/>
      <c r="S394" s="48" t="s">
        <v>5465</v>
      </c>
      <c r="T394" s="50"/>
      <c r="U394" s="30" t="s">
        <v>5466</v>
      </c>
      <c r="V394" s="58">
        <v>45969</v>
      </c>
      <c r="W394" s="52">
        <v>1275</v>
      </c>
      <c r="X394" s="193">
        <v>1215000</v>
      </c>
      <c r="Y394" s="193">
        <f>X394*0.1</f>
        <v>121500</v>
      </c>
      <c r="Z394" s="193">
        <v>8200</v>
      </c>
      <c r="AA394" s="193">
        <f>SUM(X394:Z394)</f>
        <v>1344700</v>
      </c>
      <c r="AB394" s="195">
        <v>45972</v>
      </c>
      <c r="AC394"/>
    </row>
    <row r="395" spans="1:29" ht="17.100000000000001" customHeight="1" thickBot="1">
      <c r="A395" s="198"/>
      <c r="B395" s="31" t="s">
        <v>3893</v>
      </c>
      <c r="C395" s="31">
        <v>3040</v>
      </c>
      <c r="D395" s="32" t="s">
        <v>1849</v>
      </c>
      <c r="E395" s="200"/>
      <c r="F395" s="43" t="s">
        <v>5467</v>
      </c>
      <c r="G395" s="38">
        <v>1012</v>
      </c>
      <c r="H395" s="202"/>
      <c r="I395" s="194"/>
      <c r="J395" s="194"/>
      <c r="K395" s="194"/>
      <c r="L395" s="194"/>
      <c r="M395" s="194"/>
      <c r="N395" s="194"/>
      <c r="O395" s="192"/>
      <c r="P395" s="148" t="s">
        <v>5468</v>
      </c>
      <c r="Q395" s="33" t="s">
        <v>86</v>
      </c>
      <c r="R395" s="34" t="s">
        <v>2436</v>
      </c>
      <c r="S395" s="44" t="s">
        <v>5469</v>
      </c>
      <c r="T395" s="46"/>
      <c r="U395" s="35"/>
      <c r="V395" s="56" t="s">
        <v>521</v>
      </c>
      <c r="W395" s="46">
        <v>60037</v>
      </c>
      <c r="X395" s="194"/>
      <c r="Y395" s="194"/>
      <c r="Z395" s="194"/>
      <c r="AA395" s="194"/>
      <c r="AB395" s="196"/>
      <c r="AC395"/>
    </row>
    <row r="396" spans="1:29" ht="17.100000000000001" customHeight="1" thickTop="1">
      <c r="A396" s="197" t="s">
        <v>5470</v>
      </c>
      <c r="B396" s="26">
        <v>45909</v>
      </c>
      <c r="C396" s="36">
        <v>906</v>
      </c>
      <c r="D396" s="28" t="s">
        <v>1001</v>
      </c>
      <c r="E396" s="199"/>
      <c r="F396" s="54" t="s">
        <v>5471</v>
      </c>
      <c r="G396" s="37" t="s">
        <v>1814</v>
      </c>
      <c r="H396" s="201">
        <v>4.5</v>
      </c>
      <c r="I396" s="193">
        <v>1030000</v>
      </c>
      <c r="J396" s="193">
        <f>I396*0.1</f>
        <v>103000</v>
      </c>
      <c r="K396" s="193">
        <v>0</v>
      </c>
      <c r="L396" s="193">
        <v>8790</v>
      </c>
      <c r="M396" s="193">
        <v>15950</v>
      </c>
      <c r="N396" s="193">
        <f>SUM(I396:M397)</f>
        <v>1157740</v>
      </c>
      <c r="O396" s="191"/>
      <c r="P396" s="147" t="s">
        <v>5472</v>
      </c>
      <c r="Q396" s="29" t="s">
        <v>82</v>
      </c>
      <c r="R396" s="81"/>
      <c r="S396" s="48" t="s">
        <v>4536</v>
      </c>
      <c r="T396" s="50"/>
      <c r="U396" s="30" t="s">
        <v>5473</v>
      </c>
      <c r="V396" s="58">
        <v>45952</v>
      </c>
      <c r="W396" s="52">
        <v>989</v>
      </c>
      <c r="X396" s="193">
        <v>1070000</v>
      </c>
      <c r="Y396" s="193">
        <f>X396*0.1</f>
        <v>107000</v>
      </c>
      <c r="Z396" s="193">
        <v>8790</v>
      </c>
      <c r="AA396" s="193">
        <f>SUM(X396:Z396)</f>
        <v>1185790</v>
      </c>
      <c r="AB396" s="195">
        <v>45957</v>
      </c>
      <c r="AC396"/>
    </row>
    <row r="397" spans="1:29" ht="17.100000000000001" customHeight="1" thickBot="1">
      <c r="A397" s="198"/>
      <c r="B397" s="31" t="s">
        <v>107</v>
      </c>
      <c r="C397" s="31">
        <v>3069</v>
      </c>
      <c r="D397" s="32" t="s">
        <v>95</v>
      </c>
      <c r="E397" s="200"/>
      <c r="F397" s="43" t="s">
        <v>5474</v>
      </c>
      <c r="G397" s="38">
        <v>56799</v>
      </c>
      <c r="H397" s="202"/>
      <c r="I397" s="194"/>
      <c r="J397" s="194"/>
      <c r="K397" s="194"/>
      <c r="L397" s="194"/>
      <c r="M397" s="194"/>
      <c r="N397" s="194"/>
      <c r="O397" s="192"/>
      <c r="P397" s="148" t="s">
        <v>109</v>
      </c>
      <c r="Q397" s="33" t="s">
        <v>86</v>
      </c>
      <c r="R397" s="34" t="s">
        <v>2436</v>
      </c>
      <c r="S397" s="44" t="s">
        <v>5475</v>
      </c>
      <c r="T397" s="46"/>
      <c r="U397" s="35"/>
      <c r="V397" s="56" t="s">
        <v>104</v>
      </c>
      <c r="W397" s="46">
        <v>2036</v>
      </c>
      <c r="X397" s="194"/>
      <c r="Y397" s="194"/>
      <c r="Z397" s="194"/>
      <c r="AA397" s="194"/>
      <c r="AB397" s="196"/>
      <c r="AC397"/>
    </row>
    <row r="398" spans="1:29" ht="17.100000000000001" customHeight="1" thickTop="1">
      <c r="A398" s="197" t="s">
        <v>5476</v>
      </c>
      <c r="B398" s="26">
        <v>45909</v>
      </c>
      <c r="C398" s="36">
        <v>906</v>
      </c>
      <c r="D398" s="28" t="s">
        <v>2229</v>
      </c>
      <c r="E398" s="199"/>
      <c r="F398" s="54" t="s">
        <v>5477</v>
      </c>
      <c r="G398" s="37"/>
      <c r="H398" s="201">
        <v>4</v>
      </c>
      <c r="I398" s="193">
        <v>213000</v>
      </c>
      <c r="J398" s="193">
        <f>I398*0.1</f>
        <v>21300</v>
      </c>
      <c r="K398" s="193">
        <v>0</v>
      </c>
      <c r="L398" s="193">
        <v>7320</v>
      </c>
      <c r="M398" s="193">
        <v>15950</v>
      </c>
      <c r="N398" s="193">
        <f>SUM(I398:M399)</f>
        <v>257570</v>
      </c>
      <c r="O398" s="191"/>
      <c r="P398" s="147" t="s">
        <v>5478</v>
      </c>
      <c r="Q398" s="29" t="s">
        <v>82</v>
      </c>
      <c r="R398" s="81"/>
      <c r="S398" s="48"/>
      <c r="T398" s="50"/>
      <c r="U398" s="30"/>
      <c r="V398" s="58">
        <v>45934</v>
      </c>
      <c r="W398" s="52">
        <v>1270</v>
      </c>
      <c r="X398" s="193">
        <v>255000</v>
      </c>
      <c r="Y398" s="193">
        <f>X398*0.1</f>
        <v>25500</v>
      </c>
      <c r="Z398" s="193">
        <v>7320</v>
      </c>
      <c r="AA398" s="193">
        <f>SUM(X398:Z398)</f>
        <v>287820</v>
      </c>
      <c r="AB398" s="195">
        <v>45937</v>
      </c>
      <c r="AC398"/>
    </row>
    <row r="399" spans="1:29" ht="17.100000000000001" customHeight="1" thickBot="1">
      <c r="A399" s="198"/>
      <c r="B399" s="31" t="s">
        <v>107</v>
      </c>
      <c r="C399" s="31">
        <v>4226</v>
      </c>
      <c r="D399" s="32" t="s">
        <v>1097</v>
      </c>
      <c r="E399" s="200"/>
      <c r="F399" s="43" t="s">
        <v>5479</v>
      </c>
      <c r="G399" s="38">
        <v>36385</v>
      </c>
      <c r="H399" s="202"/>
      <c r="I399" s="194"/>
      <c r="J399" s="194"/>
      <c r="K399" s="194"/>
      <c r="L399" s="194"/>
      <c r="M399" s="194"/>
      <c r="N399" s="194"/>
      <c r="O399" s="192"/>
      <c r="P399" s="148" t="s">
        <v>5480</v>
      </c>
      <c r="Q399" s="33" t="s">
        <v>86</v>
      </c>
      <c r="R399" s="34" t="s">
        <v>3466</v>
      </c>
      <c r="S399" s="44"/>
      <c r="T399" s="46"/>
      <c r="U399" s="35"/>
      <c r="V399" s="56" t="s">
        <v>3800</v>
      </c>
      <c r="W399" s="46">
        <v>60124</v>
      </c>
      <c r="X399" s="194"/>
      <c r="Y399" s="194"/>
      <c r="Z399" s="194"/>
      <c r="AA399" s="194"/>
      <c r="AB399" s="196"/>
      <c r="AC399"/>
    </row>
    <row r="400" spans="1:29" ht="17.100000000000001" customHeight="1" thickTop="1">
      <c r="A400" s="197" t="s">
        <v>5481</v>
      </c>
      <c r="B400" s="26">
        <v>45909</v>
      </c>
      <c r="C400" s="36">
        <v>906</v>
      </c>
      <c r="D400" s="28" t="s">
        <v>2023</v>
      </c>
      <c r="E400" s="199"/>
      <c r="F400" s="54" t="s">
        <v>5482</v>
      </c>
      <c r="G400" s="37"/>
      <c r="H400" s="201">
        <v>4</v>
      </c>
      <c r="I400" s="193">
        <v>183000</v>
      </c>
      <c r="J400" s="193">
        <f>I400*0.1</f>
        <v>18300</v>
      </c>
      <c r="K400" s="193">
        <v>0</v>
      </c>
      <c r="L400" s="193">
        <v>7320</v>
      </c>
      <c r="M400" s="193">
        <v>15950</v>
      </c>
      <c r="N400" s="193">
        <f>SUM(I400:M401)</f>
        <v>224570</v>
      </c>
      <c r="O400" s="191"/>
      <c r="P400" s="147" t="s">
        <v>5483</v>
      </c>
      <c r="Q400" s="29" t="s">
        <v>82</v>
      </c>
      <c r="R400" s="81"/>
      <c r="S400" s="48"/>
      <c r="T400" s="50"/>
      <c r="U400" s="30"/>
      <c r="V400" s="58">
        <v>45948</v>
      </c>
      <c r="W400" s="52">
        <v>1272</v>
      </c>
      <c r="X400" s="193">
        <v>215000</v>
      </c>
      <c r="Y400" s="193">
        <f>X400*0.1</f>
        <v>21500</v>
      </c>
      <c r="Z400" s="193">
        <v>7320</v>
      </c>
      <c r="AA400" s="193">
        <f>SUM(X400:Z400)</f>
        <v>243820</v>
      </c>
      <c r="AB400" s="195">
        <v>45951</v>
      </c>
      <c r="AC400"/>
    </row>
    <row r="401" spans="1:29" ht="17.100000000000001" customHeight="1" thickBot="1">
      <c r="A401" s="198"/>
      <c r="B401" s="31" t="s">
        <v>107</v>
      </c>
      <c r="C401" s="31">
        <v>4230</v>
      </c>
      <c r="D401" s="32" t="s">
        <v>4487</v>
      </c>
      <c r="E401" s="200"/>
      <c r="F401" s="43" t="s">
        <v>5484</v>
      </c>
      <c r="G401" s="38">
        <v>32889</v>
      </c>
      <c r="H401" s="202"/>
      <c r="I401" s="194"/>
      <c r="J401" s="194"/>
      <c r="K401" s="194"/>
      <c r="L401" s="194"/>
      <c r="M401" s="194"/>
      <c r="N401" s="194"/>
      <c r="O401" s="192"/>
      <c r="P401" s="148" t="s">
        <v>5480</v>
      </c>
      <c r="Q401" s="33" t="s">
        <v>86</v>
      </c>
      <c r="R401" s="34" t="s">
        <v>3466</v>
      </c>
      <c r="S401" s="44" t="s">
        <v>5485</v>
      </c>
      <c r="T401" s="46"/>
      <c r="U401" s="35"/>
      <c r="V401" s="56" t="s">
        <v>521</v>
      </c>
      <c r="W401" s="46">
        <v>60113</v>
      </c>
      <c r="X401" s="194"/>
      <c r="Y401" s="194"/>
      <c r="Z401" s="194"/>
      <c r="AA401" s="194"/>
      <c r="AB401" s="196"/>
      <c r="AC401"/>
    </row>
    <row r="402" spans="1:29" ht="17.100000000000001" customHeight="1" thickTop="1">
      <c r="A402" s="197" t="s">
        <v>5486</v>
      </c>
      <c r="B402" s="26">
        <v>45909</v>
      </c>
      <c r="C402" s="36">
        <v>1207</v>
      </c>
      <c r="D402" s="28" t="s">
        <v>4566</v>
      </c>
      <c r="E402" s="199"/>
      <c r="F402" s="54" t="s">
        <v>5487</v>
      </c>
      <c r="G402" s="37"/>
      <c r="H402" s="201">
        <v>4</v>
      </c>
      <c r="I402" s="193">
        <v>1111000</v>
      </c>
      <c r="J402" s="193">
        <f>I402*0.1</f>
        <v>111100</v>
      </c>
      <c r="K402" s="193">
        <v>0</v>
      </c>
      <c r="L402" s="193">
        <v>20170</v>
      </c>
      <c r="M402" s="193">
        <v>15950</v>
      </c>
      <c r="N402" s="193">
        <f>SUM(I402:M403)</f>
        <v>1258220</v>
      </c>
      <c r="O402" s="191"/>
      <c r="P402" s="147" t="s">
        <v>5488</v>
      </c>
      <c r="Q402" s="29" t="s">
        <v>82</v>
      </c>
      <c r="R402" s="81"/>
      <c r="S402" s="48"/>
      <c r="T402" s="50"/>
      <c r="U402" s="30"/>
      <c r="V402" s="58">
        <v>45948</v>
      </c>
      <c r="W402" s="52">
        <v>1272</v>
      </c>
      <c r="X402" s="193">
        <v>1155000</v>
      </c>
      <c r="Y402" s="193">
        <f>X402*0.1</f>
        <v>115500</v>
      </c>
      <c r="Z402" s="193">
        <v>20170</v>
      </c>
      <c r="AA402" s="193">
        <f>SUM(X402:Z402)</f>
        <v>1290670</v>
      </c>
      <c r="AB402" s="195">
        <v>45951</v>
      </c>
      <c r="AC402"/>
    </row>
    <row r="403" spans="1:29" ht="17.100000000000001" customHeight="1" thickBot="1">
      <c r="A403" s="198"/>
      <c r="B403" s="31" t="s">
        <v>2736</v>
      </c>
      <c r="C403" s="31">
        <v>5026</v>
      </c>
      <c r="D403" s="32" t="s">
        <v>3846</v>
      </c>
      <c r="E403" s="200"/>
      <c r="F403" s="43" t="s">
        <v>5489</v>
      </c>
      <c r="G403" s="38">
        <v>56759</v>
      </c>
      <c r="H403" s="202"/>
      <c r="I403" s="194"/>
      <c r="J403" s="194"/>
      <c r="K403" s="194"/>
      <c r="L403" s="194"/>
      <c r="M403" s="194"/>
      <c r="N403" s="194"/>
      <c r="O403" s="192"/>
      <c r="P403" s="148" t="s">
        <v>5490</v>
      </c>
      <c r="Q403" s="33" t="s">
        <v>86</v>
      </c>
      <c r="R403" s="34" t="s">
        <v>5491</v>
      </c>
      <c r="S403" s="44"/>
      <c r="T403" s="46"/>
      <c r="U403" s="35"/>
      <c r="V403" s="56" t="s">
        <v>521</v>
      </c>
      <c r="W403" s="46">
        <v>80032</v>
      </c>
      <c r="X403" s="194"/>
      <c r="Y403" s="194"/>
      <c r="Z403" s="194"/>
      <c r="AA403" s="194"/>
      <c r="AB403" s="196"/>
      <c r="AC403"/>
    </row>
    <row r="404" spans="1:29" ht="17.100000000000001" customHeight="1" thickTop="1">
      <c r="A404" s="197" t="s">
        <v>5492</v>
      </c>
      <c r="B404" s="26">
        <v>45909</v>
      </c>
      <c r="C404" s="36">
        <v>956</v>
      </c>
      <c r="D404" s="28" t="s">
        <v>1980</v>
      </c>
      <c r="E404" s="199"/>
      <c r="F404" s="54" t="s">
        <v>5493</v>
      </c>
      <c r="G404" s="37"/>
      <c r="H404" s="201">
        <v>4</v>
      </c>
      <c r="I404" s="193">
        <v>1109000</v>
      </c>
      <c r="J404" s="193">
        <f>I404*0.1</f>
        <v>110900</v>
      </c>
      <c r="K404" s="193">
        <v>0</v>
      </c>
      <c r="L404" s="193">
        <v>8740</v>
      </c>
      <c r="M404" s="193">
        <v>22000</v>
      </c>
      <c r="N404" s="193">
        <f>SUM(I404:M405)</f>
        <v>1250640</v>
      </c>
      <c r="O404" s="191"/>
      <c r="P404" s="147" t="s">
        <v>5494</v>
      </c>
      <c r="Q404" s="29" t="s">
        <v>82</v>
      </c>
      <c r="R404" s="81"/>
      <c r="S404" s="48" t="s">
        <v>1326</v>
      </c>
      <c r="T404" s="50"/>
      <c r="U404" s="30"/>
      <c r="V404" s="58">
        <v>46144</v>
      </c>
      <c r="W404" s="52">
        <v>1299</v>
      </c>
      <c r="X404" s="193">
        <v>1125000</v>
      </c>
      <c r="Y404" s="193">
        <f>X404*0.1</f>
        <v>112500</v>
      </c>
      <c r="Z404" s="193">
        <v>8740</v>
      </c>
      <c r="AA404" s="193">
        <f>SUM(X404:Z404)</f>
        <v>1246240</v>
      </c>
      <c r="AB404" s="195">
        <v>46154</v>
      </c>
      <c r="AC404"/>
    </row>
    <row r="405" spans="1:29" ht="17.100000000000001" customHeight="1" thickBot="1">
      <c r="A405" s="198"/>
      <c r="B405" s="31" t="s">
        <v>2363</v>
      </c>
      <c r="C405" s="31">
        <v>21</v>
      </c>
      <c r="D405" s="32" t="s">
        <v>4689</v>
      </c>
      <c r="E405" s="200"/>
      <c r="F405" s="43" t="s">
        <v>5495</v>
      </c>
      <c r="G405" s="38">
        <v>52330</v>
      </c>
      <c r="H405" s="202"/>
      <c r="I405" s="194"/>
      <c r="J405" s="194"/>
      <c r="K405" s="194"/>
      <c r="L405" s="194"/>
      <c r="M405" s="194"/>
      <c r="N405" s="194"/>
      <c r="O405" s="192"/>
      <c r="P405" s="148" t="s">
        <v>2855</v>
      </c>
      <c r="Q405" s="33" t="s">
        <v>86</v>
      </c>
      <c r="R405" s="34" t="s">
        <v>1827</v>
      </c>
      <c r="S405" s="44" t="s">
        <v>5496</v>
      </c>
      <c r="T405" s="46"/>
      <c r="U405" s="35"/>
      <c r="V405" s="56" t="s">
        <v>521</v>
      </c>
      <c r="W405" s="46">
        <v>60123</v>
      </c>
      <c r="X405" s="194"/>
      <c r="Y405" s="194"/>
      <c r="Z405" s="194"/>
      <c r="AA405" s="194"/>
      <c r="AB405" s="196"/>
      <c r="AC405"/>
    </row>
    <row r="406" spans="1:29" ht="17.100000000000001" customHeight="1" thickTop="1">
      <c r="A406" s="197" t="s">
        <v>5506</v>
      </c>
      <c r="B406" s="26">
        <v>45911</v>
      </c>
      <c r="C406" s="36">
        <v>1993</v>
      </c>
      <c r="D406" s="28" t="s">
        <v>5507</v>
      </c>
      <c r="E406" s="199"/>
      <c r="F406" s="54" t="s">
        <v>5508</v>
      </c>
      <c r="G406" s="37" t="s">
        <v>2906</v>
      </c>
      <c r="H406" s="201">
        <v>3.5</v>
      </c>
      <c r="I406" s="193">
        <v>460000</v>
      </c>
      <c r="J406" s="193">
        <f>I406*0.1</f>
        <v>46000</v>
      </c>
      <c r="K406" s="193">
        <v>0</v>
      </c>
      <c r="L406" s="193">
        <v>8540</v>
      </c>
      <c r="M406" s="193">
        <v>22000</v>
      </c>
      <c r="N406" s="193">
        <f>SUM(I406:M407)</f>
        <v>536540</v>
      </c>
      <c r="O406" s="191"/>
      <c r="P406" s="147" t="s">
        <v>5509</v>
      </c>
      <c r="Q406" s="29" t="s">
        <v>82</v>
      </c>
      <c r="R406" s="81"/>
      <c r="S406" s="48" t="s">
        <v>5510</v>
      </c>
      <c r="T406" s="50"/>
      <c r="U406" s="30" t="s">
        <v>5511</v>
      </c>
      <c r="V406" s="58">
        <v>45934</v>
      </c>
      <c r="W406" s="52">
        <v>1270</v>
      </c>
      <c r="X406" s="193">
        <v>580000</v>
      </c>
      <c r="Y406" s="193">
        <f>X406*0.1</f>
        <v>58000</v>
      </c>
      <c r="Z406" s="193">
        <v>8540</v>
      </c>
      <c r="AA406" s="193">
        <f>SUM(X406:Z406)</f>
        <v>646540</v>
      </c>
      <c r="AB406" s="195">
        <v>45944</v>
      </c>
      <c r="AC406"/>
    </row>
    <row r="407" spans="1:29" ht="17.100000000000001" customHeight="1" thickBot="1">
      <c r="A407" s="198"/>
      <c r="B407" s="31" t="s">
        <v>2530</v>
      </c>
      <c r="C407" s="31">
        <v>50135</v>
      </c>
      <c r="D407" s="32" t="s">
        <v>1987</v>
      </c>
      <c r="E407" s="200"/>
      <c r="F407" s="43" t="s">
        <v>5512</v>
      </c>
      <c r="G407" s="38">
        <v>75848</v>
      </c>
      <c r="H407" s="202"/>
      <c r="I407" s="194"/>
      <c r="J407" s="194"/>
      <c r="K407" s="194"/>
      <c r="L407" s="194"/>
      <c r="M407" s="194"/>
      <c r="N407" s="194"/>
      <c r="O407" s="192"/>
      <c r="P407" s="148" t="s">
        <v>5513</v>
      </c>
      <c r="Q407" s="33" t="s">
        <v>86</v>
      </c>
      <c r="R407" s="34" t="s">
        <v>1852</v>
      </c>
      <c r="S407" s="44" t="s">
        <v>5514</v>
      </c>
      <c r="T407" s="46"/>
      <c r="U407" s="35"/>
      <c r="V407" s="56" t="s">
        <v>3200</v>
      </c>
      <c r="W407" s="46">
        <v>60139</v>
      </c>
      <c r="X407" s="194"/>
      <c r="Y407" s="194"/>
      <c r="Z407" s="194"/>
      <c r="AA407" s="194"/>
      <c r="AB407" s="196"/>
      <c r="AC407"/>
    </row>
    <row r="408" spans="1:29" ht="17.100000000000001" customHeight="1" thickTop="1">
      <c r="A408" s="197" t="s">
        <v>5515</v>
      </c>
      <c r="B408" s="26">
        <v>45911</v>
      </c>
      <c r="C408" s="36">
        <v>1297</v>
      </c>
      <c r="D408" s="28" t="s">
        <v>2700</v>
      </c>
      <c r="E408" s="199"/>
      <c r="F408" s="54" t="s">
        <v>5516</v>
      </c>
      <c r="G408" s="37"/>
      <c r="H408" s="201">
        <v>4.5</v>
      </c>
      <c r="I408" s="193">
        <v>1145000</v>
      </c>
      <c r="J408" s="193">
        <f>I408*0.1</f>
        <v>114500</v>
      </c>
      <c r="K408" s="193">
        <v>0</v>
      </c>
      <c r="L408" s="193">
        <v>20950</v>
      </c>
      <c r="M408" s="193">
        <v>14300</v>
      </c>
      <c r="N408" s="193">
        <f>SUM(I408:M409)</f>
        <v>1294750</v>
      </c>
      <c r="O408" s="191"/>
      <c r="P408" s="147" t="s">
        <v>5517</v>
      </c>
      <c r="Q408" s="29" t="s">
        <v>82</v>
      </c>
      <c r="R408" s="81"/>
      <c r="S408" s="48" t="s">
        <v>5518</v>
      </c>
      <c r="T408" s="50"/>
      <c r="U408" s="30"/>
      <c r="V408" s="58">
        <v>45934</v>
      </c>
      <c r="W408" s="52">
        <v>1270</v>
      </c>
      <c r="X408" s="193">
        <v>1220000</v>
      </c>
      <c r="Y408" s="193">
        <f>X408*0.1</f>
        <v>122000</v>
      </c>
      <c r="Z408" s="193">
        <v>20950</v>
      </c>
      <c r="AA408" s="193">
        <f>SUM(X408:Z408)</f>
        <v>1362950</v>
      </c>
      <c r="AB408" s="195">
        <v>45937</v>
      </c>
      <c r="AC408"/>
    </row>
    <row r="409" spans="1:29" ht="17.100000000000001" customHeight="1" thickBot="1">
      <c r="A409" s="198"/>
      <c r="B409" s="31" t="s">
        <v>2017</v>
      </c>
      <c r="C409" s="31">
        <v>661</v>
      </c>
      <c r="D409" s="32" t="s">
        <v>2399</v>
      </c>
      <c r="E409" s="200"/>
      <c r="F409" s="43" t="s">
        <v>5519</v>
      </c>
      <c r="G409" s="38">
        <v>32960</v>
      </c>
      <c r="H409" s="202"/>
      <c r="I409" s="194"/>
      <c r="J409" s="194"/>
      <c r="K409" s="194"/>
      <c r="L409" s="194"/>
      <c r="M409" s="194"/>
      <c r="N409" s="194"/>
      <c r="O409" s="192"/>
      <c r="P409" s="148" t="s">
        <v>5520</v>
      </c>
      <c r="Q409" s="33" t="s">
        <v>86</v>
      </c>
      <c r="R409" s="34" t="s">
        <v>1852</v>
      </c>
      <c r="S409" s="44" t="s">
        <v>5521</v>
      </c>
      <c r="T409" s="46"/>
      <c r="U409" s="35"/>
      <c r="V409" s="56" t="s">
        <v>3800</v>
      </c>
      <c r="W409" s="46">
        <v>80010</v>
      </c>
      <c r="X409" s="194"/>
      <c r="Y409" s="194"/>
      <c r="Z409" s="194"/>
      <c r="AA409" s="194"/>
      <c r="AB409" s="196"/>
      <c r="AC409"/>
    </row>
    <row r="410" spans="1:29" ht="17.100000000000001" customHeight="1" thickTop="1">
      <c r="A410" s="197" t="s">
        <v>5522</v>
      </c>
      <c r="B410" s="26">
        <v>45911</v>
      </c>
      <c r="C410" s="36">
        <v>1297</v>
      </c>
      <c r="D410" s="28" t="s">
        <v>2175</v>
      </c>
      <c r="E410" s="199"/>
      <c r="F410" s="54" t="s">
        <v>5523</v>
      </c>
      <c r="G410" s="37"/>
      <c r="H410" s="201">
        <v>4.5</v>
      </c>
      <c r="I410" s="193">
        <v>1385000</v>
      </c>
      <c r="J410" s="193">
        <f>I410*0.1</f>
        <v>138500</v>
      </c>
      <c r="K410" s="193">
        <v>0</v>
      </c>
      <c r="L410" s="193">
        <v>19150</v>
      </c>
      <c r="M410" s="193">
        <v>14300</v>
      </c>
      <c r="N410" s="193">
        <f>SUM(I410:M411)</f>
        <v>1556950</v>
      </c>
      <c r="O410" s="191"/>
      <c r="P410" s="147" t="s">
        <v>5524</v>
      </c>
      <c r="Q410" s="29" t="s">
        <v>82</v>
      </c>
      <c r="R410" s="81"/>
      <c r="S410" s="48" t="s">
        <v>5525</v>
      </c>
      <c r="T410" s="50"/>
      <c r="U410" s="30"/>
      <c r="V410" s="58">
        <v>45934</v>
      </c>
      <c r="W410" s="52">
        <v>1270</v>
      </c>
      <c r="X410" s="193">
        <v>1410000</v>
      </c>
      <c r="Y410" s="193">
        <f>X410*0.1</f>
        <v>141000</v>
      </c>
      <c r="Z410" s="193">
        <v>19150</v>
      </c>
      <c r="AA410" s="193">
        <f>SUM(X410:Z410)</f>
        <v>1570150</v>
      </c>
      <c r="AB410" s="195">
        <v>45938</v>
      </c>
      <c r="AC410"/>
    </row>
    <row r="411" spans="1:29" ht="17.100000000000001" customHeight="1" thickBot="1">
      <c r="A411" s="198"/>
      <c r="B411" s="31" t="s">
        <v>2017</v>
      </c>
      <c r="C411" s="31">
        <v>805</v>
      </c>
      <c r="D411" s="32" t="s">
        <v>1987</v>
      </c>
      <c r="E411" s="200"/>
      <c r="F411" s="43" t="s">
        <v>5526</v>
      </c>
      <c r="G411" s="38">
        <v>48714</v>
      </c>
      <c r="H411" s="202"/>
      <c r="I411" s="194"/>
      <c r="J411" s="194"/>
      <c r="K411" s="194"/>
      <c r="L411" s="194"/>
      <c r="M411" s="194"/>
      <c r="N411" s="194"/>
      <c r="O411" s="192"/>
      <c r="P411" s="148" t="s">
        <v>2144</v>
      </c>
      <c r="Q411" s="33" t="s">
        <v>86</v>
      </c>
      <c r="R411" s="34" t="s">
        <v>1852</v>
      </c>
      <c r="S411" s="44" t="s">
        <v>5527</v>
      </c>
      <c r="T411" s="46"/>
      <c r="U411" s="35"/>
      <c r="V411" s="56" t="s">
        <v>3800</v>
      </c>
      <c r="W411" s="46">
        <v>80032</v>
      </c>
      <c r="X411" s="194"/>
      <c r="Y411" s="194"/>
      <c r="Z411" s="194"/>
      <c r="AA411" s="194"/>
      <c r="AB411" s="196"/>
      <c r="AC411"/>
    </row>
    <row r="412" spans="1:29" ht="17.100000000000001" customHeight="1" thickTop="1">
      <c r="A412" s="197" t="s">
        <v>5528</v>
      </c>
      <c r="B412" s="26">
        <v>45911</v>
      </c>
      <c r="C412" s="36">
        <v>2125</v>
      </c>
      <c r="D412" s="28" t="s">
        <v>5529</v>
      </c>
      <c r="E412" s="199"/>
      <c r="F412" s="54" t="s">
        <v>5530</v>
      </c>
      <c r="G412" s="37" t="s">
        <v>5531</v>
      </c>
      <c r="H412" s="201">
        <v>4</v>
      </c>
      <c r="I412" s="193">
        <v>177000</v>
      </c>
      <c r="J412" s="193">
        <f>I412*0.1</f>
        <v>17700</v>
      </c>
      <c r="K412" s="193">
        <v>0</v>
      </c>
      <c r="L412" s="193">
        <v>9470</v>
      </c>
      <c r="M412" s="193">
        <v>13750</v>
      </c>
      <c r="N412" s="193">
        <f>SUM(I412:M413)</f>
        <v>217920</v>
      </c>
      <c r="O412" s="191"/>
      <c r="P412" s="147" t="s">
        <v>5532</v>
      </c>
      <c r="Q412" s="29" t="s">
        <v>82</v>
      </c>
      <c r="R412" s="81"/>
      <c r="S412" s="48" t="s">
        <v>5533</v>
      </c>
      <c r="T412" s="50"/>
      <c r="U412" s="30"/>
      <c r="V412" s="58">
        <v>45948</v>
      </c>
      <c r="W412" s="52">
        <v>1272</v>
      </c>
      <c r="X412" s="193">
        <v>240000</v>
      </c>
      <c r="Y412" s="193">
        <f>X412*0.1</f>
        <v>24000</v>
      </c>
      <c r="Z412" s="193">
        <v>9470</v>
      </c>
      <c r="AA412" s="193">
        <f>SUM(X412:Z412)</f>
        <v>273470</v>
      </c>
      <c r="AB412" s="195">
        <v>45958</v>
      </c>
      <c r="AC412"/>
    </row>
    <row r="413" spans="1:29" ht="17.100000000000001" customHeight="1" thickBot="1">
      <c r="A413" s="198"/>
      <c r="B413" s="31" t="s">
        <v>3790</v>
      </c>
      <c r="C413" s="31">
        <v>2032</v>
      </c>
      <c r="D413" s="32" t="s">
        <v>2346</v>
      </c>
      <c r="E413" s="200"/>
      <c r="F413" s="43" t="s">
        <v>5534</v>
      </c>
      <c r="G413" s="38">
        <v>56404</v>
      </c>
      <c r="H413" s="202"/>
      <c r="I413" s="194"/>
      <c r="J413" s="194"/>
      <c r="K413" s="194"/>
      <c r="L413" s="194"/>
      <c r="M413" s="194"/>
      <c r="N413" s="194"/>
      <c r="O413" s="192"/>
      <c r="P413" s="148" t="s">
        <v>5535</v>
      </c>
      <c r="Q413" s="33" t="s">
        <v>86</v>
      </c>
      <c r="R413" s="34" t="s">
        <v>2412</v>
      </c>
      <c r="S413" s="44" t="s">
        <v>2358</v>
      </c>
      <c r="T413" s="46"/>
      <c r="U413" s="35"/>
      <c r="V413" s="56" t="s">
        <v>3200</v>
      </c>
      <c r="W413" s="46">
        <v>60128</v>
      </c>
      <c r="X413" s="194"/>
      <c r="Y413" s="194"/>
      <c r="Z413" s="194"/>
      <c r="AA413" s="194"/>
      <c r="AB413" s="196"/>
      <c r="AC413"/>
    </row>
    <row r="414" spans="1:29" ht="17.100000000000001" customHeight="1" thickTop="1">
      <c r="A414" s="197" t="s">
        <v>5536</v>
      </c>
      <c r="B414" s="26">
        <v>45911</v>
      </c>
      <c r="C414" s="36">
        <v>2125</v>
      </c>
      <c r="D414" s="28" t="s">
        <v>3421</v>
      </c>
      <c r="E414" s="199"/>
      <c r="F414" s="54" t="s">
        <v>5537</v>
      </c>
      <c r="G414" s="37" t="s">
        <v>5538</v>
      </c>
      <c r="H414" s="201">
        <v>4.5</v>
      </c>
      <c r="I414" s="193">
        <v>1031000</v>
      </c>
      <c r="J414" s="193">
        <f>I414*0.1</f>
        <v>103100</v>
      </c>
      <c r="K414" s="193">
        <v>0</v>
      </c>
      <c r="L414" s="193">
        <v>7150</v>
      </c>
      <c r="M414" s="193">
        <v>13750</v>
      </c>
      <c r="N414" s="193">
        <f>SUM(I414:M415)</f>
        <v>1155000</v>
      </c>
      <c r="O414" s="191"/>
      <c r="P414" s="147" t="s">
        <v>5539</v>
      </c>
      <c r="Q414" s="29" t="s">
        <v>82</v>
      </c>
      <c r="R414" s="81"/>
      <c r="S414" s="48"/>
      <c r="T414" s="50"/>
      <c r="U414" s="30" t="s">
        <v>5540</v>
      </c>
      <c r="V414" s="58">
        <v>45934</v>
      </c>
      <c r="W414" s="52">
        <v>1270</v>
      </c>
      <c r="X414" s="193">
        <v>1105000</v>
      </c>
      <c r="Y414" s="193">
        <f>X414*0.1</f>
        <v>110500</v>
      </c>
      <c r="Z414" s="193">
        <v>7150</v>
      </c>
      <c r="AA414" s="193">
        <f>SUM(X414:Z414)</f>
        <v>1222650</v>
      </c>
      <c r="AB414" s="195">
        <v>45939</v>
      </c>
      <c r="AC414"/>
    </row>
    <row r="415" spans="1:29" ht="17.100000000000001" customHeight="1" thickBot="1">
      <c r="A415" s="198"/>
      <c r="B415" s="31" t="s">
        <v>3790</v>
      </c>
      <c r="C415" s="31">
        <v>2504</v>
      </c>
      <c r="D415" s="32" t="s">
        <v>399</v>
      </c>
      <c r="E415" s="200"/>
      <c r="F415" s="43" t="s">
        <v>5541</v>
      </c>
      <c r="G415" s="38">
        <v>29339</v>
      </c>
      <c r="H415" s="202"/>
      <c r="I415" s="194"/>
      <c r="J415" s="194"/>
      <c r="K415" s="194"/>
      <c r="L415" s="194"/>
      <c r="M415" s="194"/>
      <c r="N415" s="194"/>
      <c r="O415" s="192"/>
      <c r="P415" s="148" t="s">
        <v>5542</v>
      </c>
      <c r="Q415" s="33" t="s">
        <v>86</v>
      </c>
      <c r="R415" s="34" t="s">
        <v>1852</v>
      </c>
      <c r="S415" s="44" t="s">
        <v>5543</v>
      </c>
      <c r="T415" s="46"/>
      <c r="U415" s="35"/>
      <c r="V415" s="56" t="s">
        <v>3800</v>
      </c>
      <c r="W415" s="46">
        <v>60279</v>
      </c>
      <c r="X415" s="194"/>
      <c r="Y415" s="194"/>
      <c r="Z415" s="194"/>
      <c r="AA415" s="194"/>
      <c r="AB415" s="196"/>
      <c r="AC415"/>
    </row>
    <row r="416" spans="1:29" ht="17.100000000000001" customHeight="1" thickTop="1">
      <c r="A416" s="197" t="s">
        <v>5544</v>
      </c>
      <c r="B416" s="26">
        <v>45911</v>
      </c>
      <c r="C416" s="36">
        <v>2125</v>
      </c>
      <c r="D416" s="28" t="s">
        <v>1912</v>
      </c>
      <c r="E416" s="199"/>
      <c r="F416" s="54" t="s">
        <v>5545</v>
      </c>
      <c r="G416" s="37" t="s">
        <v>5546</v>
      </c>
      <c r="H416" s="201">
        <v>4</v>
      </c>
      <c r="I416" s="193">
        <v>1220000</v>
      </c>
      <c r="J416" s="193">
        <f>I416*0.1</f>
        <v>122000</v>
      </c>
      <c r="K416" s="193">
        <v>0</v>
      </c>
      <c r="L416" s="193">
        <v>8630</v>
      </c>
      <c r="M416" s="193">
        <v>13750</v>
      </c>
      <c r="N416" s="193">
        <f>SUM(I416:M417)</f>
        <v>1364380</v>
      </c>
      <c r="O416" s="191"/>
      <c r="P416" s="147" t="s">
        <v>5547</v>
      </c>
      <c r="Q416" s="29" t="s">
        <v>82</v>
      </c>
      <c r="R416" s="81"/>
      <c r="S416" s="48" t="s">
        <v>1500</v>
      </c>
      <c r="T416" s="50"/>
      <c r="U416" s="30" t="s">
        <v>5548</v>
      </c>
      <c r="V416" s="58">
        <v>46071</v>
      </c>
      <c r="W416" s="52">
        <v>1005</v>
      </c>
      <c r="X416" s="193">
        <v>1210000</v>
      </c>
      <c r="Y416" s="193">
        <f>X416*0.1</f>
        <v>121000</v>
      </c>
      <c r="Z416" s="193">
        <v>8630</v>
      </c>
      <c r="AA416" s="193">
        <f>SUM(X416:Z416)</f>
        <v>1339630</v>
      </c>
      <c r="AB416" s="195">
        <v>46073</v>
      </c>
      <c r="AC416"/>
    </row>
    <row r="417" spans="1:29" ht="17.100000000000001" customHeight="1" thickBot="1">
      <c r="A417" s="198"/>
      <c r="B417" s="31" t="s">
        <v>3790</v>
      </c>
      <c r="C417" s="31">
        <v>2509</v>
      </c>
      <c r="D417" s="32" t="s">
        <v>1832</v>
      </c>
      <c r="E417" s="200"/>
      <c r="F417" s="43" t="s">
        <v>5549</v>
      </c>
      <c r="G417" s="38">
        <v>43631</v>
      </c>
      <c r="H417" s="202"/>
      <c r="I417" s="194"/>
      <c r="J417" s="194"/>
      <c r="K417" s="194"/>
      <c r="L417" s="194"/>
      <c r="M417" s="194"/>
      <c r="N417" s="194"/>
      <c r="O417" s="192"/>
      <c r="P417" s="148" t="s">
        <v>5550</v>
      </c>
      <c r="Q417" s="33" t="s">
        <v>86</v>
      </c>
      <c r="R417" s="34" t="s">
        <v>1852</v>
      </c>
      <c r="S417" s="44" t="s">
        <v>2237</v>
      </c>
      <c r="T417" s="46"/>
      <c r="U417" s="35"/>
      <c r="V417" s="56" t="s">
        <v>104</v>
      </c>
      <c r="W417" s="46">
        <v>2038</v>
      </c>
      <c r="X417" s="194"/>
      <c r="Y417" s="194"/>
      <c r="Z417" s="194"/>
      <c r="AA417" s="194"/>
      <c r="AB417" s="196"/>
      <c r="AC417"/>
    </row>
    <row r="418" spans="1:29" ht="17.100000000000001" customHeight="1" thickTop="1">
      <c r="A418" s="197" t="s">
        <v>5551</v>
      </c>
      <c r="B418" s="26">
        <v>45911</v>
      </c>
      <c r="C418" s="36">
        <v>2125</v>
      </c>
      <c r="D418" s="28" t="s">
        <v>2274</v>
      </c>
      <c r="E418" s="199"/>
      <c r="F418" s="54" t="s">
        <v>5552</v>
      </c>
      <c r="G418" s="37" t="s">
        <v>4924</v>
      </c>
      <c r="H418" s="201">
        <v>4.5</v>
      </c>
      <c r="I418" s="193">
        <v>1040000</v>
      </c>
      <c r="J418" s="193">
        <f>I418*0.1</f>
        <v>104000</v>
      </c>
      <c r="K418" s="193">
        <v>0</v>
      </c>
      <c r="L418" s="193">
        <v>8430</v>
      </c>
      <c r="M418" s="193">
        <v>13750</v>
      </c>
      <c r="N418" s="193">
        <f>SUM(I418:M419)</f>
        <v>1166180</v>
      </c>
      <c r="O418" s="191"/>
      <c r="P418" s="147" t="s">
        <v>5553</v>
      </c>
      <c r="Q418" s="29" t="s">
        <v>82</v>
      </c>
      <c r="R418" s="81"/>
      <c r="S418" s="48" t="s">
        <v>1821</v>
      </c>
      <c r="T418" s="50"/>
      <c r="U418" s="30" t="s">
        <v>5554</v>
      </c>
      <c r="V418" s="58">
        <v>45941</v>
      </c>
      <c r="W418" s="52">
        <v>1271</v>
      </c>
      <c r="X418" s="193">
        <v>1140000</v>
      </c>
      <c r="Y418" s="193">
        <f>X418*0.1</f>
        <v>114000</v>
      </c>
      <c r="Z418" s="193">
        <v>8430</v>
      </c>
      <c r="AA418" s="193">
        <f>SUM(X418:Z418)</f>
        <v>1262430</v>
      </c>
      <c r="AB418" s="195">
        <v>45950</v>
      </c>
      <c r="AC418"/>
    </row>
    <row r="419" spans="1:29" ht="17.100000000000001" customHeight="1" thickBot="1">
      <c r="A419" s="198"/>
      <c r="B419" s="31" t="s">
        <v>3790</v>
      </c>
      <c r="C419" s="31">
        <v>2559</v>
      </c>
      <c r="D419" s="32" t="s">
        <v>399</v>
      </c>
      <c r="E419" s="200"/>
      <c r="F419" s="43" t="s">
        <v>5555</v>
      </c>
      <c r="G419" s="38">
        <v>8709</v>
      </c>
      <c r="H419" s="202"/>
      <c r="I419" s="194"/>
      <c r="J419" s="194"/>
      <c r="K419" s="194"/>
      <c r="L419" s="194"/>
      <c r="M419" s="194"/>
      <c r="N419" s="194"/>
      <c r="O419" s="192"/>
      <c r="P419" s="148" t="s">
        <v>5556</v>
      </c>
      <c r="Q419" s="33" t="s">
        <v>86</v>
      </c>
      <c r="R419" s="34" t="s">
        <v>1852</v>
      </c>
      <c r="S419" s="44" t="s">
        <v>5557</v>
      </c>
      <c r="T419" s="46"/>
      <c r="U419" s="35"/>
      <c r="V419" s="56" t="s">
        <v>521</v>
      </c>
      <c r="W419" s="46">
        <v>60260</v>
      </c>
      <c r="X419" s="194"/>
      <c r="Y419" s="194"/>
      <c r="Z419" s="194"/>
      <c r="AA419" s="194"/>
      <c r="AB419" s="196"/>
      <c r="AC419"/>
    </row>
    <row r="420" spans="1:29" ht="17.100000000000001" customHeight="1" thickTop="1">
      <c r="A420" s="197" t="s">
        <v>5558</v>
      </c>
      <c r="B420" s="26">
        <v>45911</v>
      </c>
      <c r="C420" s="36">
        <v>2125</v>
      </c>
      <c r="D420" s="28" t="s">
        <v>3483</v>
      </c>
      <c r="E420" s="199"/>
      <c r="F420" s="54" t="s">
        <v>5559</v>
      </c>
      <c r="G420" s="37"/>
      <c r="H420" s="201">
        <v>4</v>
      </c>
      <c r="I420" s="193">
        <v>1083000</v>
      </c>
      <c r="J420" s="193">
        <f>I420*0.1</f>
        <v>108300</v>
      </c>
      <c r="K420" s="193">
        <v>0</v>
      </c>
      <c r="L420" s="193">
        <v>7340</v>
      </c>
      <c r="M420" s="193">
        <v>13750</v>
      </c>
      <c r="N420" s="193">
        <f>SUM(I420:M421)</f>
        <v>1212390</v>
      </c>
      <c r="O420" s="191"/>
      <c r="P420" s="147" t="s">
        <v>5560</v>
      </c>
      <c r="Q420" s="29" t="s">
        <v>82</v>
      </c>
      <c r="R420" s="81"/>
      <c r="S420" s="48" t="s">
        <v>5561</v>
      </c>
      <c r="T420" s="50"/>
      <c r="U420" s="30"/>
      <c r="V420" s="58">
        <v>45948</v>
      </c>
      <c r="W420" s="52">
        <v>1272</v>
      </c>
      <c r="X420" s="193">
        <v>1145000</v>
      </c>
      <c r="Y420" s="193">
        <f>X420*0.1</f>
        <v>114500</v>
      </c>
      <c r="Z420" s="193">
        <v>7340</v>
      </c>
      <c r="AA420" s="193">
        <f>SUM(X420:Z420)</f>
        <v>1266840</v>
      </c>
      <c r="AB420" s="195">
        <v>45952</v>
      </c>
      <c r="AC420"/>
    </row>
    <row r="421" spans="1:29" ht="17.100000000000001" customHeight="1" thickBot="1">
      <c r="A421" s="198"/>
      <c r="B421" s="31" t="s">
        <v>3790</v>
      </c>
      <c r="C421" s="31">
        <v>2561</v>
      </c>
      <c r="D421" s="32" t="s">
        <v>399</v>
      </c>
      <c r="E421" s="200"/>
      <c r="F421" s="43" t="s">
        <v>5562</v>
      </c>
      <c r="G421" s="38">
        <v>21272</v>
      </c>
      <c r="H421" s="202"/>
      <c r="I421" s="194"/>
      <c r="J421" s="194"/>
      <c r="K421" s="194"/>
      <c r="L421" s="194"/>
      <c r="M421" s="194"/>
      <c r="N421" s="194"/>
      <c r="O421" s="192"/>
      <c r="P421" s="148" t="s">
        <v>5563</v>
      </c>
      <c r="Q421" s="33" t="s">
        <v>86</v>
      </c>
      <c r="R421" s="34" t="s">
        <v>1852</v>
      </c>
      <c r="S421" s="44" t="s">
        <v>5564</v>
      </c>
      <c r="T421" s="46"/>
      <c r="U421" s="35"/>
      <c r="V421" s="56" t="s">
        <v>521</v>
      </c>
      <c r="W421" s="46">
        <v>60235</v>
      </c>
      <c r="X421" s="194"/>
      <c r="Y421" s="194"/>
      <c r="Z421" s="194"/>
      <c r="AA421" s="194"/>
      <c r="AB421" s="196"/>
      <c r="AC421"/>
    </row>
    <row r="422" spans="1:29" ht="17.100000000000001" customHeight="1" thickTop="1">
      <c r="A422" s="197" t="s">
        <v>5565</v>
      </c>
      <c r="B422" s="26">
        <v>45911</v>
      </c>
      <c r="C422" s="36">
        <v>2125</v>
      </c>
      <c r="D422" s="28" t="s">
        <v>3483</v>
      </c>
      <c r="E422" s="199"/>
      <c r="F422" s="54" t="s">
        <v>2991</v>
      </c>
      <c r="G422" s="37" t="s">
        <v>5566</v>
      </c>
      <c r="H422" s="201">
        <v>4</v>
      </c>
      <c r="I422" s="193">
        <v>1208000</v>
      </c>
      <c r="J422" s="193">
        <f>I422*0.1</f>
        <v>120800</v>
      </c>
      <c r="K422" s="193">
        <v>0</v>
      </c>
      <c r="L422" s="193">
        <v>8390</v>
      </c>
      <c r="M422" s="193">
        <v>13750</v>
      </c>
      <c r="N422" s="193">
        <f>SUM(I422:M423)</f>
        <v>1350940</v>
      </c>
      <c r="O422" s="191"/>
      <c r="P422" s="147" t="s">
        <v>5567</v>
      </c>
      <c r="Q422" s="29" t="s">
        <v>82</v>
      </c>
      <c r="R422" s="81"/>
      <c r="S422" s="48" t="s">
        <v>5568</v>
      </c>
      <c r="T422" s="50"/>
      <c r="U422" s="30" t="s">
        <v>5569</v>
      </c>
      <c r="V422" s="58">
        <v>45959</v>
      </c>
      <c r="W422" s="52">
        <v>990</v>
      </c>
      <c r="X422" s="193">
        <v>1280000</v>
      </c>
      <c r="Y422" s="193">
        <f>X422*0.1</f>
        <v>128000</v>
      </c>
      <c r="Z422" s="193">
        <v>8390</v>
      </c>
      <c r="AA422" s="193">
        <f>SUM(X422:Z422)</f>
        <v>1416390</v>
      </c>
      <c r="AB422" s="195">
        <v>45965</v>
      </c>
      <c r="AC422"/>
    </row>
    <row r="423" spans="1:29" ht="17.100000000000001" customHeight="1" thickBot="1">
      <c r="A423" s="198"/>
      <c r="B423" s="31" t="s">
        <v>3790</v>
      </c>
      <c r="C423" s="31">
        <v>2562</v>
      </c>
      <c r="D423" s="32" t="s">
        <v>2089</v>
      </c>
      <c r="E423" s="200"/>
      <c r="F423" s="43" t="s">
        <v>5570</v>
      </c>
      <c r="G423" s="38">
        <v>42630</v>
      </c>
      <c r="H423" s="202"/>
      <c r="I423" s="194"/>
      <c r="J423" s="194"/>
      <c r="K423" s="194"/>
      <c r="L423" s="194"/>
      <c r="M423" s="194"/>
      <c r="N423" s="194"/>
      <c r="O423" s="192"/>
      <c r="P423" s="148" t="s">
        <v>2667</v>
      </c>
      <c r="Q423" s="33" t="s">
        <v>86</v>
      </c>
      <c r="R423" s="34" t="s">
        <v>1852</v>
      </c>
      <c r="S423" s="44" t="s">
        <v>5571</v>
      </c>
      <c r="T423" s="46"/>
      <c r="U423" s="35"/>
      <c r="V423" s="56" t="s">
        <v>5235</v>
      </c>
      <c r="W423" s="46">
        <v>2093</v>
      </c>
      <c r="X423" s="194"/>
      <c r="Y423" s="194"/>
      <c r="Z423" s="194"/>
      <c r="AA423" s="194"/>
      <c r="AB423" s="196"/>
      <c r="AC423"/>
    </row>
    <row r="424" spans="1:29" ht="17.100000000000001" customHeight="1" thickTop="1">
      <c r="A424" s="197" t="s">
        <v>5572</v>
      </c>
      <c r="B424" s="26">
        <v>45911</v>
      </c>
      <c r="C424" s="36">
        <v>1721</v>
      </c>
      <c r="D424" s="28" t="s">
        <v>3096</v>
      </c>
      <c r="E424" s="199"/>
      <c r="F424" s="54" t="s">
        <v>5573</v>
      </c>
      <c r="G424" s="37" t="s">
        <v>4899</v>
      </c>
      <c r="H424" s="201">
        <v>4</v>
      </c>
      <c r="I424" s="193">
        <v>1271000</v>
      </c>
      <c r="J424" s="193">
        <f>I424*0.1</f>
        <v>127100</v>
      </c>
      <c r="K424" s="193">
        <v>10800</v>
      </c>
      <c r="L424" s="193">
        <v>8550</v>
      </c>
      <c r="M424" s="193">
        <v>15400</v>
      </c>
      <c r="N424" s="193">
        <f>SUM(I424:M425)</f>
        <v>1432850</v>
      </c>
      <c r="O424" s="191"/>
      <c r="P424" s="147" t="s">
        <v>5574</v>
      </c>
      <c r="Q424" s="29" t="s">
        <v>82</v>
      </c>
      <c r="R424" s="81"/>
      <c r="S424" s="48" t="s">
        <v>5575</v>
      </c>
      <c r="T424" s="50"/>
      <c r="U424" s="30" t="s">
        <v>5576</v>
      </c>
      <c r="V424" s="58">
        <v>45941</v>
      </c>
      <c r="W424" s="52">
        <v>1271</v>
      </c>
      <c r="X424" s="193">
        <v>1355000</v>
      </c>
      <c r="Y424" s="193">
        <f>X424*0.1</f>
        <v>135500</v>
      </c>
      <c r="Z424" s="193">
        <v>8550</v>
      </c>
      <c r="AA424" s="193">
        <f>SUM(X424:Z424)</f>
        <v>1499050</v>
      </c>
      <c r="AB424" s="195">
        <v>45950</v>
      </c>
      <c r="AC424"/>
    </row>
    <row r="425" spans="1:29" ht="17.100000000000001" customHeight="1" thickBot="1">
      <c r="A425" s="198"/>
      <c r="B425" s="31" t="s">
        <v>5045</v>
      </c>
      <c r="C425" s="31">
        <v>3010</v>
      </c>
      <c r="D425" s="32" t="s">
        <v>95</v>
      </c>
      <c r="E425" s="200"/>
      <c r="F425" s="43" t="s">
        <v>5577</v>
      </c>
      <c r="G425" s="38">
        <v>50718</v>
      </c>
      <c r="H425" s="202"/>
      <c r="I425" s="194"/>
      <c r="J425" s="194"/>
      <c r="K425" s="194"/>
      <c r="L425" s="194"/>
      <c r="M425" s="194"/>
      <c r="N425" s="194"/>
      <c r="O425" s="192"/>
      <c r="P425" s="148" t="s">
        <v>5578</v>
      </c>
      <c r="Q425" s="33" t="s">
        <v>86</v>
      </c>
      <c r="R425" s="34" t="s">
        <v>1852</v>
      </c>
      <c r="S425" s="44" t="s">
        <v>5579</v>
      </c>
      <c r="T425" s="46"/>
      <c r="U425" s="35"/>
      <c r="V425" s="56" t="s">
        <v>521</v>
      </c>
      <c r="W425" s="46">
        <v>60245</v>
      </c>
      <c r="X425" s="194"/>
      <c r="Y425" s="194"/>
      <c r="Z425" s="194"/>
      <c r="AA425" s="194"/>
      <c r="AB425" s="196"/>
      <c r="AC425"/>
    </row>
    <row r="426" spans="1:29" ht="17.100000000000001" customHeight="1" thickTop="1">
      <c r="A426" s="197" t="s">
        <v>5580</v>
      </c>
      <c r="B426" s="26">
        <v>45912</v>
      </c>
      <c r="C426" s="36">
        <v>1758</v>
      </c>
      <c r="D426" s="28" t="s">
        <v>1855</v>
      </c>
      <c r="E426" s="199"/>
      <c r="F426" s="54" t="s">
        <v>2155</v>
      </c>
      <c r="G426" s="37"/>
      <c r="H426" s="201">
        <v>4</v>
      </c>
      <c r="I426" s="193">
        <v>1291000</v>
      </c>
      <c r="J426" s="193">
        <f>I426*0.1</f>
        <v>129100</v>
      </c>
      <c r="K426" s="193">
        <v>0</v>
      </c>
      <c r="L426" s="193">
        <v>17600</v>
      </c>
      <c r="M426" s="193">
        <v>16500</v>
      </c>
      <c r="N426" s="193">
        <f>SUM(I426:M427)</f>
        <v>1454200</v>
      </c>
      <c r="O426" s="191"/>
      <c r="P426" s="147" t="s">
        <v>5581</v>
      </c>
      <c r="Q426" s="29" t="s">
        <v>82</v>
      </c>
      <c r="R426" s="81"/>
      <c r="S426" s="48" t="s">
        <v>1647</v>
      </c>
      <c r="T426" s="50"/>
      <c r="U426" s="30"/>
      <c r="V426" s="58">
        <v>45941</v>
      </c>
      <c r="W426" s="52">
        <v>1271</v>
      </c>
      <c r="X426" s="193">
        <v>1445000</v>
      </c>
      <c r="Y426" s="193">
        <f>X426*0.1</f>
        <v>144500</v>
      </c>
      <c r="Z426" s="193">
        <v>17600</v>
      </c>
      <c r="AA426" s="193">
        <f>SUM(X426:Z426)</f>
        <v>1607100</v>
      </c>
      <c r="AB426" s="195">
        <v>45944</v>
      </c>
      <c r="AC426"/>
    </row>
    <row r="427" spans="1:29" ht="17.100000000000001" customHeight="1" thickBot="1">
      <c r="A427" s="198"/>
      <c r="B427" s="31" t="s">
        <v>2867</v>
      </c>
      <c r="C427" s="31">
        <v>3405</v>
      </c>
      <c r="D427" s="32" t="s">
        <v>1832</v>
      </c>
      <c r="E427" s="200"/>
      <c r="F427" s="43" t="s">
        <v>5582</v>
      </c>
      <c r="G427" s="38">
        <v>25688</v>
      </c>
      <c r="H427" s="202"/>
      <c r="I427" s="194"/>
      <c r="J427" s="194"/>
      <c r="K427" s="194"/>
      <c r="L427" s="194"/>
      <c r="M427" s="194"/>
      <c r="N427" s="194"/>
      <c r="O427" s="192"/>
      <c r="P427" s="148" t="s">
        <v>5583</v>
      </c>
      <c r="Q427" s="33" t="s">
        <v>86</v>
      </c>
      <c r="R427" s="34" t="s">
        <v>1852</v>
      </c>
      <c r="S427" s="44" t="s">
        <v>96</v>
      </c>
      <c r="T427" s="46"/>
      <c r="U427" s="35"/>
      <c r="V427" s="56" t="s">
        <v>521</v>
      </c>
      <c r="W427" s="46">
        <v>80227</v>
      </c>
      <c r="X427" s="194"/>
      <c r="Y427" s="194"/>
      <c r="Z427" s="194"/>
      <c r="AA427" s="194"/>
      <c r="AB427" s="196"/>
      <c r="AC427"/>
    </row>
    <row r="428" spans="1:29" ht="17.100000000000001" customHeight="1" thickTop="1">
      <c r="A428" s="197" t="s">
        <v>5589</v>
      </c>
      <c r="B428" s="26">
        <v>45912</v>
      </c>
      <c r="C428" s="36">
        <v>2101</v>
      </c>
      <c r="D428" s="28" t="s">
        <v>2136</v>
      </c>
      <c r="E428" s="199"/>
      <c r="F428" s="54" t="s">
        <v>5590</v>
      </c>
      <c r="G428" s="37" t="s">
        <v>5591</v>
      </c>
      <c r="H428" s="201">
        <v>4</v>
      </c>
      <c r="I428" s="193">
        <v>775000</v>
      </c>
      <c r="J428" s="193">
        <f>I428*0.1</f>
        <v>77500</v>
      </c>
      <c r="K428" s="193">
        <v>0</v>
      </c>
      <c r="L428" s="193">
        <v>7150</v>
      </c>
      <c r="M428" s="193">
        <v>16500</v>
      </c>
      <c r="N428" s="193">
        <f>SUM(I428:M429)</f>
        <v>876150</v>
      </c>
      <c r="O428" s="191"/>
      <c r="P428" s="147" t="s">
        <v>5592</v>
      </c>
      <c r="Q428" s="29" t="s">
        <v>82</v>
      </c>
      <c r="R428" s="81"/>
      <c r="S428" s="48" t="s">
        <v>940</v>
      </c>
      <c r="T428" s="50"/>
      <c r="U428" s="30"/>
      <c r="V428" s="58">
        <v>45969</v>
      </c>
      <c r="W428" s="52">
        <v>1275</v>
      </c>
      <c r="X428" s="193">
        <v>850000</v>
      </c>
      <c r="Y428" s="193">
        <f>X428*0.1</f>
        <v>85000</v>
      </c>
      <c r="Z428" s="193">
        <v>7150</v>
      </c>
      <c r="AA428" s="193">
        <f>SUM(X428:Z428)</f>
        <v>942150</v>
      </c>
      <c r="AB428" s="195">
        <v>45972</v>
      </c>
      <c r="AC428"/>
    </row>
    <row r="429" spans="1:29" ht="17.100000000000001" customHeight="1" thickBot="1">
      <c r="A429" s="198"/>
      <c r="B429" s="31" t="s">
        <v>1797</v>
      </c>
      <c r="C429" s="31">
        <v>55344</v>
      </c>
      <c r="D429" s="32" t="s">
        <v>4487</v>
      </c>
      <c r="E429" s="200"/>
      <c r="F429" s="43" t="s">
        <v>5593</v>
      </c>
      <c r="G429" s="38">
        <v>54696</v>
      </c>
      <c r="H429" s="202"/>
      <c r="I429" s="194"/>
      <c r="J429" s="194"/>
      <c r="K429" s="194"/>
      <c r="L429" s="194"/>
      <c r="M429" s="194"/>
      <c r="N429" s="194"/>
      <c r="O429" s="192"/>
      <c r="P429" s="148" t="s">
        <v>1917</v>
      </c>
      <c r="Q429" s="33" t="s">
        <v>86</v>
      </c>
      <c r="R429" s="34" t="s">
        <v>5491</v>
      </c>
      <c r="S429" s="44" t="s">
        <v>5115</v>
      </c>
      <c r="T429" s="46"/>
      <c r="U429" s="35"/>
      <c r="V429" s="56" t="s">
        <v>521</v>
      </c>
      <c r="W429" s="46">
        <v>60167</v>
      </c>
      <c r="X429" s="194"/>
      <c r="Y429" s="194"/>
      <c r="Z429" s="194"/>
      <c r="AA429" s="194"/>
      <c r="AB429" s="196"/>
      <c r="AC429"/>
    </row>
    <row r="430" spans="1:29" ht="17.100000000000001" customHeight="1" thickTop="1">
      <c r="A430" s="197" t="s">
        <v>5594</v>
      </c>
      <c r="B430" s="26">
        <v>45912</v>
      </c>
      <c r="C430" s="36">
        <v>2101</v>
      </c>
      <c r="D430" s="28" t="s">
        <v>3086</v>
      </c>
      <c r="E430" s="199"/>
      <c r="F430" s="54" t="s">
        <v>5595</v>
      </c>
      <c r="G430" s="37" t="s">
        <v>2373</v>
      </c>
      <c r="H430" s="201">
        <v>4.5</v>
      </c>
      <c r="I430" s="193">
        <v>1255000</v>
      </c>
      <c r="J430" s="193">
        <f>I430*0.1</f>
        <v>125500</v>
      </c>
      <c r="K430" s="193">
        <v>0</v>
      </c>
      <c r="L430" s="193">
        <v>6830</v>
      </c>
      <c r="M430" s="193">
        <v>16500</v>
      </c>
      <c r="N430" s="193">
        <f>SUM(I430:M431)</f>
        <v>1403830</v>
      </c>
      <c r="O430" s="191"/>
      <c r="P430" s="147" t="s">
        <v>5596</v>
      </c>
      <c r="Q430" s="29" t="s">
        <v>82</v>
      </c>
      <c r="R430" s="81"/>
      <c r="S430" s="48" t="s">
        <v>1540</v>
      </c>
      <c r="T430" s="50"/>
      <c r="U430" s="30" t="s">
        <v>5597</v>
      </c>
      <c r="V430" s="58">
        <v>45937</v>
      </c>
      <c r="W430" s="52">
        <v>1912</v>
      </c>
      <c r="X430" s="193">
        <v>1276000</v>
      </c>
      <c r="Y430" s="193">
        <f>X430*0.1</f>
        <v>127600</v>
      </c>
      <c r="Z430" s="193">
        <v>6830</v>
      </c>
      <c r="AA430" s="193">
        <f>SUM(X430:Z430)</f>
        <v>1410430</v>
      </c>
      <c r="AB430" s="195"/>
      <c r="AC430"/>
    </row>
    <row r="431" spans="1:29" ht="17.100000000000001" customHeight="1" thickBot="1">
      <c r="A431" s="198"/>
      <c r="B431" s="31" t="s">
        <v>1797</v>
      </c>
      <c r="C431" s="31">
        <v>55373</v>
      </c>
      <c r="D431" s="32" t="s">
        <v>1832</v>
      </c>
      <c r="E431" s="200"/>
      <c r="F431" s="43" t="s">
        <v>5598</v>
      </c>
      <c r="G431" s="38">
        <v>54377</v>
      </c>
      <c r="H431" s="202"/>
      <c r="I431" s="194"/>
      <c r="J431" s="194"/>
      <c r="K431" s="194"/>
      <c r="L431" s="194"/>
      <c r="M431" s="194"/>
      <c r="N431" s="194"/>
      <c r="O431" s="192"/>
      <c r="P431" s="148" t="s">
        <v>5599</v>
      </c>
      <c r="Q431" s="33" t="s">
        <v>86</v>
      </c>
      <c r="R431" s="34" t="s">
        <v>1852</v>
      </c>
      <c r="S431" s="44" t="s">
        <v>1872</v>
      </c>
      <c r="T431" s="46"/>
      <c r="U431" s="35"/>
      <c r="V431" s="56" t="s">
        <v>2450</v>
      </c>
      <c r="W431" s="46">
        <v>3149</v>
      </c>
      <c r="X431" s="194"/>
      <c r="Y431" s="194"/>
      <c r="Z431" s="194"/>
      <c r="AA431" s="194"/>
      <c r="AB431" s="196"/>
      <c r="AC431"/>
    </row>
    <row r="432" spans="1:29" ht="17.100000000000001" customHeight="1" thickTop="1">
      <c r="A432" s="197" t="s">
        <v>5600</v>
      </c>
      <c r="B432" s="26">
        <v>45912</v>
      </c>
      <c r="C432" s="36">
        <v>2101</v>
      </c>
      <c r="D432" s="28" t="s">
        <v>2069</v>
      </c>
      <c r="E432" s="199"/>
      <c r="F432" s="54" t="s">
        <v>5601</v>
      </c>
      <c r="G432" s="37"/>
      <c r="H432" s="201">
        <v>4</v>
      </c>
      <c r="I432" s="193">
        <v>985000</v>
      </c>
      <c r="J432" s="193">
        <f>I432*0.1</f>
        <v>98500</v>
      </c>
      <c r="K432" s="193">
        <v>0</v>
      </c>
      <c r="L432" s="193">
        <v>9170</v>
      </c>
      <c r="M432" s="193">
        <v>16500</v>
      </c>
      <c r="N432" s="193">
        <f>SUM(I432:M433)</f>
        <v>1109170</v>
      </c>
      <c r="O432" s="191"/>
      <c r="P432" s="147" t="s">
        <v>5602</v>
      </c>
      <c r="Q432" s="29" t="s">
        <v>82</v>
      </c>
      <c r="R432" s="81"/>
      <c r="S432" s="48"/>
      <c r="T432" s="50"/>
      <c r="U432" s="30"/>
      <c r="V432" s="58">
        <v>46046</v>
      </c>
      <c r="W432" s="52">
        <v>1285</v>
      </c>
      <c r="X432" s="193">
        <v>915000</v>
      </c>
      <c r="Y432" s="193">
        <f>X432*0.1</f>
        <v>91500</v>
      </c>
      <c r="Z432" s="193">
        <v>9170</v>
      </c>
      <c r="AA432" s="193">
        <f>SUM(X432:Z432)</f>
        <v>1015670</v>
      </c>
      <c r="AB432" s="195">
        <v>46049</v>
      </c>
      <c r="AC432"/>
    </row>
    <row r="433" spans="1:29" ht="17.100000000000001" customHeight="1" thickBot="1">
      <c r="A433" s="198"/>
      <c r="B433" s="31" t="s">
        <v>1797</v>
      </c>
      <c r="C433" s="31">
        <v>55460</v>
      </c>
      <c r="D433" s="32" t="s">
        <v>399</v>
      </c>
      <c r="E433" s="200"/>
      <c r="F433" s="43" t="s">
        <v>5603</v>
      </c>
      <c r="G433" s="38">
        <v>51520</v>
      </c>
      <c r="H433" s="202"/>
      <c r="I433" s="194"/>
      <c r="J433" s="194"/>
      <c r="K433" s="194"/>
      <c r="L433" s="194"/>
      <c r="M433" s="194"/>
      <c r="N433" s="194"/>
      <c r="O433" s="192"/>
      <c r="P433" s="148" t="s">
        <v>3061</v>
      </c>
      <c r="Q433" s="33" t="s">
        <v>86</v>
      </c>
      <c r="R433" s="34" t="s">
        <v>1827</v>
      </c>
      <c r="S433" s="44"/>
      <c r="T433" s="46"/>
      <c r="U433" s="35"/>
      <c r="V433" s="56" t="s">
        <v>521</v>
      </c>
      <c r="W433" s="46">
        <v>60076</v>
      </c>
      <c r="X433" s="194"/>
      <c r="Y433" s="194"/>
      <c r="Z433" s="194"/>
      <c r="AA433" s="194"/>
      <c r="AB433" s="196"/>
      <c r="AC433"/>
    </row>
    <row r="434" spans="1:29" ht="17.100000000000001" customHeight="1" thickTop="1">
      <c r="A434" s="197" t="s">
        <v>5604</v>
      </c>
      <c r="B434" s="26">
        <v>45912</v>
      </c>
      <c r="C434" s="36">
        <v>2101</v>
      </c>
      <c r="D434" s="28" t="s">
        <v>2677</v>
      </c>
      <c r="E434" s="199"/>
      <c r="F434" s="54" t="s">
        <v>5605</v>
      </c>
      <c r="G434" s="37" t="s">
        <v>1801</v>
      </c>
      <c r="H434" s="201">
        <v>4.5</v>
      </c>
      <c r="I434" s="193">
        <v>760000</v>
      </c>
      <c r="J434" s="193">
        <v>76000</v>
      </c>
      <c r="K434" s="193">
        <f>15200+1520</f>
        <v>16720</v>
      </c>
      <c r="L434" s="193">
        <v>19090</v>
      </c>
      <c r="M434" s="193">
        <v>27500</v>
      </c>
      <c r="N434" s="193">
        <f>SUM(I434:M435)</f>
        <v>899310</v>
      </c>
      <c r="O434" s="191"/>
      <c r="P434" s="147" t="s">
        <v>5606</v>
      </c>
      <c r="Q434" s="29" t="s">
        <v>82</v>
      </c>
      <c r="R434" s="81"/>
      <c r="S434" s="48" t="s">
        <v>1666</v>
      </c>
      <c r="T434" s="50"/>
      <c r="U434" s="30" t="s">
        <v>5607</v>
      </c>
      <c r="V434" s="58">
        <v>45948</v>
      </c>
      <c r="W434" s="52">
        <v>1272</v>
      </c>
      <c r="X434" s="193">
        <v>850000</v>
      </c>
      <c r="Y434" s="193">
        <f>X434*0.1</f>
        <v>85000</v>
      </c>
      <c r="Z434" s="193">
        <v>19090</v>
      </c>
      <c r="AA434" s="193">
        <f>SUM(X434:Z434)</f>
        <v>954090</v>
      </c>
      <c r="AB434" s="195">
        <v>45951</v>
      </c>
      <c r="AC434"/>
    </row>
    <row r="435" spans="1:29" ht="17.100000000000001" customHeight="1" thickBot="1">
      <c r="A435" s="198"/>
      <c r="B435" s="31" t="s">
        <v>1797</v>
      </c>
      <c r="C435" s="31">
        <v>58696</v>
      </c>
      <c r="D435" s="32" t="s">
        <v>3846</v>
      </c>
      <c r="E435" s="200"/>
      <c r="F435" s="43" t="s">
        <v>5608</v>
      </c>
      <c r="G435" s="38">
        <v>70960</v>
      </c>
      <c r="H435" s="202"/>
      <c r="I435" s="194"/>
      <c r="J435" s="194"/>
      <c r="K435" s="194"/>
      <c r="L435" s="194"/>
      <c r="M435" s="194"/>
      <c r="N435" s="194"/>
      <c r="O435" s="192"/>
      <c r="P435" s="148" t="s">
        <v>2667</v>
      </c>
      <c r="Q435" s="33" t="s">
        <v>86</v>
      </c>
      <c r="R435" s="34" t="s">
        <v>5387</v>
      </c>
      <c r="S435" s="44" t="s">
        <v>2000</v>
      </c>
      <c r="T435" s="46"/>
      <c r="U435" s="35"/>
      <c r="V435" s="56" t="s">
        <v>521</v>
      </c>
      <c r="W435" s="46">
        <v>80245</v>
      </c>
      <c r="X435" s="194"/>
      <c r="Y435" s="194"/>
      <c r="Z435" s="194"/>
      <c r="AA435" s="194"/>
      <c r="AB435" s="196"/>
      <c r="AC435"/>
    </row>
    <row r="436" spans="1:29" ht="17.100000000000001" customHeight="1" thickTop="1">
      <c r="A436" s="197" t="s">
        <v>5609</v>
      </c>
      <c r="B436" s="26">
        <v>45912</v>
      </c>
      <c r="C436" s="36"/>
      <c r="D436" s="28" t="s">
        <v>2071</v>
      </c>
      <c r="E436" s="199"/>
      <c r="F436" s="54" t="s">
        <v>5610</v>
      </c>
      <c r="G436" s="37" t="s">
        <v>5611</v>
      </c>
      <c r="H436" s="201">
        <v>4.5</v>
      </c>
      <c r="I436" s="193">
        <f>1611500/1.1</f>
        <v>1464999.9999999998</v>
      </c>
      <c r="J436" s="193">
        <f>I436*0.1</f>
        <v>146499.99999999997</v>
      </c>
      <c r="K436" s="193">
        <v>12700</v>
      </c>
      <c r="L436" s="193">
        <v>11510</v>
      </c>
      <c r="M436" s="193">
        <v>95288</v>
      </c>
      <c r="N436" s="193">
        <f>SUM(I436:M437)</f>
        <v>1730997.9999999998</v>
      </c>
      <c r="O436" s="191"/>
      <c r="P436" s="147" t="s">
        <v>5612</v>
      </c>
      <c r="Q436" s="29" t="s">
        <v>82</v>
      </c>
      <c r="R436" s="81"/>
      <c r="S436" s="48" t="s">
        <v>1500</v>
      </c>
      <c r="T436" s="50"/>
      <c r="U436" s="30"/>
      <c r="V436" s="58">
        <v>45941</v>
      </c>
      <c r="W436" s="52">
        <v>1271</v>
      </c>
      <c r="X436" s="193">
        <v>1535000</v>
      </c>
      <c r="Y436" s="193">
        <f>X436*0.1</f>
        <v>153500</v>
      </c>
      <c r="Z436" s="193">
        <v>11510</v>
      </c>
      <c r="AA436" s="193">
        <f>SUM(X436:Z436)</f>
        <v>1700010</v>
      </c>
      <c r="AB436" s="195">
        <v>45950</v>
      </c>
      <c r="AC436"/>
    </row>
    <row r="437" spans="1:29" ht="17.100000000000001" customHeight="1" thickBot="1">
      <c r="A437" s="198"/>
      <c r="B437" s="31" t="s">
        <v>1985</v>
      </c>
      <c r="C437" s="31" t="s">
        <v>5613</v>
      </c>
      <c r="D437" s="32" t="s">
        <v>1097</v>
      </c>
      <c r="E437" s="200"/>
      <c r="F437" s="43" t="s">
        <v>5614</v>
      </c>
      <c r="G437" s="38">
        <v>43000</v>
      </c>
      <c r="H437" s="202"/>
      <c r="I437" s="194"/>
      <c r="J437" s="194"/>
      <c r="K437" s="194"/>
      <c r="L437" s="194"/>
      <c r="M437" s="194"/>
      <c r="N437" s="194"/>
      <c r="O437" s="192"/>
      <c r="P437" s="148" t="s">
        <v>5615</v>
      </c>
      <c r="Q437" s="33" t="s">
        <v>86</v>
      </c>
      <c r="R437" s="34" t="s">
        <v>5020</v>
      </c>
      <c r="S437" s="44" t="s">
        <v>1872</v>
      </c>
      <c r="T437" s="46"/>
      <c r="U437" s="35"/>
      <c r="V437" s="56" t="s">
        <v>521</v>
      </c>
      <c r="W437" s="46">
        <v>37783</v>
      </c>
      <c r="X437" s="194"/>
      <c r="Y437" s="194"/>
      <c r="Z437" s="194"/>
      <c r="AA437" s="194"/>
      <c r="AB437" s="196"/>
      <c r="AC437"/>
    </row>
    <row r="438" spans="1:29" ht="17.100000000000001" customHeight="1" thickTop="1">
      <c r="A438" s="197" t="s">
        <v>5616</v>
      </c>
      <c r="B438" s="26">
        <v>45912</v>
      </c>
      <c r="C438" s="36"/>
      <c r="D438" s="28" t="s">
        <v>5152</v>
      </c>
      <c r="E438" s="199"/>
      <c r="F438" s="54" t="s">
        <v>5617</v>
      </c>
      <c r="G438" s="37" t="s">
        <v>5618</v>
      </c>
      <c r="H438" s="201">
        <v>4</v>
      </c>
      <c r="I438" s="193">
        <f>225500/1.1</f>
        <v>204999.99999999997</v>
      </c>
      <c r="J438" s="193">
        <f>I438*0.1</f>
        <v>20500</v>
      </c>
      <c r="K438" s="193">
        <v>0</v>
      </c>
      <c r="L438" s="193">
        <v>9460</v>
      </c>
      <c r="M438" s="193">
        <v>37922</v>
      </c>
      <c r="N438" s="193">
        <f>SUM(I438:M439)</f>
        <v>272882</v>
      </c>
      <c r="O438" s="191"/>
      <c r="P438" s="147" t="s">
        <v>5619</v>
      </c>
      <c r="Q438" s="29" t="s">
        <v>82</v>
      </c>
      <c r="R438" s="81"/>
      <c r="S438" s="48" t="s">
        <v>1326</v>
      </c>
      <c r="T438" s="50"/>
      <c r="U438" s="30"/>
      <c r="V438" s="58">
        <v>45934</v>
      </c>
      <c r="W438" s="52">
        <v>1270</v>
      </c>
      <c r="X438" s="193">
        <v>475000</v>
      </c>
      <c r="Y438" s="193">
        <f>X438*0.1</f>
        <v>47500</v>
      </c>
      <c r="Z438" s="193">
        <v>9460</v>
      </c>
      <c r="AA438" s="193">
        <f>SUM(X438:Z438)</f>
        <v>531960</v>
      </c>
      <c r="AB438" s="195">
        <v>45937</v>
      </c>
      <c r="AC438"/>
    </row>
    <row r="439" spans="1:29" ht="17.100000000000001" customHeight="1" thickBot="1">
      <c r="A439" s="198"/>
      <c r="B439" s="31" t="s">
        <v>1985</v>
      </c>
      <c r="C439" s="31" t="s">
        <v>5620</v>
      </c>
      <c r="D439" s="32" t="s">
        <v>4689</v>
      </c>
      <c r="E439" s="200"/>
      <c r="F439" s="43" t="s">
        <v>5621</v>
      </c>
      <c r="G439" s="38">
        <v>38060</v>
      </c>
      <c r="H439" s="202"/>
      <c r="I439" s="194"/>
      <c r="J439" s="194"/>
      <c r="K439" s="194"/>
      <c r="L439" s="194"/>
      <c r="M439" s="194"/>
      <c r="N439" s="194"/>
      <c r="O439" s="192"/>
      <c r="P439" s="148" t="s">
        <v>5622</v>
      </c>
      <c r="Q439" s="33" t="s">
        <v>86</v>
      </c>
      <c r="R439" s="34" t="s">
        <v>3503</v>
      </c>
      <c r="S439" s="44" t="s">
        <v>5623</v>
      </c>
      <c r="T439" s="46"/>
      <c r="U439" s="35"/>
      <c r="V439" s="56" t="s">
        <v>3800</v>
      </c>
      <c r="W439" s="46">
        <v>62054</v>
      </c>
      <c r="X439" s="194"/>
      <c r="Y439" s="194"/>
      <c r="Z439" s="194"/>
      <c r="AA439" s="194"/>
      <c r="AB439" s="196"/>
      <c r="AC439"/>
    </row>
    <row r="440" spans="1:29" ht="17.100000000000001" customHeight="1" thickTop="1">
      <c r="A440" s="197" t="s">
        <v>5624</v>
      </c>
      <c r="B440" s="26">
        <v>45912</v>
      </c>
      <c r="C440" s="36"/>
      <c r="D440" s="28" t="s">
        <v>2136</v>
      </c>
      <c r="E440" s="199"/>
      <c r="F440" s="54" t="s">
        <v>5625</v>
      </c>
      <c r="G440" s="37" t="s">
        <v>5626</v>
      </c>
      <c r="H440" s="201">
        <v>4.5</v>
      </c>
      <c r="I440" s="193">
        <f>2909500/1.1</f>
        <v>2645000</v>
      </c>
      <c r="J440" s="193">
        <f>I440*0.1</f>
        <v>264500</v>
      </c>
      <c r="K440" s="193">
        <v>15000</v>
      </c>
      <c r="L440" s="193">
        <v>12470</v>
      </c>
      <c r="M440" s="193">
        <v>127738</v>
      </c>
      <c r="N440" s="193">
        <f>SUM(I440:M441)</f>
        <v>3064708</v>
      </c>
      <c r="O440" s="191"/>
      <c r="P440" s="147" t="s">
        <v>5627</v>
      </c>
      <c r="Q440" s="29" t="s">
        <v>82</v>
      </c>
      <c r="R440" s="81"/>
      <c r="S440" s="48" t="s">
        <v>1500</v>
      </c>
      <c r="T440" s="50"/>
      <c r="U440" s="30"/>
      <c r="V440" s="58">
        <v>45934</v>
      </c>
      <c r="W440" s="52">
        <v>1270</v>
      </c>
      <c r="X440" s="193">
        <v>2590000</v>
      </c>
      <c r="Y440" s="193">
        <f>X440*0.1</f>
        <v>259000</v>
      </c>
      <c r="Z440" s="193">
        <v>12470</v>
      </c>
      <c r="AA440" s="193">
        <f>SUM(X440:Z440)</f>
        <v>2861470</v>
      </c>
      <c r="AB440" s="195">
        <v>45944</v>
      </c>
      <c r="AC440"/>
    </row>
    <row r="441" spans="1:29" ht="17.100000000000001" customHeight="1" thickBot="1">
      <c r="A441" s="198"/>
      <c r="B441" s="31" t="s">
        <v>1985</v>
      </c>
      <c r="C441" s="31" t="s">
        <v>5628</v>
      </c>
      <c r="D441" s="32" t="s">
        <v>399</v>
      </c>
      <c r="E441" s="200"/>
      <c r="F441" s="43" t="s">
        <v>5629</v>
      </c>
      <c r="G441" s="38">
        <v>53085</v>
      </c>
      <c r="H441" s="202"/>
      <c r="I441" s="194"/>
      <c r="J441" s="194"/>
      <c r="K441" s="194"/>
      <c r="L441" s="194"/>
      <c r="M441" s="194"/>
      <c r="N441" s="194"/>
      <c r="O441" s="192"/>
      <c r="P441" s="148" t="s">
        <v>5630</v>
      </c>
      <c r="Q441" s="33" t="s">
        <v>86</v>
      </c>
      <c r="R441" s="34" t="s">
        <v>4886</v>
      </c>
      <c r="S441" s="44" t="s">
        <v>4887</v>
      </c>
      <c r="T441" s="46"/>
      <c r="U441" s="35"/>
      <c r="V441" s="56" t="s">
        <v>3800</v>
      </c>
      <c r="W441" s="46">
        <v>37696</v>
      </c>
      <c r="X441" s="194"/>
      <c r="Y441" s="194"/>
      <c r="Z441" s="194"/>
      <c r="AA441" s="194"/>
      <c r="AB441" s="196"/>
      <c r="AC441"/>
    </row>
    <row r="442" spans="1:29" ht="17.100000000000001" customHeight="1" thickTop="1">
      <c r="A442" s="197" t="s">
        <v>5631</v>
      </c>
      <c r="B442" s="26">
        <v>45912</v>
      </c>
      <c r="C442" s="36">
        <v>50</v>
      </c>
      <c r="D442" s="28" t="s">
        <v>3096</v>
      </c>
      <c r="E442" s="199"/>
      <c r="F442" s="54" t="s">
        <v>5441</v>
      </c>
      <c r="G442" s="37" t="s">
        <v>2914</v>
      </c>
      <c r="H442" s="201">
        <v>5</v>
      </c>
      <c r="I442" s="193">
        <v>1100000</v>
      </c>
      <c r="J442" s="193">
        <f>I442*0.1</f>
        <v>110000</v>
      </c>
      <c r="K442" s="193">
        <v>0</v>
      </c>
      <c r="L442" s="193">
        <v>8640</v>
      </c>
      <c r="M442" s="193">
        <v>44000</v>
      </c>
      <c r="N442" s="193">
        <f>SUM(I442:M443)</f>
        <v>1262640</v>
      </c>
      <c r="O442" s="191"/>
      <c r="P442" s="147" t="s">
        <v>5632</v>
      </c>
      <c r="Q442" s="29" t="s">
        <v>82</v>
      </c>
      <c r="R442" s="81"/>
      <c r="S442" s="48" t="s">
        <v>1596</v>
      </c>
      <c r="T442" s="50"/>
      <c r="U442" s="30"/>
      <c r="V442" s="58">
        <v>45944</v>
      </c>
      <c r="W442" s="52">
        <v>1913</v>
      </c>
      <c r="X442" s="193">
        <v>1298000</v>
      </c>
      <c r="Y442" s="193">
        <f>X442*0.1</f>
        <v>129800</v>
      </c>
      <c r="Z442" s="193">
        <v>8640</v>
      </c>
      <c r="AA442" s="193">
        <f>SUM(X442:Z442)</f>
        <v>1436440</v>
      </c>
      <c r="AB442" s="195">
        <v>45950</v>
      </c>
      <c r="AC442"/>
    </row>
    <row r="443" spans="1:29" ht="17.100000000000001" customHeight="1" thickBot="1">
      <c r="A443" s="198"/>
      <c r="B443" s="31" t="s">
        <v>5355</v>
      </c>
      <c r="C443" s="31">
        <v>1034</v>
      </c>
      <c r="D443" s="32" t="s">
        <v>3226</v>
      </c>
      <c r="E443" s="200"/>
      <c r="F443" s="43" t="s">
        <v>5633</v>
      </c>
      <c r="G443" s="38">
        <v>13480</v>
      </c>
      <c r="H443" s="202"/>
      <c r="I443" s="194"/>
      <c r="J443" s="194"/>
      <c r="K443" s="194"/>
      <c r="L443" s="194"/>
      <c r="M443" s="194"/>
      <c r="N443" s="194"/>
      <c r="O443" s="192"/>
      <c r="P443" s="148" t="s">
        <v>5634</v>
      </c>
      <c r="Q443" s="33" t="s">
        <v>86</v>
      </c>
      <c r="R443" s="34" t="s">
        <v>5635</v>
      </c>
      <c r="S443" s="44" t="s">
        <v>96</v>
      </c>
      <c r="T443" s="46"/>
      <c r="U443" s="35"/>
      <c r="V443" s="56" t="s">
        <v>2450</v>
      </c>
      <c r="W443" s="46">
        <v>3441</v>
      </c>
      <c r="X443" s="194"/>
      <c r="Y443" s="194"/>
      <c r="Z443" s="194"/>
      <c r="AA443" s="194"/>
      <c r="AB443" s="196"/>
      <c r="AC443"/>
    </row>
    <row r="444" spans="1:29" ht="17.100000000000001" customHeight="1" thickTop="1">
      <c r="A444" s="197" t="s">
        <v>5636</v>
      </c>
      <c r="B444" s="26">
        <v>45912</v>
      </c>
      <c r="C444" s="36">
        <v>50</v>
      </c>
      <c r="D444" s="28" t="s">
        <v>2810</v>
      </c>
      <c r="E444" s="199"/>
      <c r="F444" s="54" t="s">
        <v>3842</v>
      </c>
      <c r="G444" s="37" t="s">
        <v>3295</v>
      </c>
      <c r="H444" s="201">
        <v>4</v>
      </c>
      <c r="I444" s="193">
        <v>860000</v>
      </c>
      <c r="J444" s="193">
        <f>I444*0.1</f>
        <v>86000</v>
      </c>
      <c r="K444" s="193">
        <v>0</v>
      </c>
      <c r="L444" s="193">
        <v>8110</v>
      </c>
      <c r="M444" s="193">
        <v>33000</v>
      </c>
      <c r="N444" s="193">
        <f>SUM(I444:M445)</f>
        <v>987110</v>
      </c>
      <c r="O444" s="191"/>
      <c r="P444" s="147" t="s">
        <v>5637</v>
      </c>
      <c r="Q444" s="29" t="s">
        <v>82</v>
      </c>
      <c r="R444" s="81"/>
      <c r="S444" s="48" t="s">
        <v>1596</v>
      </c>
      <c r="T444" s="50"/>
      <c r="U444" s="30"/>
      <c r="V444" s="58">
        <v>45965</v>
      </c>
      <c r="W444" s="52">
        <v>1916</v>
      </c>
      <c r="X444" s="193">
        <v>1003000</v>
      </c>
      <c r="Y444" s="193">
        <f>X444*0.1</f>
        <v>100300</v>
      </c>
      <c r="Z444" s="193">
        <v>8110</v>
      </c>
      <c r="AA444" s="193">
        <f>SUM(X444:Z444)</f>
        <v>1111410</v>
      </c>
      <c r="AB444" s="195">
        <v>45971</v>
      </c>
      <c r="AC444"/>
    </row>
    <row r="445" spans="1:29" ht="17.100000000000001" customHeight="1" thickBot="1">
      <c r="A445" s="198"/>
      <c r="B445" s="31" t="s">
        <v>5355</v>
      </c>
      <c r="C445" s="31">
        <v>2018</v>
      </c>
      <c r="D445" s="32" t="s">
        <v>2346</v>
      </c>
      <c r="E445" s="200"/>
      <c r="F445" s="43" t="s">
        <v>5638</v>
      </c>
      <c r="G445" s="38">
        <v>37476</v>
      </c>
      <c r="H445" s="202"/>
      <c r="I445" s="194"/>
      <c r="J445" s="194"/>
      <c r="K445" s="194"/>
      <c r="L445" s="194"/>
      <c r="M445" s="194"/>
      <c r="N445" s="194"/>
      <c r="O445" s="192"/>
      <c r="P445" s="148" t="s">
        <v>5019</v>
      </c>
      <c r="Q445" s="33" t="s">
        <v>86</v>
      </c>
      <c r="R445" s="34" t="s">
        <v>5639</v>
      </c>
      <c r="S445" s="44" t="s">
        <v>96</v>
      </c>
      <c r="T445" s="46"/>
      <c r="U445" s="35"/>
      <c r="V445" s="56" t="s">
        <v>2450</v>
      </c>
      <c r="W445" s="46">
        <v>3281</v>
      </c>
      <c r="X445" s="194"/>
      <c r="Y445" s="194"/>
      <c r="Z445" s="194"/>
      <c r="AA445" s="194"/>
      <c r="AB445" s="196"/>
      <c r="AC445"/>
    </row>
    <row r="446" spans="1:29" ht="17.100000000000001" customHeight="1" thickTop="1">
      <c r="A446" s="197" t="s">
        <v>5640</v>
      </c>
      <c r="B446" s="26">
        <v>45912</v>
      </c>
      <c r="C446" s="36">
        <v>1385</v>
      </c>
      <c r="D446" s="28" t="s">
        <v>2014</v>
      </c>
      <c r="E446" s="199"/>
      <c r="F446" s="54" t="s">
        <v>5641</v>
      </c>
      <c r="G446" s="37"/>
      <c r="H446" s="205" t="s">
        <v>1981</v>
      </c>
      <c r="I446" s="193">
        <v>408000</v>
      </c>
      <c r="J446" s="193">
        <f>I446*0.1</f>
        <v>40800</v>
      </c>
      <c r="K446" s="193">
        <v>0</v>
      </c>
      <c r="L446" s="193">
        <v>8400</v>
      </c>
      <c r="M446" s="193">
        <v>13200</v>
      </c>
      <c r="N446" s="193">
        <f>SUM(I446:M447)</f>
        <v>470400</v>
      </c>
      <c r="O446" s="191"/>
      <c r="P446" s="147" t="s">
        <v>5642</v>
      </c>
      <c r="Q446" s="29" t="s">
        <v>82</v>
      </c>
      <c r="R446" s="81"/>
      <c r="S446" s="48"/>
      <c r="T446" s="50"/>
      <c r="U446" s="30"/>
      <c r="V446" s="58">
        <v>46004</v>
      </c>
      <c r="W446" s="52">
        <v>1280</v>
      </c>
      <c r="X446" s="193">
        <v>415000</v>
      </c>
      <c r="Y446" s="193">
        <f>X446*0.1</f>
        <v>41500</v>
      </c>
      <c r="Z446" s="193">
        <v>8400</v>
      </c>
      <c r="AA446" s="193">
        <f>SUM(X446:Z446)</f>
        <v>464900</v>
      </c>
      <c r="AB446" s="195">
        <v>46008</v>
      </c>
      <c r="AC446"/>
    </row>
    <row r="447" spans="1:29" ht="17.100000000000001" customHeight="1" thickBot="1">
      <c r="A447" s="198"/>
      <c r="B447" s="31" t="s">
        <v>3039</v>
      </c>
      <c r="C447" s="31">
        <v>2189</v>
      </c>
      <c r="D447" s="32" t="s">
        <v>1987</v>
      </c>
      <c r="E447" s="200"/>
      <c r="F447" s="43" t="s">
        <v>5643</v>
      </c>
      <c r="G447" s="38">
        <v>53531</v>
      </c>
      <c r="H447" s="202"/>
      <c r="I447" s="194"/>
      <c r="J447" s="194"/>
      <c r="K447" s="194"/>
      <c r="L447" s="194"/>
      <c r="M447" s="194"/>
      <c r="N447" s="194"/>
      <c r="O447" s="192"/>
      <c r="P447" s="148" t="s">
        <v>5033</v>
      </c>
      <c r="Q447" s="33" t="s">
        <v>86</v>
      </c>
      <c r="R447" s="34" t="s">
        <v>1852</v>
      </c>
      <c r="S447" s="44" t="s">
        <v>5485</v>
      </c>
      <c r="T447" s="46"/>
      <c r="U447" s="35"/>
      <c r="V447" s="56" t="s">
        <v>521</v>
      </c>
      <c r="W447" s="46">
        <v>60064</v>
      </c>
      <c r="X447" s="194"/>
      <c r="Y447" s="194"/>
      <c r="Z447" s="194"/>
      <c r="AA447" s="194"/>
      <c r="AB447" s="196"/>
      <c r="AC447"/>
    </row>
    <row r="448" spans="1:29" ht="17.100000000000001" customHeight="1" thickTop="1">
      <c r="A448" s="197" t="s">
        <v>5644</v>
      </c>
      <c r="B448" s="26">
        <v>45912</v>
      </c>
      <c r="C448" s="36">
        <v>1385</v>
      </c>
      <c r="D448" s="28" t="s">
        <v>2112</v>
      </c>
      <c r="E448" s="199"/>
      <c r="F448" s="54" t="s">
        <v>5645</v>
      </c>
      <c r="G448" s="37" t="s">
        <v>5646</v>
      </c>
      <c r="H448" s="201">
        <v>4</v>
      </c>
      <c r="I448" s="193">
        <v>327000</v>
      </c>
      <c r="J448" s="193">
        <f>I448*0.1</f>
        <v>32700</v>
      </c>
      <c r="K448" s="193">
        <v>0</v>
      </c>
      <c r="L448" s="193">
        <v>8780</v>
      </c>
      <c r="M448" s="193">
        <v>13200</v>
      </c>
      <c r="N448" s="193">
        <f>SUM(I448:M449)</f>
        <v>381680</v>
      </c>
      <c r="O448" s="191"/>
      <c r="P448" s="147" t="s">
        <v>5647</v>
      </c>
      <c r="Q448" s="29" t="s">
        <v>82</v>
      </c>
      <c r="R448" s="81"/>
      <c r="S448" s="48"/>
      <c r="T448" s="50"/>
      <c r="U448" s="30" t="s">
        <v>5648</v>
      </c>
      <c r="V448" s="58">
        <v>45934</v>
      </c>
      <c r="W448" s="52">
        <v>1270</v>
      </c>
      <c r="X448" s="193">
        <v>400000</v>
      </c>
      <c r="Y448" s="193">
        <f>X448*0.1</f>
        <v>40000</v>
      </c>
      <c r="Z448" s="193">
        <v>8780</v>
      </c>
      <c r="AA448" s="193">
        <f>SUM(X448:Z448)</f>
        <v>448780</v>
      </c>
      <c r="AB448" s="195">
        <v>45944</v>
      </c>
      <c r="AC448"/>
    </row>
    <row r="449" spans="1:29" ht="17.100000000000001" customHeight="1" thickBot="1">
      <c r="A449" s="198"/>
      <c r="B449" s="31" t="s">
        <v>3039</v>
      </c>
      <c r="C449" s="31">
        <v>2223</v>
      </c>
      <c r="D449" s="32" t="s">
        <v>4487</v>
      </c>
      <c r="E449" s="200"/>
      <c r="F449" s="43" t="s">
        <v>5649</v>
      </c>
      <c r="G449" s="38">
        <v>61903</v>
      </c>
      <c r="H449" s="202"/>
      <c r="I449" s="194"/>
      <c r="J449" s="194"/>
      <c r="K449" s="194"/>
      <c r="L449" s="194"/>
      <c r="M449" s="194"/>
      <c r="N449" s="194"/>
      <c r="O449" s="192"/>
      <c r="P449" s="148" t="s">
        <v>5650</v>
      </c>
      <c r="Q449" s="33" t="s">
        <v>86</v>
      </c>
      <c r="R449" s="34" t="s">
        <v>1852</v>
      </c>
      <c r="S449" s="44" t="s">
        <v>287</v>
      </c>
      <c r="T449" s="46"/>
      <c r="U449" s="35"/>
      <c r="V449" s="56" t="s">
        <v>4215</v>
      </c>
      <c r="W449" s="46">
        <v>60244</v>
      </c>
      <c r="X449" s="194"/>
      <c r="Y449" s="194"/>
      <c r="Z449" s="194"/>
      <c r="AA449" s="194"/>
      <c r="AB449" s="196"/>
      <c r="AC449"/>
    </row>
    <row r="450" spans="1:29" ht="17.100000000000001" customHeight="1" thickTop="1">
      <c r="A450" s="197" t="s">
        <v>5651</v>
      </c>
      <c r="B450" s="26">
        <v>45912</v>
      </c>
      <c r="C450" s="36">
        <v>1385</v>
      </c>
      <c r="D450" s="28" t="s">
        <v>1993</v>
      </c>
      <c r="E450" s="199"/>
      <c r="F450" s="54" t="s">
        <v>5652</v>
      </c>
      <c r="G450" s="37" t="s">
        <v>5653</v>
      </c>
      <c r="H450" s="201">
        <v>4</v>
      </c>
      <c r="I450" s="193">
        <v>564000</v>
      </c>
      <c r="J450" s="193">
        <f>I450*0.1</f>
        <v>56400</v>
      </c>
      <c r="K450" s="193">
        <v>0</v>
      </c>
      <c r="L450" s="193">
        <v>7140</v>
      </c>
      <c r="M450" s="193">
        <v>13200</v>
      </c>
      <c r="N450" s="193">
        <f>SUM(I450:M451)</f>
        <v>640740</v>
      </c>
      <c r="O450" s="191"/>
      <c r="P450" s="147" t="s">
        <v>5654</v>
      </c>
      <c r="Q450" s="29" t="s">
        <v>82</v>
      </c>
      <c r="R450" s="81"/>
      <c r="S450" s="48" t="s">
        <v>1596</v>
      </c>
      <c r="T450" s="50"/>
      <c r="U450" s="30" t="s">
        <v>5655</v>
      </c>
      <c r="V450" s="58">
        <v>45941</v>
      </c>
      <c r="W450" s="52">
        <v>1271</v>
      </c>
      <c r="X450" s="193">
        <v>620000</v>
      </c>
      <c r="Y450" s="193">
        <f>X450*0.1</f>
        <v>62000</v>
      </c>
      <c r="Z450" s="193">
        <v>7140</v>
      </c>
      <c r="AA450" s="193">
        <f>SUM(X450:Z450)</f>
        <v>689140</v>
      </c>
      <c r="AB450" s="195">
        <v>45950</v>
      </c>
      <c r="AC450"/>
    </row>
    <row r="451" spans="1:29" ht="17.100000000000001" customHeight="1" thickBot="1">
      <c r="A451" s="198"/>
      <c r="B451" s="31" t="s">
        <v>3039</v>
      </c>
      <c r="C451" s="31">
        <v>3146</v>
      </c>
      <c r="D451" s="32" t="s">
        <v>399</v>
      </c>
      <c r="E451" s="200"/>
      <c r="F451" s="43" t="s">
        <v>5656</v>
      </c>
      <c r="G451" s="38">
        <v>57762</v>
      </c>
      <c r="H451" s="202"/>
      <c r="I451" s="194"/>
      <c r="J451" s="194"/>
      <c r="K451" s="194"/>
      <c r="L451" s="194"/>
      <c r="M451" s="194"/>
      <c r="N451" s="194"/>
      <c r="O451" s="192"/>
      <c r="P451" s="148" t="s">
        <v>5657</v>
      </c>
      <c r="Q451" s="33" t="s">
        <v>86</v>
      </c>
      <c r="R451" s="34" t="s">
        <v>1852</v>
      </c>
      <c r="S451" s="44" t="s">
        <v>2754</v>
      </c>
      <c r="T451" s="46"/>
      <c r="U451" s="35"/>
      <c r="V451" s="56" t="s">
        <v>521</v>
      </c>
      <c r="W451" s="46">
        <v>60252</v>
      </c>
      <c r="X451" s="194"/>
      <c r="Y451" s="194"/>
      <c r="Z451" s="194"/>
      <c r="AA451" s="194"/>
      <c r="AB451" s="196"/>
      <c r="AC451"/>
    </row>
    <row r="452" spans="1:29" ht="17.100000000000001" customHeight="1" thickTop="1">
      <c r="A452" s="197" t="s">
        <v>5658</v>
      </c>
      <c r="B452" s="26">
        <v>45912</v>
      </c>
      <c r="C452" s="36">
        <v>1385</v>
      </c>
      <c r="D452" s="28" t="s">
        <v>2368</v>
      </c>
      <c r="E452" s="199"/>
      <c r="F452" s="54" t="s">
        <v>5659</v>
      </c>
      <c r="G452" s="37" t="s">
        <v>5660</v>
      </c>
      <c r="H452" s="201">
        <v>4</v>
      </c>
      <c r="I452" s="193">
        <v>1149000</v>
      </c>
      <c r="J452" s="193">
        <f>I452*0.1</f>
        <v>114900</v>
      </c>
      <c r="K452" s="193">
        <v>0</v>
      </c>
      <c r="L452" s="193">
        <v>7500</v>
      </c>
      <c r="M452" s="193">
        <v>13200</v>
      </c>
      <c r="N452" s="193">
        <f>SUM(I452:M453)</f>
        <v>1284600</v>
      </c>
      <c r="O452" s="191"/>
      <c r="P452" s="147" t="s">
        <v>5661</v>
      </c>
      <c r="Q452" s="29" t="s">
        <v>82</v>
      </c>
      <c r="R452" s="81"/>
      <c r="S452" s="48" t="s">
        <v>1821</v>
      </c>
      <c r="T452" s="50"/>
      <c r="U452" s="30" t="s">
        <v>5662</v>
      </c>
      <c r="V452" s="58">
        <v>45934</v>
      </c>
      <c r="W452" s="52">
        <v>1270</v>
      </c>
      <c r="X452" s="193">
        <v>1165000</v>
      </c>
      <c r="Y452" s="193">
        <f>X452*0.1</f>
        <v>116500</v>
      </c>
      <c r="Z452" s="193">
        <v>7500</v>
      </c>
      <c r="AA452" s="193">
        <f>SUM(X452:Z452)</f>
        <v>1289000</v>
      </c>
      <c r="AB452" s="195">
        <v>45939</v>
      </c>
      <c r="AC452"/>
    </row>
    <row r="453" spans="1:29" ht="17.100000000000001" customHeight="1" thickBot="1">
      <c r="A453" s="198"/>
      <c r="B453" s="31" t="s">
        <v>3039</v>
      </c>
      <c r="C453" s="31">
        <v>3195</v>
      </c>
      <c r="D453" s="32" t="s">
        <v>95</v>
      </c>
      <c r="E453" s="200"/>
      <c r="F453" s="43" t="s">
        <v>5663</v>
      </c>
      <c r="G453" s="38">
        <v>56965</v>
      </c>
      <c r="H453" s="202"/>
      <c r="I453" s="194"/>
      <c r="J453" s="194"/>
      <c r="K453" s="194"/>
      <c r="L453" s="194"/>
      <c r="M453" s="194"/>
      <c r="N453" s="194"/>
      <c r="O453" s="192"/>
      <c r="P453" s="148" t="s">
        <v>5664</v>
      </c>
      <c r="Q453" s="33" t="s">
        <v>86</v>
      </c>
      <c r="R453" s="34" t="s">
        <v>2412</v>
      </c>
      <c r="S453" s="44" t="s">
        <v>4522</v>
      </c>
      <c r="T453" s="46"/>
      <c r="U453" s="35"/>
      <c r="V453" s="56" t="s">
        <v>3800</v>
      </c>
      <c r="W453" s="46">
        <v>60118</v>
      </c>
      <c r="X453" s="194"/>
      <c r="Y453" s="194"/>
      <c r="Z453" s="194"/>
      <c r="AA453" s="194"/>
      <c r="AB453" s="196"/>
      <c r="AC453"/>
    </row>
    <row r="454" spans="1:29" ht="17.100000000000001" customHeight="1" thickTop="1">
      <c r="A454" s="197" t="s">
        <v>5665</v>
      </c>
      <c r="B454" s="26">
        <v>45912</v>
      </c>
      <c r="C454" s="36">
        <v>1385</v>
      </c>
      <c r="D454" s="28" t="s">
        <v>2999</v>
      </c>
      <c r="E454" s="199"/>
      <c r="F454" s="54" t="s">
        <v>5666</v>
      </c>
      <c r="G454" s="37" t="s">
        <v>5667</v>
      </c>
      <c r="H454" s="201">
        <v>4</v>
      </c>
      <c r="I454" s="193">
        <v>2400000</v>
      </c>
      <c r="J454" s="193">
        <f>I454*0.1</f>
        <v>240000</v>
      </c>
      <c r="K454" s="193">
        <f>18000+1800</f>
        <v>19800</v>
      </c>
      <c r="L454" s="193">
        <v>21480</v>
      </c>
      <c r="M454" s="193">
        <f>18000+1800</f>
        <v>19800</v>
      </c>
      <c r="N454" s="193">
        <f>SUM(I454:M455)</f>
        <v>2701080</v>
      </c>
      <c r="O454" s="191"/>
      <c r="P454" s="147" t="s">
        <v>5668</v>
      </c>
      <c r="Q454" s="29" t="s">
        <v>82</v>
      </c>
      <c r="R454" s="81"/>
      <c r="S454" s="48" t="s">
        <v>1596</v>
      </c>
      <c r="T454" s="50"/>
      <c r="U454" s="30"/>
      <c r="V454" s="58">
        <v>45941</v>
      </c>
      <c r="W454" s="52">
        <v>1271</v>
      </c>
      <c r="X454" s="193">
        <v>2585000</v>
      </c>
      <c r="Y454" s="193">
        <f>X454*0.1</f>
        <v>258500</v>
      </c>
      <c r="Z454" s="193">
        <v>21480</v>
      </c>
      <c r="AA454" s="193">
        <f>SUM(X454:Z454)</f>
        <v>2864980</v>
      </c>
      <c r="AB454" s="195">
        <v>45944</v>
      </c>
      <c r="AC454"/>
    </row>
    <row r="455" spans="1:29" ht="17.100000000000001" customHeight="1" thickBot="1">
      <c r="A455" s="198"/>
      <c r="B455" s="31" t="s">
        <v>3039</v>
      </c>
      <c r="C455" s="31">
        <v>3291</v>
      </c>
      <c r="D455" s="32" t="s">
        <v>1987</v>
      </c>
      <c r="E455" s="200"/>
      <c r="F455" s="43" t="s">
        <v>5669</v>
      </c>
      <c r="G455" s="38">
        <v>28746</v>
      </c>
      <c r="H455" s="202"/>
      <c r="I455" s="194"/>
      <c r="J455" s="194"/>
      <c r="K455" s="194"/>
      <c r="L455" s="194"/>
      <c r="M455" s="194"/>
      <c r="N455" s="194"/>
      <c r="O455" s="192"/>
      <c r="P455" s="148" t="s">
        <v>5670</v>
      </c>
      <c r="Q455" s="33" t="s">
        <v>86</v>
      </c>
      <c r="R455" s="34" t="s">
        <v>1852</v>
      </c>
      <c r="S455" s="44" t="s">
        <v>5671</v>
      </c>
      <c r="T455" s="46"/>
      <c r="U455" s="35"/>
      <c r="V455" s="56" t="s">
        <v>521</v>
      </c>
      <c r="W455" s="46">
        <v>80107</v>
      </c>
      <c r="X455" s="194"/>
      <c r="Y455" s="194"/>
      <c r="Z455" s="194"/>
      <c r="AA455" s="194"/>
      <c r="AB455" s="196"/>
      <c r="AC455"/>
    </row>
    <row r="456" spans="1:29" ht="17.100000000000001" customHeight="1" thickTop="1">
      <c r="A456" s="197" t="s">
        <v>5672</v>
      </c>
      <c r="B456" s="26">
        <v>45913</v>
      </c>
      <c r="C456" s="36"/>
      <c r="D456" s="28" t="s">
        <v>2247</v>
      </c>
      <c r="E456" s="199"/>
      <c r="F456" s="54" t="s">
        <v>2155</v>
      </c>
      <c r="G456" s="37" t="s">
        <v>5673</v>
      </c>
      <c r="H456" s="201"/>
      <c r="I456" s="193">
        <v>2028480</v>
      </c>
      <c r="J456" s="193">
        <v>0</v>
      </c>
      <c r="K456" s="193">
        <v>0</v>
      </c>
      <c r="L456" s="193">
        <v>0</v>
      </c>
      <c r="M456" s="193">
        <v>0</v>
      </c>
      <c r="N456" s="193">
        <f>SUM(I456:M457)</f>
        <v>2028480</v>
      </c>
      <c r="O456" s="191"/>
      <c r="P456" s="147" t="s">
        <v>5674</v>
      </c>
      <c r="Q456" s="29" t="s">
        <v>82</v>
      </c>
      <c r="R456" s="81"/>
      <c r="S456" s="48"/>
      <c r="T456" s="50"/>
      <c r="U456" s="30"/>
      <c r="V456" s="58">
        <v>46318</v>
      </c>
      <c r="W456" s="52"/>
      <c r="X456" s="193">
        <v>2867900</v>
      </c>
      <c r="Y456" s="193">
        <v>0</v>
      </c>
      <c r="Z456" s="193">
        <v>0</v>
      </c>
      <c r="AA456" s="193">
        <f>SUM(X456:Z456)</f>
        <v>2867900</v>
      </c>
      <c r="AB456" s="195">
        <v>46342</v>
      </c>
      <c r="AC456"/>
    </row>
    <row r="457" spans="1:29" ht="17.100000000000001" customHeight="1" thickBot="1">
      <c r="A457" s="198"/>
      <c r="B457" s="31" t="s">
        <v>5675</v>
      </c>
      <c r="C457" s="31"/>
      <c r="D457" s="32"/>
      <c r="E457" s="200"/>
      <c r="F457" s="43" t="s">
        <v>5676</v>
      </c>
      <c r="G457" s="38">
        <v>26377</v>
      </c>
      <c r="H457" s="202"/>
      <c r="I457" s="194"/>
      <c r="J457" s="194"/>
      <c r="K457" s="194"/>
      <c r="L457" s="194"/>
      <c r="M457" s="194"/>
      <c r="N457" s="194"/>
      <c r="O457" s="192"/>
      <c r="P457" s="148" t="s">
        <v>4175</v>
      </c>
      <c r="Q457" s="33" t="s">
        <v>86</v>
      </c>
      <c r="R457" s="34" t="s">
        <v>2436</v>
      </c>
      <c r="S457" s="44" t="s">
        <v>96</v>
      </c>
      <c r="T457" s="46"/>
      <c r="U457" s="35"/>
      <c r="V457" s="56" t="s">
        <v>5677</v>
      </c>
      <c r="W457" s="46"/>
      <c r="X457" s="194"/>
      <c r="Y457" s="194"/>
      <c r="Z457" s="194"/>
      <c r="AA457" s="194"/>
      <c r="AB457" s="196"/>
      <c r="AC457"/>
    </row>
    <row r="458" spans="1:29" ht="17.100000000000001" customHeight="1" thickTop="1">
      <c r="A458" s="197" t="s">
        <v>5678</v>
      </c>
      <c r="B458" s="26">
        <v>45913</v>
      </c>
      <c r="C458" s="36">
        <v>1510</v>
      </c>
      <c r="D458" s="28" t="s">
        <v>4810</v>
      </c>
      <c r="E458" s="199"/>
      <c r="F458" s="54" t="s">
        <v>5679</v>
      </c>
      <c r="G458" s="37" t="s">
        <v>4812</v>
      </c>
      <c r="H458" s="201">
        <v>4</v>
      </c>
      <c r="I458" s="193">
        <v>1205000</v>
      </c>
      <c r="J458" s="193">
        <f>I458*0.1</f>
        <v>120500</v>
      </c>
      <c r="K458" s="193">
        <f>19700+1970</f>
        <v>21670</v>
      </c>
      <c r="L458" s="193">
        <v>20540</v>
      </c>
      <c r="M458" s="193">
        <v>16500</v>
      </c>
      <c r="N458" s="193">
        <f>SUM(I458:M459)</f>
        <v>1384210</v>
      </c>
      <c r="O458" s="191"/>
      <c r="P458" s="147" t="s">
        <v>5680</v>
      </c>
      <c r="Q458" s="29" t="s">
        <v>82</v>
      </c>
      <c r="R458" s="81"/>
      <c r="S458" s="48" t="s">
        <v>940</v>
      </c>
      <c r="T458" s="50"/>
      <c r="U458" s="30"/>
      <c r="V458" s="58">
        <v>45946</v>
      </c>
      <c r="W458" s="52">
        <v>1302</v>
      </c>
      <c r="X458" s="193">
        <v>1350000</v>
      </c>
      <c r="Y458" s="193">
        <f>X458*0.1</f>
        <v>135000</v>
      </c>
      <c r="Z458" s="193">
        <v>20540</v>
      </c>
      <c r="AA458" s="193">
        <f>SUM(X458:Z458)</f>
        <v>1505540</v>
      </c>
      <c r="AB458" s="195">
        <v>45947</v>
      </c>
      <c r="AC458"/>
    </row>
    <row r="459" spans="1:29" ht="17.100000000000001" customHeight="1" thickBot="1">
      <c r="A459" s="198"/>
      <c r="B459" s="31" t="s">
        <v>1810</v>
      </c>
      <c r="C459" s="31">
        <v>50104</v>
      </c>
      <c r="D459" s="32" t="s">
        <v>1849</v>
      </c>
      <c r="E459" s="200"/>
      <c r="F459" s="43" t="s">
        <v>5681</v>
      </c>
      <c r="G459" s="38">
        <v>69696</v>
      </c>
      <c r="H459" s="202"/>
      <c r="I459" s="194"/>
      <c r="J459" s="194"/>
      <c r="K459" s="194"/>
      <c r="L459" s="194"/>
      <c r="M459" s="194"/>
      <c r="N459" s="194"/>
      <c r="O459" s="192"/>
      <c r="P459" s="148" t="s">
        <v>1851</v>
      </c>
      <c r="Q459" s="33" t="s">
        <v>86</v>
      </c>
      <c r="R459" s="34" t="s">
        <v>1827</v>
      </c>
      <c r="S459" s="44" t="s">
        <v>96</v>
      </c>
      <c r="T459" s="46"/>
      <c r="U459" s="35" t="s">
        <v>103</v>
      </c>
      <c r="V459" s="56" t="s">
        <v>2017</v>
      </c>
      <c r="W459" s="46">
        <v>537</v>
      </c>
      <c r="X459" s="194"/>
      <c r="Y459" s="194"/>
      <c r="Z459" s="194"/>
      <c r="AA459" s="194"/>
      <c r="AB459" s="196"/>
      <c r="AC459"/>
    </row>
    <row r="460" spans="1:29" ht="17.100000000000001" customHeight="1" thickTop="1">
      <c r="A460" s="197" t="s">
        <v>5682</v>
      </c>
      <c r="B460" s="26">
        <v>45913</v>
      </c>
      <c r="C460" s="36">
        <v>1510</v>
      </c>
      <c r="D460" s="28" t="s">
        <v>2105</v>
      </c>
      <c r="E460" s="199"/>
      <c r="F460" s="54" t="s">
        <v>5683</v>
      </c>
      <c r="G460" s="37"/>
      <c r="H460" s="201">
        <v>4.5</v>
      </c>
      <c r="I460" s="193">
        <v>1655000</v>
      </c>
      <c r="J460" s="193">
        <f>I460*0.1</f>
        <v>165500</v>
      </c>
      <c r="K460" s="193">
        <v>0</v>
      </c>
      <c r="L460" s="193">
        <v>16250</v>
      </c>
      <c r="M460" s="193">
        <v>16500</v>
      </c>
      <c r="N460" s="193">
        <f>SUM(I460:M461)</f>
        <v>1853250</v>
      </c>
      <c r="O460" s="191"/>
      <c r="P460" s="147" t="s">
        <v>5684</v>
      </c>
      <c r="Q460" s="29" t="s">
        <v>82</v>
      </c>
      <c r="R460" s="81"/>
      <c r="S460" s="48" t="s">
        <v>1821</v>
      </c>
      <c r="T460" s="50"/>
      <c r="U460" s="30"/>
      <c r="V460" s="58">
        <v>45941</v>
      </c>
      <c r="W460" s="52">
        <v>1271</v>
      </c>
      <c r="X460" s="193">
        <v>1745000</v>
      </c>
      <c r="Y460" s="193">
        <f>X460*0.1</f>
        <v>174500</v>
      </c>
      <c r="Z460" s="193">
        <v>16250</v>
      </c>
      <c r="AA460" s="193">
        <f>SUM(X460:Z460)</f>
        <v>1935750</v>
      </c>
      <c r="AB460" s="195">
        <v>45944</v>
      </c>
      <c r="AC460"/>
    </row>
    <row r="461" spans="1:29" ht="17.100000000000001" customHeight="1" thickBot="1">
      <c r="A461" s="198"/>
      <c r="B461" s="31" t="s">
        <v>1810</v>
      </c>
      <c r="C461" s="31">
        <v>83041</v>
      </c>
      <c r="D461" s="32" t="s">
        <v>3269</v>
      </c>
      <c r="E461" s="200"/>
      <c r="F461" s="43" t="s">
        <v>5685</v>
      </c>
      <c r="G461" s="38">
        <v>20790</v>
      </c>
      <c r="H461" s="202"/>
      <c r="I461" s="194"/>
      <c r="J461" s="194"/>
      <c r="K461" s="194"/>
      <c r="L461" s="194"/>
      <c r="M461" s="194"/>
      <c r="N461" s="194"/>
      <c r="O461" s="192"/>
      <c r="P461" s="148" t="s">
        <v>5686</v>
      </c>
      <c r="Q461" s="33" t="s">
        <v>86</v>
      </c>
      <c r="R461" s="34" t="s">
        <v>1852</v>
      </c>
      <c r="S461" s="44" t="s">
        <v>96</v>
      </c>
      <c r="T461" s="46"/>
      <c r="U461" s="35"/>
      <c r="V461" s="56" t="s">
        <v>521</v>
      </c>
      <c r="W461" s="46">
        <v>80040</v>
      </c>
      <c r="X461" s="194"/>
      <c r="Y461" s="194"/>
      <c r="Z461" s="194"/>
      <c r="AA461" s="194"/>
      <c r="AB461" s="196"/>
      <c r="AC461"/>
    </row>
    <row r="462" spans="1:29" ht="17.100000000000001" customHeight="1" thickTop="1">
      <c r="A462" s="197" t="s">
        <v>5687</v>
      </c>
      <c r="B462" s="26">
        <v>45913</v>
      </c>
      <c r="C462" s="36">
        <v>1689</v>
      </c>
      <c r="D462" s="28" t="s">
        <v>4810</v>
      </c>
      <c r="E462" s="199"/>
      <c r="F462" s="54" t="s">
        <v>5688</v>
      </c>
      <c r="G462" s="37"/>
      <c r="H462" s="201">
        <v>4.5</v>
      </c>
      <c r="I462" s="193">
        <v>1835000</v>
      </c>
      <c r="J462" s="193">
        <f>I462*0.1</f>
        <v>183500</v>
      </c>
      <c r="K462" s="193">
        <v>0</v>
      </c>
      <c r="L462" s="193">
        <v>11740</v>
      </c>
      <c r="M462" s="193">
        <v>14300</v>
      </c>
      <c r="N462" s="193">
        <f>SUM(I462:M463)</f>
        <v>2044540</v>
      </c>
      <c r="O462" s="191"/>
      <c r="P462" s="147" t="s">
        <v>5689</v>
      </c>
      <c r="Q462" s="29" t="s">
        <v>82</v>
      </c>
      <c r="R462" s="81"/>
      <c r="S462" s="48"/>
      <c r="T462" s="50"/>
      <c r="U462" s="30"/>
      <c r="V462" s="58">
        <v>46298</v>
      </c>
      <c r="W462" s="52"/>
      <c r="X462" s="193">
        <v>3071300</v>
      </c>
      <c r="Y462" s="193">
        <v>0</v>
      </c>
      <c r="Z462" s="193">
        <v>0</v>
      </c>
      <c r="AA462" s="193">
        <f>SUM(X462:Z462)</f>
        <v>3071300</v>
      </c>
      <c r="AB462" s="195">
        <v>46348</v>
      </c>
      <c r="AC462"/>
    </row>
    <row r="463" spans="1:29" ht="17.100000000000001" customHeight="1" thickBot="1">
      <c r="A463" s="198"/>
      <c r="B463" s="31" t="s">
        <v>2142</v>
      </c>
      <c r="C463" s="31">
        <v>332</v>
      </c>
      <c r="D463" s="32" t="s">
        <v>244</v>
      </c>
      <c r="E463" s="200"/>
      <c r="F463" s="43" t="s">
        <v>5690</v>
      </c>
      <c r="G463" s="38">
        <v>54159</v>
      </c>
      <c r="H463" s="202"/>
      <c r="I463" s="194"/>
      <c r="J463" s="194"/>
      <c r="K463" s="194"/>
      <c r="L463" s="194"/>
      <c r="M463" s="194"/>
      <c r="N463" s="194"/>
      <c r="O463" s="192"/>
      <c r="P463" s="148" t="s">
        <v>2807</v>
      </c>
      <c r="Q463" s="33" t="s">
        <v>86</v>
      </c>
      <c r="R463" s="34" t="s">
        <v>1852</v>
      </c>
      <c r="S463" s="44" t="s">
        <v>2000</v>
      </c>
      <c r="T463" s="46"/>
      <c r="U463" s="35"/>
      <c r="V463" s="56" t="s">
        <v>5691</v>
      </c>
      <c r="W463" s="46"/>
      <c r="X463" s="194"/>
      <c r="Y463" s="194"/>
      <c r="Z463" s="194"/>
      <c r="AA463" s="194"/>
      <c r="AB463" s="196"/>
      <c r="AC463"/>
    </row>
    <row r="464" spans="1:29" ht="17.100000000000001" customHeight="1" thickTop="1">
      <c r="A464" s="197" t="s">
        <v>5692</v>
      </c>
      <c r="B464" s="26">
        <v>45913</v>
      </c>
      <c r="C464" s="36"/>
      <c r="D464" s="28" t="s">
        <v>106</v>
      </c>
      <c r="E464" s="199"/>
      <c r="F464" s="54" t="s">
        <v>5693</v>
      </c>
      <c r="G464" s="37" t="s">
        <v>5694</v>
      </c>
      <c r="H464" s="201">
        <v>4</v>
      </c>
      <c r="I464" s="193">
        <f>423500/1.1</f>
        <v>384999.99999999994</v>
      </c>
      <c r="J464" s="193">
        <f>I464*0.1</f>
        <v>38499.999999999993</v>
      </c>
      <c r="K464" s="193">
        <v>0</v>
      </c>
      <c r="L464" s="193">
        <v>9070</v>
      </c>
      <c r="M464" s="193">
        <v>48343</v>
      </c>
      <c r="N464" s="193">
        <f>SUM(I464:M465)</f>
        <v>480912.99999999994</v>
      </c>
      <c r="O464" s="191"/>
      <c r="P464" s="147" t="s">
        <v>5695</v>
      </c>
      <c r="Q464" s="29" t="s">
        <v>82</v>
      </c>
      <c r="R464" s="81"/>
      <c r="S464" s="48" t="s">
        <v>1983</v>
      </c>
      <c r="T464" s="50"/>
      <c r="U464" s="30"/>
      <c r="V464" s="58">
        <v>45983</v>
      </c>
      <c r="W464" s="52">
        <v>1277</v>
      </c>
      <c r="X464" s="193">
        <v>525000</v>
      </c>
      <c r="Y464" s="193">
        <f>X464*0.1</f>
        <v>52500</v>
      </c>
      <c r="Z464" s="193">
        <v>9070</v>
      </c>
      <c r="AA464" s="193">
        <f>SUM(X464:Z464)</f>
        <v>586570</v>
      </c>
      <c r="AB464" s="195">
        <v>45987</v>
      </c>
      <c r="AC464"/>
    </row>
    <row r="465" spans="1:29" ht="17.100000000000001" customHeight="1" thickBot="1">
      <c r="A465" s="198"/>
      <c r="B465" s="31" t="s">
        <v>1985</v>
      </c>
      <c r="C465" s="31" t="s">
        <v>5696</v>
      </c>
      <c r="D465" s="32" t="s">
        <v>2089</v>
      </c>
      <c r="E465" s="200"/>
      <c r="F465" s="43" t="s">
        <v>5697</v>
      </c>
      <c r="G465" s="38">
        <v>41665</v>
      </c>
      <c r="H465" s="202"/>
      <c r="I465" s="194"/>
      <c r="J465" s="194"/>
      <c r="K465" s="194"/>
      <c r="L465" s="194"/>
      <c r="M465" s="194"/>
      <c r="N465" s="194"/>
      <c r="O465" s="192"/>
      <c r="P465" s="148" t="s">
        <v>5698</v>
      </c>
      <c r="Q465" s="33" t="s">
        <v>86</v>
      </c>
      <c r="R465" s="34" t="s">
        <v>3929</v>
      </c>
      <c r="S465" s="44" t="s">
        <v>2101</v>
      </c>
      <c r="T465" s="46"/>
      <c r="U465" s="35"/>
      <c r="V465" s="56" t="s">
        <v>521</v>
      </c>
      <c r="W465" s="46">
        <v>31141</v>
      </c>
      <c r="X465" s="194"/>
      <c r="Y465" s="194"/>
      <c r="Z465" s="194"/>
      <c r="AA465" s="194"/>
      <c r="AB465" s="196"/>
      <c r="AC465"/>
    </row>
    <row r="466" spans="1:29" ht="17.100000000000001" customHeight="1" thickTop="1">
      <c r="A466" s="203" t="s">
        <v>5699</v>
      </c>
      <c r="B466" s="26">
        <v>45913</v>
      </c>
      <c r="C466" s="36">
        <v>1267</v>
      </c>
      <c r="D466" s="28" t="s">
        <v>5700</v>
      </c>
      <c r="E466" s="199"/>
      <c r="F466" s="54" t="s">
        <v>5701</v>
      </c>
      <c r="G466" s="37"/>
      <c r="H466" s="201">
        <v>4</v>
      </c>
      <c r="I466" s="193">
        <v>273000</v>
      </c>
      <c r="J466" s="193">
        <f>I466*0.1</f>
        <v>27300</v>
      </c>
      <c r="K466" s="193">
        <v>0</v>
      </c>
      <c r="L466" s="193">
        <v>8670</v>
      </c>
      <c r="M466" s="193">
        <v>9900</v>
      </c>
      <c r="N466" s="193">
        <f>SUM(I466:M467)</f>
        <v>318870</v>
      </c>
      <c r="O466" s="191"/>
      <c r="P466" s="147" t="s">
        <v>5702</v>
      </c>
      <c r="Q466" s="29" t="s">
        <v>82</v>
      </c>
      <c r="R466" s="81"/>
      <c r="S466" s="48"/>
      <c r="T466" s="50"/>
      <c r="U466" s="30"/>
      <c r="V466" s="58">
        <v>46032</v>
      </c>
      <c r="W466" s="52">
        <v>1283</v>
      </c>
      <c r="X466" s="193">
        <v>250000</v>
      </c>
      <c r="Y466" s="193">
        <f>X466*0.1</f>
        <v>25000</v>
      </c>
      <c r="Z466" s="193">
        <v>8670</v>
      </c>
      <c r="AA466" s="193">
        <f>SUM(X466:Z466)</f>
        <v>283670</v>
      </c>
      <c r="AB466" s="195">
        <v>46036</v>
      </c>
      <c r="AC466"/>
    </row>
    <row r="467" spans="1:29" ht="17.100000000000001" customHeight="1" thickBot="1">
      <c r="A467" s="204"/>
      <c r="B467" s="31" t="s">
        <v>521</v>
      </c>
      <c r="C467" s="31">
        <v>63207</v>
      </c>
      <c r="D467" s="32" t="s">
        <v>158</v>
      </c>
      <c r="E467" s="200"/>
      <c r="F467" s="43" t="s">
        <v>5703</v>
      </c>
      <c r="G467" s="38">
        <v>55505</v>
      </c>
      <c r="H467" s="202"/>
      <c r="I467" s="194"/>
      <c r="J467" s="194"/>
      <c r="K467" s="194"/>
      <c r="L467" s="194"/>
      <c r="M467" s="194"/>
      <c r="N467" s="194"/>
      <c r="O467" s="192"/>
      <c r="P467" s="148" t="s">
        <v>5704</v>
      </c>
      <c r="Q467" s="33" t="s">
        <v>86</v>
      </c>
      <c r="R467" s="34" t="s">
        <v>2469</v>
      </c>
      <c r="S467" s="44"/>
      <c r="T467" s="46"/>
      <c r="U467" s="35"/>
      <c r="V467" s="56" t="s">
        <v>521</v>
      </c>
      <c r="W467" s="46">
        <v>60127</v>
      </c>
      <c r="X467" s="194"/>
      <c r="Y467" s="194"/>
      <c r="Z467" s="194"/>
      <c r="AA467" s="194"/>
      <c r="AB467" s="196"/>
      <c r="AC467"/>
    </row>
    <row r="468" spans="1:29" ht="17.100000000000001" customHeight="1" thickTop="1">
      <c r="A468" s="197" t="s">
        <v>5705</v>
      </c>
      <c r="B468" s="26">
        <v>45913</v>
      </c>
      <c r="C468" s="36">
        <v>1267</v>
      </c>
      <c r="D468" s="28" t="s">
        <v>2040</v>
      </c>
      <c r="E468" s="199"/>
      <c r="F468" s="54" t="s">
        <v>5706</v>
      </c>
      <c r="G468" s="37" t="s">
        <v>4708</v>
      </c>
      <c r="H468" s="201">
        <v>4</v>
      </c>
      <c r="I468" s="193">
        <v>450000</v>
      </c>
      <c r="J468" s="193">
        <f>I468*0.1</f>
        <v>45000</v>
      </c>
      <c r="K468" s="193">
        <v>0</v>
      </c>
      <c r="L468" s="193">
        <v>8680</v>
      </c>
      <c r="M468" s="193">
        <v>12100</v>
      </c>
      <c r="N468" s="193">
        <f>SUM(I468:M469)</f>
        <v>515780</v>
      </c>
      <c r="O468" s="191"/>
      <c r="P468" s="147" t="s">
        <v>5707</v>
      </c>
      <c r="Q468" s="29" t="s">
        <v>82</v>
      </c>
      <c r="R468" s="81"/>
      <c r="S468" s="48" t="s">
        <v>3161</v>
      </c>
      <c r="T468" s="50"/>
      <c r="U468" s="30"/>
      <c r="V468" s="58">
        <v>45948</v>
      </c>
      <c r="W468" s="52">
        <v>1272</v>
      </c>
      <c r="X468" s="193">
        <v>460000</v>
      </c>
      <c r="Y468" s="193">
        <f>X468*0.1</f>
        <v>46000</v>
      </c>
      <c r="Z468" s="193">
        <v>8680</v>
      </c>
      <c r="AA468" s="193">
        <f>SUM(X468:Z468)</f>
        <v>514680</v>
      </c>
      <c r="AB468" s="195">
        <v>45952</v>
      </c>
      <c r="AC468"/>
    </row>
    <row r="469" spans="1:29" ht="17.100000000000001" customHeight="1" thickBot="1">
      <c r="A469" s="198"/>
      <c r="B469" s="31" t="s">
        <v>521</v>
      </c>
      <c r="C469" s="31">
        <v>65316</v>
      </c>
      <c r="D469" s="32" t="s">
        <v>399</v>
      </c>
      <c r="E469" s="200"/>
      <c r="F469" s="43" t="s">
        <v>5708</v>
      </c>
      <c r="G469" s="38">
        <v>76428</v>
      </c>
      <c r="H469" s="202"/>
      <c r="I469" s="194"/>
      <c r="J469" s="194"/>
      <c r="K469" s="194"/>
      <c r="L469" s="194"/>
      <c r="M469" s="194"/>
      <c r="N469" s="194"/>
      <c r="O469" s="192"/>
      <c r="P469" s="148" t="s">
        <v>5709</v>
      </c>
      <c r="Q469" s="33" t="s">
        <v>86</v>
      </c>
      <c r="R469" s="34" t="s">
        <v>5387</v>
      </c>
      <c r="S469" s="44" t="s">
        <v>5710</v>
      </c>
      <c r="T469" s="46" t="s">
        <v>5711</v>
      </c>
      <c r="U469" s="35"/>
      <c r="V469" s="56" t="s">
        <v>521</v>
      </c>
      <c r="W469" s="46">
        <v>60248</v>
      </c>
      <c r="X469" s="194"/>
      <c r="Y469" s="194"/>
      <c r="Z469" s="194"/>
      <c r="AA469" s="194"/>
      <c r="AB469" s="196"/>
      <c r="AC469"/>
    </row>
    <row r="470" spans="1:29" ht="17.100000000000001" customHeight="1" thickTop="1">
      <c r="A470" s="197" t="s">
        <v>5712</v>
      </c>
      <c r="B470" s="26">
        <v>45913</v>
      </c>
      <c r="C470" s="36">
        <v>1267</v>
      </c>
      <c r="D470" s="28" t="s">
        <v>2810</v>
      </c>
      <c r="E470" s="199"/>
      <c r="F470" s="54" t="s">
        <v>2991</v>
      </c>
      <c r="G470" s="37" t="s">
        <v>5713</v>
      </c>
      <c r="H470" s="201">
        <v>4</v>
      </c>
      <c r="I470" s="193">
        <v>1100000</v>
      </c>
      <c r="J470" s="193">
        <f>I470*0.1</f>
        <v>110000</v>
      </c>
      <c r="K470" s="193">
        <v>0</v>
      </c>
      <c r="L470" s="193">
        <v>9080</v>
      </c>
      <c r="M470" s="193">
        <v>13200</v>
      </c>
      <c r="N470" s="193">
        <f>SUM(I470:M471)</f>
        <v>1232280</v>
      </c>
      <c r="O470" s="191"/>
      <c r="P470" s="147" t="s">
        <v>5714</v>
      </c>
      <c r="Q470" s="29" t="s">
        <v>82</v>
      </c>
      <c r="R470" s="81"/>
      <c r="S470" s="48" t="s">
        <v>940</v>
      </c>
      <c r="T470" s="50"/>
      <c r="U470" s="30" t="s">
        <v>5715</v>
      </c>
      <c r="V470" s="58">
        <v>45938</v>
      </c>
      <c r="W470" s="52">
        <v>987</v>
      </c>
      <c r="X470" s="193">
        <v>1265000</v>
      </c>
      <c r="Y470" s="193">
        <f>X470*0.1</f>
        <v>126500</v>
      </c>
      <c r="Z470" s="193">
        <v>9080</v>
      </c>
      <c r="AA470" s="193">
        <f>SUM(X470:Z470)</f>
        <v>1400580</v>
      </c>
      <c r="AB470" s="195">
        <v>45944</v>
      </c>
      <c r="AC470"/>
    </row>
    <row r="471" spans="1:29" ht="17.100000000000001" customHeight="1" thickBot="1">
      <c r="A471" s="198"/>
      <c r="B471" s="31" t="s">
        <v>521</v>
      </c>
      <c r="C471" s="31">
        <v>65336</v>
      </c>
      <c r="D471" s="32" t="s">
        <v>95</v>
      </c>
      <c r="E471" s="200"/>
      <c r="F471" s="43" t="s">
        <v>5716</v>
      </c>
      <c r="G471" s="38">
        <v>48000</v>
      </c>
      <c r="H471" s="202"/>
      <c r="I471" s="194"/>
      <c r="J471" s="194"/>
      <c r="K471" s="194"/>
      <c r="L471" s="194"/>
      <c r="M471" s="194"/>
      <c r="N471" s="194"/>
      <c r="O471" s="192"/>
      <c r="P471" s="148" t="s">
        <v>5717</v>
      </c>
      <c r="Q471" s="33" t="s">
        <v>86</v>
      </c>
      <c r="R471" s="34" t="s">
        <v>5387</v>
      </c>
      <c r="S471" s="44" t="s">
        <v>5718</v>
      </c>
      <c r="T471" s="46"/>
      <c r="U471" s="35"/>
      <c r="V471" s="56" t="s">
        <v>104</v>
      </c>
      <c r="W471" s="46">
        <v>2010</v>
      </c>
      <c r="X471" s="194"/>
      <c r="Y471" s="194"/>
      <c r="Z471" s="194"/>
      <c r="AA471" s="194"/>
      <c r="AB471" s="196"/>
      <c r="AC471"/>
    </row>
    <row r="472" spans="1:29" ht="17.100000000000001" customHeight="1" thickTop="1">
      <c r="A472" s="197" t="s">
        <v>5719</v>
      </c>
      <c r="B472" s="26">
        <v>45913</v>
      </c>
      <c r="C472" s="36">
        <v>1267</v>
      </c>
      <c r="D472" s="28" t="s">
        <v>2283</v>
      </c>
      <c r="E472" s="199"/>
      <c r="F472" s="54" t="s">
        <v>5720</v>
      </c>
      <c r="G472" s="37" t="s">
        <v>5721</v>
      </c>
      <c r="H472" s="201">
        <v>4</v>
      </c>
      <c r="I472" s="193">
        <v>1590000</v>
      </c>
      <c r="J472" s="193">
        <f>I472*0.1</f>
        <v>159000</v>
      </c>
      <c r="K472" s="193">
        <f>18000+1800</f>
        <v>19800</v>
      </c>
      <c r="L472" s="193">
        <v>13890</v>
      </c>
      <c r="M472" s="193">
        <v>16500</v>
      </c>
      <c r="N472" s="193">
        <f>SUM(I472:M473)</f>
        <v>1799190</v>
      </c>
      <c r="O472" s="191"/>
      <c r="P472" s="147" t="s">
        <v>5722</v>
      </c>
      <c r="Q472" s="29" t="s">
        <v>82</v>
      </c>
      <c r="R472" s="81"/>
      <c r="S472" s="48" t="s">
        <v>1494</v>
      </c>
      <c r="T472" s="50"/>
      <c r="U472" s="30"/>
      <c r="V472" s="58">
        <v>45959</v>
      </c>
      <c r="W472" s="52">
        <v>990</v>
      </c>
      <c r="X472" s="193">
        <v>1705000</v>
      </c>
      <c r="Y472" s="193">
        <f>X472*0.1</f>
        <v>170500</v>
      </c>
      <c r="Z472" s="193">
        <v>13890</v>
      </c>
      <c r="AA472" s="193">
        <f>SUM(X472:Z472)</f>
        <v>1889390</v>
      </c>
      <c r="AB472" s="195">
        <v>45965</v>
      </c>
      <c r="AC472"/>
    </row>
    <row r="473" spans="1:29" ht="17.100000000000001" customHeight="1" thickBot="1">
      <c r="A473" s="198"/>
      <c r="B473" s="31" t="s">
        <v>521</v>
      </c>
      <c r="C473" s="31">
        <v>82379</v>
      </c>
      <c r="D473" s="32" t="s">
        <v>1097</v>
      </c>
      <c r="E473" s="200"/>
      <c r="F473" s="43" t="s">
        <v>5723</v>
      </c>
      <c r="G473" s="38">
        <v>32608</v>
      </c>
      <c r="H473" s="202"/>
      <c r="I473" s="194"/>
      <c r="J473" s="194"/>
      <c r="K473" s="194"/>
      <c r="L473" s="194"/>
      <c r="M473" s="194"/>
      <c r="N473" s="194"/>
      <c r="O473" s="192"/>
      <c r="P473" s="148" t="s">
        <v>2667</v>
      </c>
      <c r="Q473" s="33" t="s">
        <v>86</v>
      </c>
      <c r="R473" s="34" t="s">
        <v>5387</v>
      </c>
      <c r="S473" s="44" t="s">
        <v>5724</v>
      </c>
      <c r="T473" s="46"/>
      <c r="U473" s="35" t="s">
        <v>103</v>
      </c>
      <c r="V473" s="56" t="s">
        <v>104</v>
      </c>
      <c r="W473" s="46">
        <v>6092</v>
      </c>
      <c r="X473" s="194"/>
      <c r="Y473" s="194"/>
      <c r="Z473" s="194"/>
      <c r="AA473" s="194"/>
      <c r="AB473" s="196"/>
      <c r="AC473"/>
    </row>
    <row r="474" spans="1:29" ht="17.100000000000001" customHeight="1" thickTop="1">
      <c r="A474" s="197" t="s">
        <v>5725</v>
      </c>
      <c r="B474" s="26">
        <v>45915</v>
      </c>
      <c r="C474" s="36">
        <v>2060</v>
      </c>
      <c r="D474" s="28" t="s">
        <v>2559</v>
      </c>
      <c r="E474" s="199"/>
      <c r="F474" s="54" t="s">
        <v>5726</v>
      </c>
      <c r="G474" s="37"/>
      <c r="H474" s="201">
        <v>5</v>
      </c>
      <c r="I474" s="193">
        <v>1505000</v>
      </c>
      <c r="J474" s="193">
        <f>I474*0.1</f>
        <v>150500</v>
      </c>
      <c r="K474" s="193">
        <v>0</v>
      </c>
      <c r="L474" s="193">
        <v>7150</v>
      </c>
      <c r="M474" s="193">
        <v>8800</v>
      </c>
      <c r="N474" s="193">
        <f>SUM(I474:M475)</f>
        <v>1671450</v>
      </c>
      <c r="O474" s="191"/>
      <c r="P474" s="147" t="s">
        <v>5727</v>
      </c>
      <c r="Q474" s="29" t="s">
        <v>82</v>
      </c>
      <c r="R474" s="81"/>
      <c r="S474" s="48"/>
      <c r="T474" s="50"/>
      <c r="U474" s="30"/>
      <c r="V474" s="58">
        <v>46057</v>
      </c>
      <c r="W474" s="52">
        <v>1003</v>
      </c>
      <c r="X474" s="193">
        <v>1435000</v>
      </c>
      <c r="Y474" s="193">
        <f>X474*0.1</f>
        <v>143500</v>
      </c>
      <c r="Z474" s="193">
        <v>8750</v>
      </c>
      <c r="AA474" s="193">
        <f>SUM(X474:Z474)</f>
        <v>1587250</v>
      </c>
      <c r="AB474" s="195">
        <v>46062</v>
      </c>
      <c r="AC474"/>
    </row>
    <row r="475" spans="1:29" ht="17.100000000000001" customHeight="1" thickBot="1">
      <c r="A475" s="198"/>
      <c r="B475" s="31" t="s">
        <v>189</v>
      </c>
      <c r="C475" s="31">
        <v>24020</v>
      </c>
      <c r="D475" s="32" t="s">
        <v>399</v>
      </c>
      <c r="E475" s="200"/>
      <c r="F475" s="43" t="s">
        <v>5728</v>
      </c>
      <c r="G475" s="38">
        <v>9059</v>
      </c>
      <c r="H475" s="202"/>
      <c r="I475" s="194"/>
      <c r="J475" s="194"/>
      <c r="K475" s="194"/>
      <c r="L475" s="194"/>
      <c r="M475" s="194"/>
      <c r="N475" s="194"/>
      <c r="O475" s="192"/>
      <c r="P475" s="148" t="s">
        <v>5729</v>
      </c>
      <c r="Q475" s="33" t="s">
        <v>86</v>
      </c>
      <c r="R475" s="34" t="s">
        <v>1827</v>
      </c>
      <c r="S475" s="44" t="s">
        <v>3264</v>
      </c>
      <c r="T475" s="46"/>
      <c r="U475" s="35"/>
      <c r="V475" s="56" t="s">
        <v>104</v>
      </c>
      <c r="W475" s="46">
        <v>2032</v>
      </c>
      <c r="X475" s="194"/>
      <c r="Y475" s="194"/>
      <c r="Z475" s="194"/>
      <c r="AA475" s="194"/>
      <c r="AB475" s="196"/>
      <c r="AC475"/>
    </row>
    <row r="476" spans="1:29" ht="17.100000000000001" customHeight="1" thickTop="1">
      <c r="A476" s="197" t="s">
        <v>5730</v>
      </c>
      <c r="B476" s="26">
        <v>45915</v>
      </c>
      <c r="C476" s="36">
        <v>2060</v>
      </c>
      <c r="D476" s="28" t="s">
        <v>2516</v>
      </c>
      <c r="E476" s="199"/>
      <c r="F476" s="54" t="s">
        <v>5731</v>
      </c>
      <c r="G476" s="37"/>
      <c r="H476" s="201">
        <v>4.5</v>
      </c>
      <c r="I476" s="193">
        <v>1915000</v>
      </c>
      <c r="J476" s="193">
        <f>I476*0.1</f>
        <v>191500</v>
      </c>
      <c r="K476" s="193">
        <v>0</v>
      </c>
      <c r="L476" s="193">
        <v>15170</v>
      </c>
      <c r="M476" s="193">
        <v>11000</v>
      </c>
      <c r="N476" s="193">
        <f>SUM(I476:M477)</f>
        <v>2132670</v>
      </c>
      <c r="O476" s="191"/>
      <c r="P476" s="147" t="s">
        <v>5732</v>
      </c>
      <c r="Q476" s="29" t="s">
        <v>82</v>
      </c>
      <c r="R476" s="81"/>
      <c r="S476" s="48" t="s">
        <v>1596</v>
      </c>
      <c r="T476" s="50"/>
      <c r="U476" s="30"/>
      <c r="V476" s="58">
        <v>45955</v>
      </c>
      <c r="W476" s="52">
        <v>1273</v>
      </c>
      <c r="X476" s="193">
        <v>2000000</v>
      </c>
      <c r="Y476" s="193">
        <f>X476*0.1</f>
        <v>200000</v>
      </c>
      <c r="Z476" s="193">
        <v>15180</v>
      </c>
      <c r="AA476" s="193">
        <f>SUM(X476:Z476)</f>
        <v>2215180</v>
      </c>
      <c r="AB476" s="195">
        <v>45958</v>
      </c>
      <c r="AC476"/>
    </row>
    <row r="477" spans="1:29" ht="17.100000000000001" customHeight="1" thickBot="1">
      <c r="A477" s="198"/>
      <c r="B477" s="31" t="s">
        <v>189</v>
      </c>
      <c r="C477" s="31">
        <v>33507</v>
      </c>
      <c r="D477" s="32" t="s">
        <v>244</v>
      </c>
      <c r="E477" s="200"/>
      <c r="F477" s="43" t="s">
        <v>5733</v>
      </c>
      <c r="G477" s="38">
        <v>35270</v>
      </c>
      <c r="H477" s="202"/>
      <c r="I477" s="194"/>
      <c r="J477" s="194"/>
      <c r="K477" s="194"/>
      <c r="L477" s="194"/>
      <c r="M477" s="194"/>
      <c r="N477" s="194"/>
      <c r="O477" s="192"/>
      <c r="P477" s="148" t="s">
        <v>5734</v>
      </c>
      <c r="Q477" s="33" t="s">
        <v>86</v>
      </c>
      <c r="R477" s="34" t="s">
        <v>1827</v>
      </c>
      <c r="S477" s="44" t="s">
        <v>96</v>
      </c>
      <c r="T477" s="46"/>
      <c r="U477" s="35"/>
      <c r="V477" s="56" t="s">
        <v>521</v>
      </c>
      <c r="W477" s="46">
        <v>80037</v>
      </c>
      <c r="X477" s="194"/>
      <c r="Y477" s="194"/>
      <c r="Z477" s="194"/>
      <c r="AA477" s="194"/>
      <c r="AB477" s="196"/>
      <c r="AC477"/>
    </row>
    <row r="478" spans="1:29" ht="17.100000000000001" customHeight="1" thickTop="1">
      <c r="A478" s="197" t="s">
        <v>5735</v>
      </c>
      <c r="B478" s="26">
        <v>45915</v>
      </c>
      <c r="C478" s="36">
        <v>2060</v>
      </c>
      <c r="D478" s="28" t="s">
        <v>3011</v>
      </c>
      <c r="E478" s="199"/>
      <c r="F478" s="54" t="s">
        <v>5736</v>
      </c>
      <c r="G478" s="37" t="s">
        <v>4061</v>
      </c>
      <c r="H478" s="201">
        <v>4.5</v>
      </c>
      <c r="I478" s="193">
        <v>1395000</v>
      </c>
      <c r="J478" s="193">
        <f>I478*0.1</f>
        <v>139500</v>
      </c>
      <c r="K478" s="193">
        <f>15200+1520</f>
        <v>16720</v>
      </c>
      <c r="L478" s="193">
        <v>15160</v>
      </c>
      <c r="M478" s="193">
        <v>11000</v>
      </c>
      <c r="N478" s="193">
        <f>SUM(I478:M479)</f>
        <v>1577380</v>
      </c>
      <c r="O478" s="191"/>
      <c r="P478" s="147" t="s">
        <v>5737</v>
      </c>
      <c r="Q478" s="29" t="s">
        <v>82</v>
      </c>
      <c r="R478" s="81"/>
      <c r="S478" s="48" t="s">
        <v>5246</v>
      </c>
      <c r="T478" s="50"/>
      <c r="U478" s="30"/>
      <c r="V478" s="58">
        <v>45934</v>
      </c>
      <c r="W478" s="52">
        <v>1270</v>
      </c>
      <c r="X478" s="193">
        <v>1515000</v>
      </c>
      <c r="Y478" s="193">
        <f>X478*0.1</f>
        <v>151500</v>
      </c>
      <c r="Z478" s="193">
        <v>15160</v>
      </c>
      <c r="AA478" s="193">
        <f>SUM(X478:Z478)</f>
        <v>1681660</v>
      </c>
      <c r="AB478" s="195">
        <v>45938</v>
      </c>
      <c r="AC478"/>
    </row>
    <row r="479" spans="1:29" ht="17.100000000000001" customHeight="1" thickBot="1">
      <c r="A479" s="198"/>
      <c r="B479" s="31" t="s">
        <v>189</v>
      </c>
      <c r="C479" s="31">
        <v>33509</v>
      </c>
      <c r="D479" s="32" t="s">
        <v>95</v>
      </c>
      <c r="E479" s="200"/>
      <c r="F479" s="43" t="s">
        <v>5738</v>
      </c>
      <c r="G479" s="38">
        <v>51847</v>
      </c>
      <c r="H479" s="202"/>
      <c r="I479" s="194"/>
      <c r="J479" s="194"/>
      <c r="K479" s="194"/>
      <c r="L479" s="194"/>
      <c r="M479" s="194"/>
      <c r="N479" s="194"/>
      <c r="O479" s="192"/>
      <c r="P479" s="148" t="s">
        <v>5734</v>
      </c>
      <c r="Q479" s="33" t="s">
        <v>86</v>
      </c>
      <c r="R479" s="34" t="s">
        <v>5387</v>
      </c>
      <c r="S479" s="44" t="s">
        <v>5671</v>
      </c>
      <c r="T479" s="46"/>
      <c r="U479" s="35"/>
      <c r="V479" s="56" t="s">
        <v>3800</v>
      </c>
      <c r="W479" s="46">
        <v>80030</v>
      </c>
      <c r="X479" s="194"/>
      <c r="Y479" s="194"/>
      <c r="Z479" s="194"/>
      <c r="AA479" s="194"/>
      <c r="AB479" s="196"/>
      <c r="AC479"/>
    </row>
    <row r="480" spans="1:29" ht="17.100000000000001" customHeight="1" thickTop="1">
      <c r="A480" s="197" t="s">
        <v>5739</v>
      </c>
      <c r="B480" s="26">
        <v>45915</v>
      </c>
      <c r="C480" s="36">
        <v>2060</v>
      </c>
      <c r="D480" s="28" t="s">
        <v>5740</v>
      </c>
      <c r="E480" s="199"/>
      <c r="F480" s="54" t="s">
        <v>5741</v>
      </c>
      <c r="G480" s="37"/>
      <c r="H480" s="201">
        <v>4</v>
      </c>
      <c r="I480" s="193">
        <v>432000</v>
      </c>
      <c r="J480" s="193">
        <f>I480*0.1</f>
        <v>43200</v>
      </c>
      <c r="K480" s="193">
        <v>0</v>
      </c>
      <c r="L480" s="193">
        <v>17940</v>
      </c>
      <c r="M480" s="193">
        <v>11000</v>
      </c>
      <c r="N480" s="193">
        <f>SUM(I480:M481)</f>
        <v>504140</v>
      </c>
      <c r="O480" s="191"/>
      <c r="P480" s="147" t="s">
        <v>5742</v>
      </c>
      <c r="Q480" s="29" t="s">
        <v>82</v>
      </c>
      <c r="R480" s="81"/>
      <c r="S480" s="48"/>
      <c r="T480" s="50"/>
      <c r="U480" s="30"/>
      <c r="V480" s="58">
        <v>45948</v>
      </c>
      <c r="W480" s="52">
        <v>1272</v>
      </c>
      <c r="X480" s="193">
        <v>635000</v>
      </c>
      <c r="Y480" s="193">
        <f>X480*0.1</f>
        <v>63500</v>
      </c>
      <c r="Z480" s="193">
        <v>17940</v>
      </c>
      <c r="AA480" s="193">
        <f>SUM(X480:Z480)</f>
        <v>716440</v>
      </c>
      <c r="AB480" s="195">
        <v>45951</v>
      </c>
      <c r="AC480"/>
    </row>
    <row r="481" spans="1:29" ht="17.100000000000001" customHeight="1" thickBot="1">
      <c r="A481" s="198"/>
      <c r="B481" s="31" t="s">
        <v>189</v>
      </c>
      <c r="C481" s="31">
        <v>34508</v>
      </c>
      <c r="D481" s="32" t="s">
        <v>244</v>
      </c>
      <c r="E481" s="200"/>
      <c r="F481" s="43" t="s">
        <v>5743</v>
      </c>
      <c r="G481" s="38">
        <v>48031</v>
      </c>
      <c r="H481" s="202"/>
      <c r="I481" s="194"/>
      <c r="J481" s="194"/>
      <c r="K481" s="194"/>
      <c r="L481" s="194"/>
      <c r="M481" s="194"/>
      <c r="N481" s="194"/>
      <c r="O481" s="192"/>
      <c r="P481" s="148" t="s">
        <v>5744</v>
      </c>
      <c r="Q481" s="33" t="s">
        <v>86</v>
      </c>
      <c r="R481" s="34" t="s">
        <v>5387</v>
      </c>
      <c r="S481" s="44" t="s">
        <v>5671</v>
      </c>
      <c r="T481" s="46"/>
      <c r="U481" s="35"/>
      <c r="V481" s="56" t="s">
        <v>521</v>
      </c>
      <c r="W481" s="46">
        <v>80039</v>
      </c>
      <c r="X481" s="194"/>
      <c r="Y481" s="194"/>
      <c r="Z481" s="194"/>
      <c r="AA481" s="194"/>
      <c r="AB481" s="196"/>
      <c r="AC481"/>
    </row>
    <row r="482" spans="1:29" ht="17.100000000000001" customHeight="1" thickTop="1"/>
  </sheetData>
  <sheetProtection selectLockedCells="1"/>
  <mergeCells count="3541">
    <mergeCell ref="X480:X481"/>
    <mergeCell ref="Y480:Y481"/>
    <mergeCell ref="Z480:Z481"/>
    <mergeCell ref="AA480:AA481"/>
    <mergeCell ref="AB480:AB481"/>
    <mergeCell ref="K480:K481"/>
    <mergeCell ref="L480:L481"/>
    <mergeCell ref="M480:M481"/>
    <mergeCell ref="N480:N481"/>
    <mergeCell ref="O480:O481"/>
    <mergeCell ref="A480:A481"/>
    <mergeCell ref="E480:E481"/>
    <mergeCell ref="H480:H481"/>
    <mergeCell ref="I480:I481"/>
    <mergeCell ref="J480:J481"/>
    <mergeCell ref="X478:X479"/>
    <mergeCell ref="Y478:Y479"/>
    <mergeCell ref="Z478:Z479"/>
    <mergeCell ref="AA478:AA479"/>
    <mergeCell ref="AB478:AB479"/>
    <mergeCell ref="K478:K479"/>
    <mergeCell ref="L478:L479"/>
    <mergeCell ref="M478:M479"/>
    <mergeCell ref="N478:N479"/>
    <mergeCell ref="O478:O479"/>
    <mergeCell ref="A478:A479"/>
    <mergeCell ref="E478:E479"/>
    <mergeCell ref="H478:H479"/>
    <mergeCell ref="I478:I479"/>
    <mergeCell ref="J478:J479"/>
    <mergeCell ref="X476:X477"/>
    <mergeCell ref="Y476:Y477"/>
    <mergeCell ref="Z476:Z477"/>
    <mergeCell ref="AA476:AA477"/>
    <mergeCell ref="AB476:AB477"/>
    <mergeCell ref="K476:K477"/>
    <mergeCell ref="L476:L477"/>
    <mergeCell ref="M476:M477"/>
    <mergeCell ref="N476:N477"/>
    <mergeCell ref="O476:O477"/>
    <mergeCell ref="A476:A477"/>
    <mergeCell ref="E476:E477"/>
    <mergeCell ref="H476:H477"/>
    <mergeCell ref="I476:I477"/>
    <mergeCell ref="J476:J477"/>
    <mergeCell ref="X474:X475"/>
    <mergeCell ref="Y474:Y475"/>
    <mergeCell ref="Z474:Z475"/>
    <mergeCell ref="AA474:AA475"/>
    <mergeCell ref="AB474:AB475"/>
    <mergeCell ref="K474:K475"/>
    <mergeCell ref="L474:L475"/>
    <mergeCell ref="M474:M475"/>
    <mergeCell ref="N474:N475"/>
    <mergeCell ref="O474:O475"/>
    <mergeCell ref="A474:A475"/>
    <mergeCell ref="E474:E475"/>
    <mergeCell ref="H474:H475"/>
    <mergeCell ref="I474:I475"/>
    <mergeCell ref="J474:J475"/>
    <mergeCell ref="X472:X473"/>
    <mergeCell ref="Y472:Y473"/>
    <mergeCell ref="Z472:Z473"/>
    <mergeCell ref="AA472:AA473"/>
    <mergeCell ref="AB472:AB473"/>
    <mergeCell ref="K472:K473"/>
    <mergeCell ref="L472:L473"/>
    <mergeCell ref="M472:M473"/>
    <mergeCell ref="N472:N473"/>
    <mergeCell ref="O472:O473"/>
    <mergeCell ref="A472:A473"/>
    <mergeCell ref="E472:E473"/>
    <mergeCell ref="H472:H473"/>
    <mergeCell ref="I472:I473"/>
    <mergeCell ref="J472:J473"/>
    <mergeCell ref="X470:X471"/>
    <mergeCell ref="Y470:Y471"/>
    <mergeCell ref="Z470:Z471"/>
    <mergeCell ref="AA470:AA471"/>
    <mergeCell ref="AB470:AB471"/>
    <mergeCell ref="K470:K471"/>
    <mergeCell ref="L470:L471"/>
    <mergeCell ref="M470:M471"/>
    <mergeCell ref="N470:N471"/>
    <mergeCell ref="O470:O471"/>
    <mergeCell ref="A470:A471"/>
    <mergeCell ref="E470:E471"/>
    <mergeCell ref="H470:H471"/>
    <mergeCell ref="I470:I471"/>
    <mergeCell ref="J470:J471"/>
    <mergeCell ref="X468:X469"/>
    <mergeCell ref="Y468:Y469"/>
    <mergeCell ref="Z468:Z469"/>
    <mergeCell ref="AA468:AA469"/>
    <mergeCell ref="AB468:AB469"/>
    <mergeCell ref="K468:K469"/>
    <mergeCell ref="L468:L469"/>
    <mergeCell ref="M468:M469"/>
    <mergeCell ref="N468:N469"/>
    <mergeCell ref="O468:O469"/>
    <mergeCell ref="A468:A469"/>
    <mergeCell ref="E468:E469"/>
    <mergeCell ref="H468:H469"/>
    <mergeCell ref="I468:I469"/>
    <mergeCell ref="J468:J469"/>
    <mergeCell ref="X466:X467"/>
    <mergeCell ref="Y466:Y467"/>
    <mergeCell ref="Z466:Z467"/>
    <mergeCell ref="AA466:AA467"/>
    <mergeCell ref="AB466:AB467"/>
    <mergeCell ref="K466:K467"/>
    <mergeCell ref="L466:L467"/>
    <mergeCell ref="M466:M467"/>
    <mergeCell ref="N466:N467"/>
    <mergeCell ref="O466:O467"/>
    <mergeCell ref="A466:A467"/>
    <mergeCell ref="E466:E467"/>
    <mergeCell ref="H466:H467"/>
    <mergeCell ref="I466:I467"/>
    <mergeCell ref="J466:J467"/>
    <mergeCell ref="X464:X465"/>
    <mergeCell ref="Y464:Y465"/>
    <mergeCell ref="Z464:Z465"/>
    <mergeCell ref="AA464:AA465"/>
    <mergeCell ref="AB464:AB465"/>
    <mergeCell ref="K464:K465"/>
    <mergeCell ref="L464:L465"/>
    <mergeCell ref="M464:M465"/>
    <mergeCell ref="N464:N465"/>
    <mergeCell ref="O464:O465"/>
    <mergeCell ref="A464:A465"/>
    <mergeCell ref="E464:E465"/>
    <mergeCell ref="H464:H465"/>
    <mergeCell ref="I464:I465"/>
    <mergeCell ref="J464:J465"/>
    <mergeCell ref="X462:X463"/>
    <mergeCell ref="Y462:Y463"/>
    <mergeCell ref="Z462:Z463"/>
    <mergeCell ref="AA462:AA463"/>
    <mergeCell ref="AB462:AB463"/>
    <mergeCell ref="K462:K463"/>
    <mergeCell ref="L462:L463"/>
    <mergeCell ref="M462:M463"/>
    <mergeCell ref="N462:N463"/>
    <mergeCell ref="O462:O463"/>
    <mergeCell ref="A462:A463"/>
    <mergeCell ref="E462:E463"/>
    <mergeCell ref="H462:H463"/>
    <mergeCell ref="I462:I463"/>
    <mergeCell ref="J462:J463"/>
    <mergeCell ref="X460:X461"/>
    <mergeCell ref="Y460:Y461"/>
    <mergeCell ref="Z460:Z461"/>
    <mergeCell ref="AA460:AA461"/>
    <mergeCell ref="AB460:AB461"/>
    <mergeCell ref="K460:K461"/>
    <mergeCell ref="L460:L461"/>
    <mergeCell ref="M460:M461"/>
    <mergeCell ref="N460:N461"/>
    <mergeCell ref="O460:O461"/>
    <mergeCell ref="A460:A461"/>
    <mergeCell ref="E460:E461"/>
    <mergeCell ref="H460:H461"/>
    <mergeCell ref="I460:I461"/>
    <mergeCell ref="J460:J461"/>
    <mergeCell ref="X458:X459"/>
    <mergeCell ref="Y458:Y459"/>
    <mergeCell ref="Z458:Z459"/>
    <mergeCell ref="AA458:AA459"/>
    <mergeCell ref="AB458:AB459"/>
    <mergeCell ref="K458:K459"/>
    <mergeCell ref="L458:L459"/>
    <mergeCell ref="M458:M459"/>
    <mergeCell ref="N458:N459"/>
    <mergeCell ref="O458:O459"/>
    <mergeCell ref="A458:A459"/>
    <mergeCell ref="E458:E459"/>
    <mergeCell ref="H458:H459"/>
    <mergeCell ref="I458:I459"/>
    <mergeCell ref="J458:J459"/>
    <mergeCell ref="X456:X457"/>
    <mergeCell ref="Y456:Y457"/>
    <mergeCell ref="Z456:Z457"/>
    <mergeCell ref="AA456:AA457"/>
    <mergeCell ref="AB456:AB457"/>
    <mergeCell ref="K456:K457"/>
    <mergeCell ref="L456:L457"/>
    <mergeCell ref="M456:M457"/>
    <mergeCell ref="N456:N457"/>
    <mergeCell ref="O456:O457"/>
    <mergeCell ref="A456:A457"/>
    <mergeCell ref="E456:E457"/>
    <mergeCell ref="H456:H457"/>
    <mergeCell ref="I456:I457"/>
    <mergeCell ref="J456:J457"/>
    <mergeCell ref="X454:X455"/>
    <mergeCell ref="Y454:Y455"/>
    <mergeCell ref="Z454:Z455"/>
    <mergeCell ref="AA454:AA455"/>
    <mergeCell ref="AB454:AB455"/>
    <mergeCell ref="K454:K455"/>
    <mergeCell ref="L454:L455"/>
    <mergeCell ref="M454:M455"/>
    <mergeCell ref="N454:N455"/>
    <mergeCell ref="O454:O455"/>
    <mergeCell ref="A454:A455"/>
    <mergeCell ref="E454:E455"/>
    <mergeCell ref="H454:H455"/>
    <mergeCell ref="I454:I455"/>
    <mergeCell ref="J454:J455"/>
    <mergeCell ref="X452:X453"/>
    <mergeCell ref="Y452:Y453"/>
    <mergeCell ref="Z452:Z453"/>
    <mergeCell ref="AA452:AA453"/>
    <mergeCell ref="AB452:AB453"/>
    <mergeCell ref="K452:K453"/>
    <mergeCell ref="L452:L453"/>
    <mergeCell ref="M452:M453"/>
    <mergeCell ref="N452:N453"/>
    <mergeCell ref="O452:O453"/>
    <mergeCell ref="A452:A453"/>
    <mergeCell ref="E452:E453"/>
    <mergeCell ref="H452:H453"/>
    <mergeCell ref="I452:I453"/>
    <mergeCell ref="J452:J453"/>
    <mergeCell ref="X450:X451"/>
    <mergeCell ref="Y450:Y451"/>
    <mergeCell ref="Z450:Z451"/>
    <mergeCell ref="AA450:AA451"/>
    <mergeCell ref="AB450:AB451"/>
    <mergeCell ref="K450:K451"/>
    <mergeCell ref="L450:L451"/>
    <mergeCell ref="M450:M451"/>
    <mergeCell ref="N450:N451"/>
    <mergeCell ref="O450:O451"/>
    <mergeCell ref="A450:A451"/>
    <mergeCell ref="E450:E451"/>
    <mergeCell ref="H450:H451"/>
    <mergeCell ref="I450:I451"/>
    <mergeCell ref="J450:J451"/>
    <mergeCell ref="X448:X449"/>
    <mergeCell ref="Y448:Y449"/>
    <mergeCell ref="Z448:Z449"/>
    <mergeCell ref="AA448:AA449"/>
    <mergeCell ref="AB448:AB449"/>
    <mergeCell ref="K448:K449"/>
    <mergeCell ref="L448:L449"/>
    <mergeCell ref="M448:M449"/>
    <mergeCell ref="N448:N449"/>
    <mergeCell ref="O448:O449"/>
    <mergeCell ref="A448:A449"/>
    <mergeCell ref="E448:E449"/>
    <mergeCell ref="H448:H449"/>
    <mergeCell ref="I448:I449"/>
    <mergeCell ref="J448:J449"/>
    <mergeCell ref="X446:X447"/>
    <mergeCell ref="Y446:Y447"/>
    <mergeCell ref="Z446:Z447"/>
    <mergeCell ref="AA446:AA447"/>
    <mergeCell ref="AB446:AB447"/>
    <mergeCell ref="K446:K447"/>
    <mergeCell ref="L446:L447"/>
    <mergeCell ref="M446:M447"/>
    <mergeCell ref="N446:N447"/>
    <mergeCell ref="O446:O447"/>
    <mergeCell ref="A446:A447"/>
    <mergeCell ref="E446:E447"/>
    <mergeCell ref="H446:H447"/>
    <mergeCell ref="I446:I447"/>
    <mergeCell ref="J446:J447"/>
    <mergeCell ref="X444:X445"/>
    <mergeCell ref="Y444:Y445"/>
    <mergeCell ref="Z444:Z445"/>
    <mergeCell ref="AA444:AA445"/>
    <mergeCell ref="AB444:AB445"/>
    <mergeCell ref="K444:K445"/>
    <mergeCell ref="L444:L445"/>
    <mergeCell ref="M444:M445"/>
    <mergeCell ref="N444:N445"/>
    <mergeCell ref="O444:O445"/>
    <mergeCell ref="A444:A445"/>
    <mergeCell ref="E444:E445"/>
    <mergeCell ref="H444:H445"/>
    <mergeCell ref="I444:I445"/>
    <mergeCell ref="J444:J445"/>
    <mergeCell ref="X442:X443"/>
    <mergeCell ref="Y442:Y443"/>
    <mergeCell ref="Z442:Z443"/>
    <mergeCell ref="AA442:AA443"/>
    <mergeCell ref="AB442:AB443"/>
    <mergeCell ref="K442:K443"/>
    <mergeCell ref="L442:L443"/>
    <mergeCell ref="M442:M443"/>
    <mergeCell ref="N442:N443"/>
    <mergeCell ref="O442:O443"/>
    <mergeCell ref="A442:A443"/>
    <mergeCell ref="E442:E443"/>
    <mergeCell ref="H442:H443"/>
    <mergeCell ref="I442:I443"/>
    <mergeCell ref="J442:J443"/>
    <mergeCell ref="X440:X441"/>
    <mergeCell ref="Y440:Y441"/>
    <mergeCell ref="Z440:Z441"/>
    <mergeCell ref="AA440:AA441"/>
    <mergeCell ref="AB440:AB441"/>
    <mergeCell ref="K440:K441"/>
    <mergeCell ref="L440:L441"/>
    <mergeCell ref="M440:M441"/>
    <mergeCell ref="N440:N441"/>
    <mergeCell ref="O440:O441"/>
    <mergeCell ref="A440:A441"/>
    <mergeCell ref="E440:E441"/>
    <mergeCell ref="H440:H441"/>
    <mergeCell ref="I440:I441"/>
    <mergeCell ref="J440:J441"/>
    <mergeCell ref="X438:X439"/>
    <mergeCell ref="Y438:Y439"/>
    <mergeCell ref="Z438:Z439"/>
    <mergeCell ref="AA438:AA439"/>
    <mergeCell ref="AB438:AB439"/>
    <mergeCell ref="K438:K439"/>
    <mergeCell ref="L438:L439"/>
    <mergeCell ref="M438:M439"/>
    <mergeCell ref="N438:N439"/>
    <mergeCell ref="O438:O439"/>
    <mergeCell ref="A438:A439"/>
    <mergeCell ref="E438:E439"/>
    <mergeCell ref="H438:H439"/>
    <mergeCell ref="I438:I439"/>
    <mergeCell ref="J438:J439"/>
    <mergeCell ref="X436:X437"/>
    <mergeCell ref="Y436:Y437"/>
    <mergeCell ref="Z436:Z437"/>
    <mergeCell ref="AA436:AA437"/>
    <mergeCell ref="AB436:AB437"/>
    <mergeCell ref="K436:K437"/>
    <mergeCell ref="L436:L437"/>
    <mergeCell ref="M436:M437"/>
    <mergeCell ref="N436:N437"/>
    <mergeCell ref="O436:O437"/>
    <mergeCell ref="A436:A437"/>
    <mergeCell ref="E436:E437"/>
    <mergeCell ref="H436:H437"/>
    <mergeCell ref="I436:I437"/>
    <mergeCell ref="J436:J437"/>
    <mergeCell ref="X434:X435"/>
    <mergeCell ref="Y434:Y435"/>
    <mergeCell ref="Z434:Z435"/>
    <mergeCell ref="AA434:AA435"/>
    <mergeCell ref="AB434:AB435"/>
    <mergeCell ref="K434:K435"/>
    <mergeCell ref="L434:L435"/>
    <mergeCell ref="M434:M435"/>
    <mergeCell ref="N434:N435"/>
    <mergeCell ref="O434:O435"/>
    <mergeCell ref="A434:A435"/>
    <mergeCell ref="E434:E435"/>
    <mergeCell ref="H434:H435"/>
    <mergeCell ref="I434:I435"/>
    <mergeCell ref="J434:J435"/>
    <mergeCell ref="X432:X433"/>
    <mergeCell ref="Y432:Y433"/>
    <mergeCell ref="Z432:Z433"/>
    <mergeCell ref="AA432:AA433"/>
    <mergeCell ref="AB432:AB433"/>
    <mergeCell ref="K432:K433"/>
    <mergeCell ref="L432:L433"/>
    <mergeCell ref="M432:M433"/>
    <mergeCell ref="N432:N433"/>
    <mergeCell ref="O432:O433"/>
    <mergeCell ref="A432:A433"/>
    <mergeCell ref="E432:E433"/>
    <mergeCell ref="H432:H433"/>
    <mergeCell ref="I432:I433"/>
    <mergeCell ref="J432:J433"/>
    <mergeCell ref="X430:X431"/>
    <mergeCell ref="Y430:Y431"/>
    <mergeCell ref="Z430:Z431"/>
    <mergeCell ref="AA430:AA431"/>
    <mergeCell ref="AB430:AB431"/>
    <mergeCell ref="K430:K431"/>
    <mergeCell ref="L430:L431"/>
    <mergeCell ref="M430:M431"/>
    <mergeCell ref="N430:N431"/>
    <mergeCell ref="O430:O431"/>
    <mergeCell ref="A430:A431"/>
    <mergeCell ref="E430:E431"/>
    <mergeCell ref="H430:H431"/>
    <mergeCell ref="I430:I431"/>
    <mergeCell ref="J430:J431"/>
    <mergeCell ref="X428:X429"/>
    <mergeCell ref="Y428:Y429"/>
    <mergeCell ref="Z428:Z429"/>
    <mergeCell ref="AA428:AA429"/>
    <mergeCell ref="AB428:AB429"/>
    <mergeCell ref="K428:K429"/>
    <mergeCell ref="L428:L429"/>
    <mergeCell ref="M428:M429"/>
    <mergeCell ref="N428:N429"/>
    <mergeCell ref="O428:O429"/>
    <mergeCell ref="A428:A429"/>
    <mergeCell ref="E428:E429"/>
    <mergeCell ref="H428:H429"/>
    <mergeCell ref="I428:I429"/>
    <mergeCell ref="J428:J429"/>
    <mergeCell ref="X426:X427"/>
    <mergeCell ref="Y426:Y427"/>
    <mergeCell ref="Z426:Z427"/>
    <mergeCell ref="AA426:AA427"/>
    <mergeCell ref="AB426:AB427"/>
    <mergeCell ref="K426:K427"/>
    <mergeCell ref="L426:L427"/>
    <mergeCell ref="M426:M427"/>
    <mergeCell ref="N426:N427"/>
    <mergeCell ref="O426:O427"/>
    <mergeCell ref="A426:A427"/>
    <mergeCell ref="E426:E427"/>
    <mergeCell ref="H426:H427"/>
    <mergeCell ref="I426:I427"/>
    <mergeCell ref="J426:J427"/>
    <mergeCell ref="X424:X425"/>
    <mergeCell ref="Y424:Y425"/>
    <mergeCell ref="Z424:Z425"/>
    <mergeCell ref="AA424:AA425"/>
    <mergeCell ref="AB424:AB425"/>
    <mergeCell ref="K424:K425"/>
    <mergeCell ref="L424:L425"/>
    <mergeCell ref="M424:M425"/>
    <mergeCell ref="N424:N425"/>
    <mergeCell ref="O424:O425"/>
    <mergeCell ref="A424:A425"/>
    <mergeCell ref="E424:E425"/>
    <mergeCell ref="H424:H425"/>
    <mergeCell ref="I424:I425"/>
    <mergeCell ref="J424:J425"/>
    <mergeCell ref="X422:X423"/>
    <mergeCell ref="Y422:Y423"/>
    <mergeCell ref="Z422:Z423"/>
    <mergeCell ref="AA422:AA423"/>
    <mergeCell ref="AB422:AB423"/>
    <mergeCell ref="K422:K423"/>
    <mergeCell ref="L422:L423"/>
    <mergeCell ref="M422:M423"/>
    <mergeCell ref="N422:N423"/>
    <mergeCell ref="O422:O423"/>
    <mergeCell ref="A422:A423"/>
    <mergeCell ref="E422:E423"/>
    <mergeCell ref="H422:H423"/>
    <mergeCell ref="I422:I423"/>
    <mergeCell ref="J422:J423"/>
    <mergeCell ref="X420:X421"/>
    <mergeCell ref="Y420:Y421"/>
    <mergeCell ref="Z420:Z421"/>
    <mergeCell ref="AA420:AA421"/>
    <mergeCell ref="AB420:AB421"/>
    <mergeCell ref="K420:K421"/>
    <mergeCell ref="L420:L421"/>
    <mergeCell ref="M420:M421"/>
    <mergeCell ref="N420:N421"/>
    <mergeCell ref="O420:O421"/>
    <mergeCell ref="A420:A421"/>
    <mergeCell ref="E420:E421"/>
    <mergeCell ref="H420:H421"/>
    <mergeCell ref="I420:I421"/>
    <mergeCell ref="J420:J421"/>
    <mergeCell ref="X418:X419"/>
    <mergeCell ref="Y418:Y419"/>
    <mergeCell ref="Z418:Z419"/>
    <mergeCell ref="AA418:AA419"/>
    <mergeCell ref="AB418:AB419"/>
    <mergeCell ref="K418:K419"/>
    <mergeCell ref="L418:L419"/>
    <mergeCell ref="M418:M419"/>
    <mergeCell ref="N418:N419"/>
    <mergeCell ref="O418:O419"/>
    <mergeCell ref="A418:A419"/>
    <mergeCell ref="E418:E419"/>
    <mergeCell ref="H418:H419"/>
    <mergeCell ref="I418:I419"/>
    <mergeCell ref="J418:J419"/>
    <mergeCell ref="X416:X417"/>
    <mergeCell ref="Y416:Y417"/>
    <mergeCell ref="Z416:Z417"/>
    <mergeCell ref="AA416:AA417"/>
    <mergeCell ref="AB416:AB417"/>
    <mergeCell ref="K416:K417"/>
    <mergeCell ref="L416:L417"/>
    <mergeCell ref="M416:M417"/>
    <mergeCell ref="N416:N417"/>
    <mergeCell ref="O416:O417"/>
    <mergeCell ref="A416:A417"/>
    <mergeCell ref="E416:E417"/>
    <mergeCell ref="H416:H417"/>
    <mergeCell ref="I416:I417"/>
    <mergeCell ref="J416:J417"/>
    <mergeCell ref="X414:X415"/>
    <mergeCell ref="Y414:Y415"/>
    <mergeCell ref="Z414:Z415"/>
    <mergeCell ref="AA414:AA415"/>
    <mergeCell ref="AB414:AB415"/>
    <mergeCell ref="K414:K415"/>
    <mergeCell ref="L414:L415"/>
    <mergeCell ref="M414:M415"/>
    <mergeCell ref="N414:N415"/>
    <mergeCell ref="O414:O415"/>
    <mergeCell ref="A414:A415"/>
    <mergeCell ref="E414:E415"/>
    <mergeCell ref="H414:H415"/>
    <mergeCell ref="I414:I415"/>
    <mergeCell ref="J414:J415"/>
    <mergeCell ref="X412:X413"/>
    <mergeCell ref="Y412:Y413"/>
    <mergeCell ref="Z412:Z413"/>
    <mergeCell ref="AA412:AA413"/>
    <mergeCell ref="AB412:AB413"/>
    <mergeCell ref="K412:K413"/>
    <mergeCell ref="L412:L413"/>
    <mergeCell ref="M412:M413"/>
    <mergeCell ref="N412:N413"/>
    <mergeCell ref="O412:O413"/>
    <mergeCell ref="A412:A413"/>
    <mergeCell ref="E412:E413"/>
    <mergeCell ref="H412:H413"/>
    <mergeCell ref="I412:I413"/>
    <mergeCell ref="J412:J413"/>
    <mergeCell ref="X410:X411"/>
    <mergeCell ref="Y410:Y411"/>
    <mergeCell ref="Z410:Z411"/>
    <mergeCell ref="AA410:AA411"/>
    <mergeCell ref="AB410:AB411"/>
    <mergeCell ref="K410:K411"/>
    <mergeCell ref="L410:L411"/>
    <mergeCell ref="M410:M411"/>
    <mergeCell ref="N410:N411"/>
    <mergeCell ref="O410:O411"/>
    <mergeCell ref="A410:A411"/>
    <mergeCell ref="E410:E411"/>
    <mergeCell ref="H410:H411"/>
    <mergeCell ref="I410:I411"/>
    <mergeCell ref="J410:J411"/>
    <mergeCell ref="X408:X409"/>
    <mergeCell ref="Y408:Y409"/>
    <mergeCell ref="Z408:Z409"/>
    <mergeCell ref="AA408:AA409"/>
    <mergeCell ref="AB408:AB409"/>
    <mergeCell ref="K408:K409"/>
    <mergeCell ref="L408:L409"/>
    <mergeCell ref="M408:M409"/>
    <mergeCell ref="N408:N409"/>
    <mergeCell ref="O408:O409"/>
    <mergeCell ref="A408:A409"/>
    <mergeCell ref="E408:E409"/>
    <mergeCell ref="H408:H409"/>
    <mergeCell ref="I408:I409"/>
    <mergeCell ref="J408:J409"/>
    <mergeCell ref="X406:X407"/>
    <mergeCell ref="Y406:Y407"/>
    <mergeCell ref="Z406:Z407"/>
    <mergeCell ref="AA406:AA407"/>
    <mergeCell ref="AB406:AB407"/>
    <mergeCell ref="K406:K407"/>
    <mergeCell ref="L406:L407"/>
    <mergeCell ref="M406:M407"/>
    <mergeCell ref="N406:N407"/>
    <mergeCell ref="O406:O407"/>
    <mergeCell ref="A406:A407"/>
    <mergeCell ref="E406:E407"/>
    <mergeCell ref="H406:H407"/>
    <mergeCell ref="I406:I407"/>
    <mergeCell ref="J406:J407"/>
    <mergeCell ref="X404:X405"/>
    <mergeCell ref="Y404:Y405"/>
    <mergeCell ref="Z404:Z405"/>
    <mergeCell ref="AA404:AA405"/>
    <mergeCell ref="AB404:AB405"/>
    <mergeCell ref="K404:K405"/>
    <mergeCell ref="L404:L405"/>
    <mergeCell ref="M404:M405"/>
    <mergeCell ref="N404:N405"/>
    <mergeCell ref="O404:O405"/>
    <mergeCell ref="A404:A405"/>
    <mergeCell ref="E404:E405"/>
    <mergeCell ref="H404:H405"/>
    <mergeCell ref="I404:I405"/>
    <mergeCell ref="J404:J405"/>
    <mergeCell ref="X402:X403"/>
    <mergeCell ref="Y402:Y403"/>
    <mergeCell ref="Z402:Z403"/>
    <mergeCell ref="AA402:AA403"/>
    <mergeCell ref="AB402:AB403"/>
    <mergeCell ref="K402:K403"/>
    <mergeCell ref="L402:L403"/>
    <mergeCell ref="M402:M403"/>
    <mergeCell ref="N402:N403"/>
    <mergeCell ref="O402:O403"/>
    <mergeCell ref="A402:A403"/>
    <mergeCell ref="E402:E403"/>
    <mergeCell ref="H402:H403"/>
    <mergeCell ref="I402:I403"/>
    <mergeCell ref="J402:J403"/>
    <mergeCell ref="X400:X401"/>
    <mergeCell ref="Y400:Y401"/>
    <mergeCell ref="Z400:Z401"/>
    <mergeCell ref="AA400:AA401"/>
    <mergeCell ref="AB400:AB401"/>
    <mergeCell ref="K400:K401"/>
    <mergeCell ref="L400:L401"/>
    <mergeCell ref="M400:M401"/>
    <mergeCell ref="N400:N401"/>
    <mergeCell ref="O400:O401"/>
    <mergeCell ref="A400:A401"/>
    <mergeCell ref="E400:E401"/>
    <mergeCell ref="H400:H401"/>
    <mergeCell ref="I400:I401"/>
    <mergeCell ref="J400:J401"/>
    <mergeCell ref="X398:X399"/>
    <mergeCell ref="Y398:Y399"/>
    <mergeCell ref="Z398:Z399"/>
    <mergeCell ref="AA398:AA399"/>
    <mergeCell ref="AB398:AB399"/>
    <mergeCell ref="K398:K399"/>
    <mergeCell ref="L398:L399"/>
    <mergeCell ref="M398:M399"/>
    <mergeCell ref="N398:N399"/>
    <mergeCell ref="O398:O399"/>
    <mergeCell ref="A398:A399"/>
    <mergeCell ref="E398:E399"/>
    <mergeCell ref="H398:H399"/>
    <mergeCell ref="I398:I399"/>
    <mergeCell ref="J398:J399"/>
    <mergeCell ref="X396:X397"/>
    <mergeCell ref="Y396:Y397"/>
    <mergeCell ref="Z396:Z397"/>
    <mergeCell ref="AA396:AA397"/>
    <mergeCell ref="AB396:AB397"/>
    <mergeCell ref="K396:K397"/>
    <mergeCell ref="L396:L397"/>
    <mergeCell ref="M396:M397"/>
    <mergeCell ref="N396:N397"/>
    <mergeCell ref="O396:O397"/>
    <mergeCell ref="A396:A397"/>
    <mergeCell ref="E396:E397"/>
    <mergeCell ref="H396:H397"/>
    <mergeCell ref="I396:I397"/>
    <mergeCell ref="J396:J397"/>
    <mergeCell ref="X394:X395"/>
    <mergeCell ref="Y394:Y395"/>
    <mergeCell ref="Z394:Z395"/>
    <mergeCell ref="AA394:AA395"/>
    <mergeCell ref="AB394:AB395"/>
    <mergeCell ref="K394:K395"/>
    <mergeCell ref="L394:L395"/>
    <mergeCell ref="M394:M395"/>
    <mergeCell ref="N394:N395"/>
    <mergeCell ref="O394:O395"/>
    <mergeCell ref="A394:A395"/>
    <mergeCell ref="E394:E395"/>
    <mergeCell ref="H394:H395"/>
    <mergeCell ref="I394:I395"/>
    <mergeCell ref="J394:J395"/>
    <mergeCell ref="X392:X393"/>
    <mergeCell ref="Y392:Y393"/>
    <mergeCell ref="Z392:Z393"/>
    <mergeCell ref="AA392:AA393"/>
    <mergeCell ref="AB392:AB393"/>
    <mergeCell ref="K392:K393"/>
    <mergeCell ref="L392:L393"/>
    <mergeCell ref="M392:M393"/>
    <mergeCell ref="N392:N393"/>
    <mergeCell ref="O392:O393"/>
    <mergeCell ref="A392:A393"/>
    <mergeCell ref="E392:E393"/>
    <mergeCell ref="H392:H393"/>
    <mergeCell ref="I392:I393"/>
    <mergeCell ref="J392:J393"/>
    <mergeCell ref="X390:X391"/>
    <mergeCell ref="Y390:Y391"/>
    <mergeCell ref="Z390:Z391"/>
    <mergeCell ref="AA390:AA391"/>
    <mergeCell ref="AB390:AB391"/>
    <mergeCell ref="K390:K391"/>
    <mergeCell ref="L390:L391"/>
    <mergeCell ref="M390:M391"/>
    <mergeCell ref="N390:N391"/>
    <mergeCell ref="O390:O391"/>
    <mergeCell ref="A390:A391"/>
    <mergeCell ref="E390:E391"/>
    <mergeCell ref="H390:H391"/>
    <mergeCell ref="I390:I391"/>
    <mergeCell ref="J390:J391"/>
    <mergeCell ref="X388:X389"/>
    <mergeCell ref="Y388:Y389"/>
    <mergeCell ref="Z388:Z389"/>
    <mergeCell ref="AA388:AA389"/>
    <mergeCell ref="AB388:AB389"/>
    <mergeCell ref="K388:K389"/>
    <mergeCell ref="L388:L389"/>
    <mergeCell ref="M388:M389"/>
    <mergeCell ref="N388:N389"/>
    <mergeCell ref="O388:O389"/>
    <mergeCell ref="A388:A389"/>
    <mergeCell ref="E388:E389"/>
    <mergeCell ref="H388:H389"/>
    <mergeCell ref="I388:I389"/>
    <mergeCell ref="J388:J389"/>
    <mergeCell ref="X386:X387"/>
    <mergeCell ref="Y386:Y387"/>
    <mergeCell ref="Z386:Z387"/>
    <mergeCell ref="AA386:AA387"/>
    <mergeCell ref="AB386:AB387"/>
    <mergeCell ref="K386:K387"/>
    <mergeCell ref="L386:L387"/>
    <mergeCell ref="M386:M387"/>
    <mergeCell ref="N386:N387"/>
    <mergeCell ref="O386:O387"/>
    <mergeCell ref="A386:A387"/>
    <mergeCell ref="E386:E387"/>
    <mergeCell ref="H386:H387"/>
    <mergeCell ref="I386:I387"/>
    <mergeCell ref="J386:J387"/>
    <mergeCell ref="X384:X385"/>
    <mergeCell ref="Y384:Y385"/>
    <mergeCell ref="Z384:Z385"/>
    <mergeCell ref="AA384:AA385"/>
    <mergeCell ref="AB384:AB385"/>
    <mergeCell ref="K384:K385"/>
    <mergeCell ref="L384:L385"/>
    <mergeCell ref="M384:M385"/>
    <mergeCell ref="N384:N385"/>
    <mergeCell ref="O384:O385"/>
    <mergeCell ref="A384:A385"/>
    <mergeCell ref="E384:E385"/>
    <mergeCell ref="H384:H385"/>
    <mergeCell ref="I384:I385"/>
    <mergeCell ref="J384:J385"/>
    <mergeCell ref="X382:X383"/>
    <mergeCell ref="Y382:Y383"/>
    <mergeCell ref="Z382:Z383"/>
    <mergeCell ref="AA382:AA383"/>
    <mergeCell ref="AB382:AB383"/>
    <mergeCell ref="K382:K383"/>
    <mergeCell ref="L382:L383"/>
    <mergeCell ref="M382:M383"/>
    <mergeCell ref="N382:N383"/>
    <mergeCell ref="O382:O383"/>
    <mergeCell ref="A382:A383"/>
    <mergeCell ref="E382:E383"/>
    <mergeCell ref="H382:H383"/>
    <mergeCell ref="I382:I383"/>
    <mergeCell ref="J382:J383"/>
    <mergeCell ref="X380:X381"/>
    <mergeCell ref="Y380:Y381"/>
    <mergeCell ref="Z380:Z381"/>
    <mergeCell ref="AA380:AA381"/>
    <mergeCell ref="AB380:AB381"/>
    <mergeCell ref="K380:K381"/>
    <mergeCell ref="L380:L381"/>
    <mergeCell ref="M380:M381"/>
    <mergeCell ref="N380:N381"/>
    <mergeCell ref="O380:O381"/>
    <mergeCell ref="A380:A381"/>
    <mergeCell ref="E380:E381"/>
    <mergeCell ref="H380:H381"/>
    <mergeCell ref="I380:I381"/>
    <mergeCell ref="J380:J381"/>
    <mergeCell ref="X378:X379"/>
    <mergeCell ref="Y378:Y379"/>
    <mergeCell ref="Z378:Z379"/>
    <mergeCell ref="AA378:AA379"/>
    <mergeCell ref="AB378:AB379"/>
    <mergeCell ref="K378:K379"/>
    <mergeCell ref="L378:L379"/>
    <mergeCell ref="M378:M379"/>
    <mergeCell ref="N378:N379"/>
    <mergeCell ref="O378:O379"/>
    <mergeCell ref="A378:A379"/>
    <mergeCell ref="E378:E379"/>
    <mergeCell ref="H378:H379"/>
    <mergeCell ref="I378:I379"/>
    <mergeCell ref="J378:J379"/>
    <mergeCell ref="X376:X377"/>
    <mergeCell ref="Y376:Y377"/>
    <mergeCell ref="Z376:Z377"/>
    <mergeCell ref="AA376:AA377"/>
    <mergeCell ref="AB376:AB377"/>
    <mergeCell ref="K376:K377"/>
    <mergeCell ref="L376:L377"/>
    <mergeCell ref="M376:M377"/>
    <mergeCell ref="N376:N377"/>
    <mergeCell ref="O376:O377"/>
    <mergeCell ref="A376:A377"/>
    <mergeCell ref="E376:E377"/>
    <mergeCell ref="H376:H377"/>
    <mergeCell ref="I376:I377"/>
    <mergeCell ref="J376:J377"/>
    <mergeCell ref="X374:X375"/>
    <mergeCell ref="Y374:Y375"/>
    <mergeCell ref="Z374:Z375"/>
    <mergeCell ref="AA374:AA375"/>
    <mergeCell ref="AB374:AB375"/>
    <mergeCell ref="K374:K375"/>
    <mergeCell ref="L374:L375"/>
    <mergeCell ref="M374:M375"/>
    <mergeCell ref="N374:N375"/>
    <mergeCell ref="O374:O375"/>
    <mergeCell ref="A374:A375"/>
    <mergeCell ref="E374:E375"/>
    <mergeCell ref="H374:H375"/>
    <mergeCell ref="I374:I375"/>
    <mergeCell ref="J374:J375"/>
    <mergeCell ref="X372:X373"/>
    <mergeCell ref="Y372:Y373"/>
    <mergeCell ref="Z372:Z373"/>
    <mergeCell ref="AA372:AA373"/>
    <mergeCell ref="AB372:AB373"/>
    <mergeCell ref="K372:K373"/>
    <mergeCell ref="L372:L373"/>
    <mergeCell ref="M372:M373"/>
    <mergeCell ref="N372:N373"/>
    <mergeCell ref="O372:O373"/>
    <mergeCell ref="A372:A373"/>
    <mergeCell ref="E372:E373"/>
    <mergeCell ref="H372:H373"/>
    <mergeCell ref="I372:I373"/>
    <mergeCell ref="J372:J373"/>
    <mergeCell ref="X370:X371"/>
    <mergeCell ref="Y370:Y371"/>
    <mergeCell ref="Z370:Z371"/>
    <mergeCell ref="AA370:AA371"/>
    <mergeCell ref="AB370:AB371"/>
    <mergeCell ref="K370:K371"/>
    <mergeCell ref="L370:L371"/>
    <mergeCell ref="M370:M371"/>
    <mergeCell ref="N370:N371"/>
    <mergeCell ref="O370:O371"/>
    <mergeCell ref="A370:A371"/>
    <mergeCell ref="E370:E371"/>
    <mergeCell ref="H370:H371"/>
    <mergeCell ref="I370:I371"/>
    <mergeCell ref="J370:J371"/>
    <mergeCell ref="X368:X369"/>
    <mergeCell ref="Y368:Y369"/>
    <mergeCell ref="Z368:Z369"/>
    <mergeCell ref="AA368:AA369"/>
    <mergeCell ref="AB368:AB369"/>
    <mergeCell ref="K368:K369"/>
    <mergeCell ref="L368:L369"/>
    <mergeCell ref="M368:M369"/>
    <mergeCell ref="N368:N369"/>
    <mergeCell ref="O368:O369"/>
    <mergeCell ref="A368:A369"/>
    <mergeCell ref="E368:E369"/>
    <mergeCell ref="H368:H369"/>
    <mergeCell ref="I368:I369"/>
    <mergeCell ref="J368:J369"/>
    <mergeCell ref="X366:X367"/>
    <mergeCell ref="Y366:Y367"/>
    <mergeCell ref="Z366:Z367"/>
    <mergeCell ref="AA366:AA367"/>
    <mergeCell ref="AB366:AB367"/>
    <mergeCell ref="K366:K367"/>
    <mergeCell ref="L366:L367"/>
    <mergeCell ref="M366:M367"/>
    <mergeCell ref="N366:N367"/>
    <mergeCell ref="O366:O367"/>
    <mergeCell ref="A366:A367"/>
    <mergeCell ref="E366:E367"/>
    <mergeCell ref="H366:H367"/>
    <mergeCell ref="I366:I367"/>
    <mergeCell ref="J366:J367"/>
    <mergeCell ref="X364:X365"/>
    <mergeCell ref="Y364:Y365"/>
    <mergeCell ref="Z364:Z365"/>
    <mergeCell ref="AA364:AA365"/>
    <mergeCell ref="AB364:AB365"/>
    <mergeCell ref="K364:K365"/>
    <mergeCell ref="L364:L365"/>
    <mergeCell ref="M364:M365"/>
    <mergeCell ref="N364:N365"/>
    <mergeCell ref="O364:O365"/>
    <mergeCell ref="A364:A365"/>
    <mergeCell ref="E364:E365"/>
    <mergeCell ref="H364:H365"/>
    <mergeCell ref="I364:I365"/>
    <mergeCell ref="J364:J365"/>
    <mergeCell ref="X362:X363"/>
    <mergeCell ref="Y362:Y363"/>
    <mergeCell ref="Z362:Z363"/>
    <mergeCell ref="AA362:AA363"/>
    <mergeCell ref="AB362:AB363"/>
    <mergeCell ref="K362:K363"/>
    <mergeCell ref="L362:L363"/>
    <mergeCell ref="M362:M363"/>
    <mergeCell ref="N362:N363"/>
    <mergeCell ref="O362:O363"/>
    <mergeCell ref="A362:A363"/>
    <mergeCell ref="E362:E363"/>
    <mergeCell ref="H362:H363"/>
    <mergeCell ref="I362:I363"/>
    <mergeCell ref="J362:J363"/>
    <mergeCell ref="X360:X361"/>
    <mergeCell ref="Y360:Y361"/>
    <mergeCell ref="Z360:Z361"/>
    <mergeCell ref="AA360:AA361"/>
    <mergeCell ref="AB360:AB361"/>
    <mergeCell ref="K360:K361"/>
    <mergeCell ref="L360:L361"/>
    <mergeCell ref="M360:M361"/>
    <mergeCell ref="N360:N361"/>
    <mergeCell ref="O360:O361"/>
    <mergeCell ref="A360:A361"/>
    <mergeCell ref="E360:E361"/>
    <mergeCell ref="H360:H361"/>
    <mergeCell ref="I360:I361"/>
    <mergeCell ref="J360:J361"/>
    <mergeCell ref="X358:X359"/>
    <mergeCell ref="Y358:Y359"/>
    <mergeCell ref="Z358:Z359"/>
    <mergeCell ref="AA358:AA359"/>
    <mergeCell ref="AB358:AB359"/>
    <mergeCell ref="K358:K359"/>
    <mergeCell ref="L358:L359"/>
    <mergeCell ref="M358:M359"/>
    <mergeCell ref="N358:N359"/>
    <mergeCell ref="O358:O359"/>
    <mergeCell ref="A358:A359"/>
    <mergeCell ref="E358:E359"/>
    <mergeCell ref="H358:H359"/>
    <mergeCell ref="I358:I359"/>
    <mergeCell ref="J358:J359"/>
    <mergeCell ref="X356:X357"/>
    <mergeCell ref="Y356:Y357"/>
    <mergeCell ref="Z356:Z357"/>
    <mergeCell ref="AA356:AA357"/>
    <mergeCell ref="AB356:AB357"/>
    <mergeCell ref="K356:K357"/>
    <mergeCell ref="L356:L357"/>
    <mergeCell ref="M356:M357"/>
    <mergeCell ref="N356:N357"/>
    <mergeCell ref="O356:O357"/>
    <mergeCell ref="A356:A357"/>
    <mergeCell ref="E356:E357"/>
    <mergeCell ref="H356:H357"/>
    <mergeCell ref="I356:I357"/>
    <mergeCell ref="J356:J357"/>
    <mergeCell ref="X354:X355"/>
    <mergeCell ref="Y354:Y355"/>
    <mergeCell ref="Z354:Z355"/>
    <mergeCell ref="AA354:AA355"/>
    <mergeCell ref="AB354:AB355"/>
    <mergeCell ref="K354:K355"/>
    <mergeCell ref="L354:L355"/>
    <mergeCell ref="M354:M355"/>
    <mergeCell ref="N354:N355"/>
    <mergeCell ref="O354:O355"/>
    <mergeCell ref="A354:A355"/>
    <mergeCell ref="E354:E355"/>
    <mergeCell ref="H354:H355"/>
    <mergeCell ref="I354:I355"/>
    <mergeCell ref="J354:J355"/>
    <mergeCell ref="X352:X353"/>
    <mergeCell ref="Y352:Y353"/>
    <mergeCell ref="Z352:Z353"/>
    <mergeCell ref="AA352:AA353"/>
    <mergeCell ref="AB352:AB353"/>
    <mergeCell ref="K352:K353"/>
    <mergeCell ref="L352:L353"/>
    <mergeCell ref="M352:M353"/>
    <mergeCell ref="N352:N353"/>
    <mergeCell ref="O352:O353"/>
    <mergeCell ref="A352:A353"/>
    <mergeCell ref="E352:E353"/>
    <mergeCell ref="H352:H353"/>
    <mergeCell ref="I352:I353"/>
    <mergeCell ref="J352:J353"/>
    <mergeCell ref="X350:X351"/>
    <mergeCell ref="Y350:Y351"/>
    <mergeCell ref="Z350:Z351"/>
    <mergeCell ref="AA350:AA351"/>
    <mergeCell ref="AB350:AB351"/>
    <mergeCell ref="K350:K351"/>
    <mergeCell ref="L350:L351"/>
    <mergeCell ref="M350:M351"/>
    <mergeCell ref="N350:N351"/>
    <mergeCell ref="O350:O351"/>
    <mergeCell ref="A350:A351"/>
    <mergeCell ref="E350:E351"/>
    <mergeCell ref="H350:H351"/>
    <mergeCell ref="I350:I351"/>
    <mergeCell ref="J350:J351"/>
    <mergeCell ref="X348:X349"/>
    <mergeCell ref="Y348:Y349"/>
    <mergeCell ref="Z348:Z349"/>
    <mergeCell ref="AA348:AA349"/>
    <mergeCell ref="AB348:AB349"/>
    <mergeCell ref="K348:K349"/>
    <mergeCell ref="L348:L349"/>
    <mergeCell ref="M348:M349"/>
    <mergeCell ref="N348:N349"/>
    <mergeCell ref="O348:O349"/>
    <mergeCell ref="A348:A349"/>
    <mergeCell ref="E348:E349"/>
    <mergeCell ref="H348:H349"/>
    <mergeCell ref="I348:I349"/>
    <mergeCell ref="J348:J349"/>
    <mergeCell ref="X346:X347"/>
    <mergeCell ref="Y346:Y347"/>
    <mergeCell ref="Z346:Z347"/>
    <mergeCell ref="AA346:AA347"/>
    <mergeCell ref="AB346:AB347"/>
    <mergeCell ref="K346:K347"/>
    <mergeCell ref="L346:L347"/>
    <mergeCell ref="M346:M347"/>
    <mergeCell ref="N346:N347"/>
    <mergeCell ref="O346:O347"/>
    <mergeCell ref="A346:A347"/>
    <mergeCell ref="E346:E347"/>
    <mergeCell ref="H346:H347"/>
    <mergeCell ref="I346:I347"/>
    <mergeCell ref="J346:J347"/>
    <mergeCell ref="X344:X345"/>
    <mergeCell ref="Y344:Y345"/>
    <mergeCell ref="Z344:Z345"/>
    <mergeCell ref="AA344:AA345"/>
    <mergeCell ref="AB344:AB345"/>
    <mergeCell ref="K344:K345"/>
    <mergeCell ref="L344:L345"/>
    <mergeCell ref="M344:M345"/>
    <mergeCell ref="N344:N345"/>
    <mergeCell ref="O344:O345"/>
    <mergeCell ref="A344:A345"/>
    <mergeCell ref="E344:E345"/>
    <mergeCell ref="H344:H345"/>
    <mergeCell ref="I344:I345"/>
    <mergeCell ref="J344:J345"/>
    <mergeCell ref="X342:X343"/>
    <mergeCell ref="Y342:Y343"/>
    <mergeCell ref="Z342:Z343"/>
    <mergeCell ref="AA342:AA343"/>
    <mergeCell ref="AB342:AB343"/>
    <mergeCell ref="K342:K343"/>
    <mergeCell ref="L342:L343"/>
    <mergeCell ref="M342:M343"/>
    <mergeCell ref="N342:N343"/>
    <mergeCell ref="O342:O343"/>
    <mergeCell ref="A342:A343"/>
    <mergeCell ref="E342:E343"/>
    <mergeCell ref="H342:H343"/>
    <mergeCell ref="I342:I343"/>
    <mergeCell ref="J342:J343"/>
    <mergeCell ref="X340:X341"/>
    <mergeCell ref="Y340:Y341"/>
    <mergeCell ref="Z340:Z341"/>
    <mergeCell ref="AA340:AA341"/>
    <mergeCell ref="AB340:AB341"/>
    <mergeCell ref="K340:K341"/>
    <mergeCell ref="L340:L341"/>
    <mergeCell ref="M340:M341"/>
    <mergeCell ref="N340:N341"/>
    <mergeCell ref="O340:O341"/>
    <mergeCell ref="A340:A341"/>
    <mergeCell ref="E340:E341"/>
    <mergeCell ref="H340:H341"/>
    <mergeCell ref="I340:I341"/>
    <mergeCell ref="J340:J341"/>
    <mergeCell ref="X338:X339"/>
    <mergeCell ref="Y338:Y339"/>
    <mergeCell ref="Z338:Z339"/>
    <mergeCell ref="AA338:AA339"/>
    <mergeCell ref="AB338:AB339"/>
    <mergeCell ref="K338:K339"/>
    <mergeCell ref="L338:L339"/>
    <mergeCell ref="M338:M339"/>
    <mergeCell ref="N338:N339"/>
    <mergeCell ref="O338:O339"/>
    <mergeCell ref="A338:A339"/>
    <mergeCell ref="E338:E339"/>
    <mergeCell ref="H338:H339"/>
    <mergeCell ref="I338:I339"/>
    <mergeCell ref="J338:J339"/>
    <mergeCell ref="X336:X337"/>
    <mergeCell ref="Y336:Y337"/>
    <mergeCell ref="Z336:Z337"/>
    <mergeCell ref="AA336:AA337"/>
    <mergeCell ref="AB336:AB337"/>
    <mergeCell ref="K336:K337"/>
    <mergeCell ref="L336:L337"/>
    <mergeCell ref="M336:M337"/>
    <mergeCell ref="N336:N337"/>
    <mergeCell ref="O336:O337"/>
    <mergeCell ref="A336:A337"/>
    <mergeCell ref="E336:E337"/>
    <mergeCell ref="H336:H337"/>
    <mergeCell ref="I336:I337"/>
    <mergeCell ref="J336:J337"/>
    <mergeCell ref="X334:X335"/>
    <mergeCell ref="Y334:Y335"/>
    <mergeCell ref="Z334:Z335"/>
    <mergeCell ref="AA334:AA335"/>
    <mergeCell ref="AB334:AB335"/>
    <mergeCell ref="K334:K335"/>
    <mergeCell ref="L334:L335"/>
    <mergeCell ref="M334:M335"/>
    <mergeCell ref="N334:N335"/>
    <mergeCell ref="O334:O335"/>
    <mergeCell ref="A334:A335"/>
    <mergeCell ref="E334:E335"/>
    <mergeCell ref="H334:H335"/>
    <mergeCell ref="I334:I335"/>
    <mergeCell ref="J334:J335"/>
    <mergeCell ref="X332:X333"/>
    <mergeCell ref="Y332:Y333"/>
    <mergeCell ref="Z332:Z333"/>
    <mergeCell ref="AA332:AA333"/>
    <mergeCell ref="AB332:AB333"/>
    <mergeCell ref="K332:K333"/>
    <mergeCell ref="L332:L333"/>
    <mergeCell ref="M332:M333"/>
    <mergeCell ref="N332:N333"/>
    <mergeCell ref="O332:O333"/>
    <mergeCell ref="A332:A333"/>
    <mergeCell ref="E332:E333"/>
    <mergeCell ref="H332:H333"/>
    <mergeCell ref="I332:I333"/>
    <mergeCell ref="J332:J333"/>
    <mergeCell ref="X330:X331"/>
    <mergeCell ref="Y330:Y331"/>
    <mergeCell ref="Z330:Z331"/>
    <mergeCell ref="AA330:AA331"/>
    <mergeCell ref="AB330:AB331"/>
    <mergeCell ref="K330:K331"/>
    <mergeCell ref="L330:L331"/>
    <mergeCell ref="M330:M331"/>
    <mergeCell ref="N330:N331"/>
    <mergeCell ref="O330:O331"/>
    <mergeCell ref="A330:A331"/>
    <mergeCell ref="E330:E331"/>
    <mergeCell ref="H330:H331"/>
    <mergeCell ref="I330:I331"/>
    <mergeCell ref="J330:J331"/>
    <mergeCell ref="X328:X329"/>
    <mergeCell ref="Y328:Y329"/>
    <mergeCell ref="Z328:Z329"/>
    <mergeCell ref="AA328:AA329"/>
    <mergeCell ref="AB328:AB329"/>
    <mergeCell ref="K328:K329"/>
    <mergeCell ref="L328:L329"/>
    <mergeCell ref="M328:M329"/>
    <mergeCell ref="N328:N329"/>
    <mergeCell ref="O328:O329"/>
    <mergeCell ref="A328:A329"/>
    <mergeCell ref="E328:E329"/>
    <mergeCell ref="H328:H329"/>
    <mergeCell ref="I328:I329"/>
    <mergeCell ref="J328:J329"/>
    <mergeCell ref="X326:X327"/>
    <mergeCell ref="Y326:Y327"/>
    <mergeCell ref="Z326:Z327"/>
    <mergeCell ref="AA326:AA327"/>
    <mergeCell ref="AB326:AB327"/>
    <mergeCell ref="K326:K327"/>
    <mergeCell ref="L326:L327"/>
    <mergeCell ref="M326:M327"/>
    <mergeCell ref="N326:N327"/>
    <mergeCell ref="O326:O327"/>
    <mergeCell ref="A326:A327"/>
    <mergeCell ref="E326:E327"/>
    <mergeCell ref="H326:H327"/>
    <mergeCell ref="I326:I327"/>
    <mergeCell ref="J326:J327"/>
    <mergeCell ref="X324:X325"/>
    <mergeCell ref="Y324:Y325"/>
    <mergeCell ref="Z324:Z325"/>
    <mergeCell ref="AA324:AA325"/>
    <mergeCell ref="AB324:AB325"/>
    <mergeCell ref="K324:K325"/>
    <mergeCell ref="L324:L325"/>
    <mergeCell ref="M324:M325"/>
    <mergeCell ref="N324:N325"/>
    <mergeCell ref="O324:O325"/>
    <mergeCell ref="A324:A325"/>
    <mergeCell ref="E324:E325"/>
    <mergeCell ref="H324:H325"/>
    <mergeCell ref="I324:I325"/>
    <mergeCell ref="J324:J325"/>
    <mergeCell ref="X322:X323"/>
    <mergeCell ref="Y322:Y323"/>
    <mergeCell ref="Z322:Z323"/>
    <mergeCell ref="AA322:AA323"/>
    <mergeCell ref="AB322:AB323"/>
    <mergeCell ref="K322:K323"/>
    <mergeCell ref="L322:L323"/>
    <mergeCell ref="M322:M323"/>
    <mergeCell ref="N322:N323"/>
    <mergeCell ref="O322:O323"/>
    <mergeCell ref="A322:A323"/>
    <mergeCell ref="E322:E323"/>
    <mergeCell ref="H322:H323"/>
    <mergeCell ref="I322:I323"/>
    <mergeCell ref="J322:J323"/>
    <mergeCell ref="X320:X321"/>
    <mergeCell ref="Y320:Y321"/>
    <mergeCell ref="Z320:Z321"/>
    <mergeCell ref="AA320:AA321"/>
    <mergeCell ref="AB320:AB321"/>
    <mergeCell ref="K320:K321"/>
    <mergeCell ref="L320:L321"/>
    <mergeCell ref="M320:M321"/>
    <mergeCell ref="N320:N321"/>
    <mergeCell ref="O320:O321"/>
    <mergeCell ref="A320:A321"/>
    <mergeCell ref="E320:E321"/>
    <mergeCell ref="H320:H321"/>
    <mergeCell ref="I320:I321"/>
    <mergeCell ref="J320:J321"/>
    <mergeCell ref="X318:X319"/>
    <mergeCell ref="Y318:Y319"/>
    <mergeCell ref="Z318:Z319"/>
    <mergeCell ref="AA318:AA319"/>
    <mergeCell ref="AB318:AB319"/>
    <mergeCell ref="K318:K319"/>
    <mergeCell ref="L318:L319"/>
    <mergeCell ref="M318:M319"/>
    <mergeCell ref="N318:N319"/>
    <mergeCell ref="O318:O319"/>
    <mergeCell ref="A318:A319"/>
    <mergeCell ref="E318:E319"/>
    <mergeCell ref="H318:H319"/>
    <mergeCell ref="I318:I319"/>
    <mergeCell ref="J318:J319"/>
    <mergeCell ref="X316:X317"/>
    <mergeCell ref="Y316:Y317"/>
    <mergeCell ref="Z316:Z317"/>
    <mergeCell ref="AA316:AA317"/>
    <mergeCell ref="AB316:AB317"/>
    <mergeCell ref="K316:K317"/>
    <mergeCell ref="L316:L317"/>
    <mergeCell ref="M316:M317"/>
    <mergeCell ref="N316:N317"/>
    <mergeCell ref="O316:O317"/>
    <mergeCell ref="A316:A317"/>
    <mergeCell ref="E316:E317"/>
    <mergeCell ref="H316:H317"/>
    <mergeCell ref="I316:I317"/>
    <mergeCell ref="J316:J317"/>
    <mergeCell ref="X314:X315"/>
    <mergeCell ref="Y314:Y315"/>
    <mergeCell ref="Z314:Z315"/>
    <mergeCell ref="AA314:AA315"/>
    <mergeCell ref="AB314:AB315"/>
    <mergeCell ref="K314:K315"/>
    <mergeCell ref="L314:L315"/>
    <mergeCell ref="M314:M315"/>
    <mergeCell ref="N314:N315"/>
    <mergeCell ref="O314:O315"/>
    <mergeCell ref="A314:A315"/>
    <mergeCell ref="E314:E315"/>
    <mergeCell ref="H314:H315"/>
    <mergeCell ref="I314:I315"/>
    <mergeCell ref="J314:J315"/>
    <mergeCell ref="X312:X313"/>
    <mergeCell ref="Y312:Y313"/>
    <mergeCell ref="Z312:Z313"/>
    <mergeCell ref="AA312:AA313"/>
    <mergeCell ref="AB312:AB313"/>
    <mergeCell ref="K312:K313"/>
    <mergeCell ref="L312:L313"/>
    <mergeCell ref="M312:M313"/>
    <mergeCell ref="N312:N313"/>
    <mergeCell ref="O312:O313"/>
    <mergeCell ref="A312:A313"/>
    <mergeCell ref="E312:E313"/>
    <mergeCell ref="H312:H313"/>
    <mergeCell ref="I312:I313"/>
    <mergeCell ref="J312:J313"/>
    <mergeCell ref="X310:X311"/>
    <mergeCell ref="Y310:Y311"/>
    <mergeCell ref="Z310:Z311"/>
    <mergeCell ref="AA310:AA311"/>
    <mergeCell ref="AB310:AB311"/>
    <mergeCell ref="K310:K311"/>
    <mergeCell ref="L310:L311"/>
    <mergeCell ref="M310:M311"/>
    <mergeCell ref="N310:N311"/>
    <mergeCell ref="O310:O311"/>
    <mergeCell ref="A310:A311"/>
    <mergeCell ref="E310:E311"/>
    <mergeCell ref="H310:H311"/>
    <mergeCell ref="I310:I311"/>
    <mergeCell ref="J310:J311"/>
    <mergeCell ref="X308:X309"/>
    <mergeCell ref="Y308:Y309"/>
    <mergeCell ref="Z308:Z309"/>
    <mergeCell ref="AA308:AA309"/>
    <mergeCell ref="AB308:AB309"/>
    <mergeCell ref="K308:K309"/>
    <mergeCell ref="L308:L309"/>
    <mergeCell ref="M308:M309"/>
    <mergeCell ref="N308:N309"/>
    <mergeCell ref="O308:O309"/>
    <mergeCell ref="A308:A309"/>
    <mergeCell ref="E308:E309"/>
    <mergeCell ref="H308:H309"/>
    <mergeCell ref="I308:I309"/>
    <mergeCell ref="J308:J309"/>
    <mergeCell ref="X306:X307"/>
    <mergeCell ref="Y306:Y307"/>
    <mergeCell ref="Z306:Z307"/>
    <mergeCell ref="AA306:AA307"/>
    <mergeCell ref="AB306:AB307"/>
    <mergeCell ref="K306:K307"/>
    <mergeCell ref="L306:L307"/>
    <mergeCell ref="M306:M307"/>
    <mergeCell ref="N306:N307"/>
    <mergeCell ref="O306:O307"/>
    <mergeCell ref="A306:A307"/>
    <mergeCell ref="E306:E307"/>
    <mergeCell ref="H306:H307"/>
    <mergeCell ref="I306:I307"/>
    <mergeCell ref="J306:J307"/>
    <mergeCell ref="X304:X305"/>
    <mergeCell ref="Y304:Y305"/>
    <mergeCell ref="Z304:Z305"/>
    <mergeCell ref="AA304:AA305"/>
    <mergeCell ref="AB304:AB305"/>
    <mergeCell ref="K304:K305"/>
    <mergeCell ref="L304:L305"/>
    <mergeCell ref="M304:M305"/>
    <mergeCell ref="N304:N305"/>
    <mergeCell ref="O304:O305"/>
    <mergeCell ref="A304:A305"/>
    <mergeCell ref="E304:E305"/>
    <mergeCell ref="H304:H305"/>
    <mergeCell ref="I304:I305"/>
    <mergeCell ref="J304:J305"/>
    <mergeCell ref="X302:X303"/>
    <mergeCell ref="Y302:Y303"/>
    <mergeCell ref="Z302:Z303"/>
    <mergeCell ref="AA302:AA303"/>
    <mergeCell ref="AB302:AB303"/>
    <mergeCell ref="K302:K303"/>
    <mergeCell ref="L302:L303"/>
    <mergeCell ref="M302:M303"/>
    <mergeCell ref="N302:N303"/>
    <mergeCell ref="O302:O303"/>
    <mergeCell ref="A302:A303"/>
    <mergeCell ref="E302:E303"/>
    <mergeCell ref="H302:H303"/>
    <mergeCell ref="I302:I303"/>
    <mergeCell ref="J302:J303"/>
    <mergeCell ref="X300:X301"/>
    <mergeCell ref="Y300:Y301"/>
    <mergeCell ref="Z300:Z301"/>
    <mergeCell ref="AA300:AA301"/>
    <mergeCell ref="AB300:AB301"/>
    <mergeCell ref="K300:K301"/>
    <mergeCell ref="L300:L301"/>
    <mergeCell ref="M300:M301"/>
    <mergeCell ref="N300:N301"/>
    <mergeCell ref="O300:O301"/>
    <mergeCell ref="A300:A301"/>
    <mergeCell ref="E300:E301"/>
    <mergeCell ref="H300:H301"/>
    <mergeCell ref="I300:I301"/>
    <mergeCell ref="J300:J301"/>
    <mergeCell ref="X298:X299"/>
    <mergeCell ref="Y298:Y299"/>
    <mergeCell ref="Z298:Z299"/>
    <mergeCell ref="AA298:AA299"/>
    <mergeCell ref="AB298:AB299"/>
    <mergeCell ref="K298:K299"/>
    <mergeCell ref="L298:L299"/>
    <mergeCell ref="M298:M299"/>
    <mergeCell ref="N298:N299"/>
    <mergeCell ref="O298:O299"/>
    <mergeCell ref="A298:A299"/>
    <mergeCell ref="E298:E299"/>
    <mergeCell ref="H298:H299"/>
    <mergeCell ref="I298:I299"/>
    <mergeCell ref="J298:J299"/>
    <mergeCell ref="X296:X297"/>
    <mergeCell ref="Y296:Y297"/>
    <mergeCell ref="Z296:Z297"/>
    <mergeCell ref="AA296:AA297"/>
    <mergeCell ref="AB296:AB297"/>
    <mergeCell ref="K296:K297"/>
    <mergeCell ref="L296:L297"/>
    <mergeCell ref="M296:M297"/>
    <mergeCell ref="N296:N297"/>
    <mergeCell ref="O296:O297"/>
    <mergeCell ref="A296:A297"/>
    <mergeCell ref="E296:E297"/>
    <mergeCell ref="H296:H297"/>
    <mergeCell ref="I296:I297"/>
    <mergeCell ref="J296:J297"/>
    <mergeCell ref="X294:X295"/>
    <mergeCell ref="Y294:Y295"/>
    <mergeCell ref="Z294:Z295"/>
    <mergeCell ref="AA294:AA295"/>
    <mergeCell ref="AB294:AB295"/>
    <mergeCell ref="K294:K295"/>
    <mergeCell ref="L294:L295"/>
    <mergeCell ref="M294:M295"/>
    <mergeCell ref="N294:N295"/>
    <mergeCell ref="O294:O295"/>
    <mergeCell ref="A294:A295"/>
    <mergeCell ref="E294:E295"/>
    <mergeCell ref="H294:H295"/>
    <mergeCell ref="I294:I295"/>
    <mergeCell ref="J294:J295"/>
    <mergeCell ref="X292:X293"/>
    <mergeCell ref="Y292:Y293"/>
    <mergeCell ref="Z292:Z293"/>
    <mergeCell ref="AA292:AA293"/>
    <mergeCell ref="AB292:AB293"/>
    <mergeCell ref="K292:K293"/>
    <mergeCell ref="L292:L293"/>
    <mergeCell ref="M292:M293"/>
    <mergeCell ref="N292:N293"/>
    <mergeCell ref="O292:O293"/>
    <mergeCell ref="A292:A293"/>
    <mergeCell ref="E292:E293"/>
    <mergeCell ref="H292:H293"/>
    <mergeCell ref="I292:I293"/>
    <mergeCell ref="J292:J293"/>
    <mergeCell ref="X290:X291"/>
    <mergeCell ref="Y290:Y291"/>
    <mergeCell ref="Z290:Z291"/>
    <mergeCell ref="AA290:AA291"/>
    <mergeCell ref="AB290:AB291"/>
    <mergeCell ref="K290:K291"/>
    <mergeCell ref="L290:L291"/>
    <mergeCell ref="M290:M291"/>
    <mergeCell ref="N290:N291"/>
    <mergeCell ref="O290:O291"/>
    <mergeCell ref="A290:A291"/>
    <mergeCell ref="E290:E291"/>
    <mergeCell ref="H290:H291"/>
    <mergeCell ref="I290:I291"/>
    <mergeCell ref="J290:J291"/>
    <mergeCell ref="X288:X289"/>
    <mergeCell ref="Y288:Y289"/>
    <mergeCell ref="Z288:Z289"/>
    <mergeCell ref="AA288:AA289"/>
    <mergeCell ref="AB288:AB289"/>
    <mergeCell ref="K288:K289"/>
    <mergeCell ref="L288:L289"/>
    <mergeCell ref="M288:M289"/>
    <mergeCell ref="N288:N289"/>
    <mergeCell ref="O288:O289"/>
    <mergeCell ref="A288:A289"/>
    <mergeCell ref="E288:E289"/>
    <mergeCell ref="H288:H289"/>
    <mergeCell ref="I288:I289"/>
    <mergeCell ref="J288:J289"/>
    <mergeCell ref="X286:X287"/>
    <mergeCell ref="Y286:Y287"/>
    <mergeCell ref="Z286:Z287"/>
    <mergeCell ref="AA286:AA287"/>
    <mergeCell ref="AB286:AB287"/>
    <mergeCell ref="K286:K287"/>
    <mergeCell ref="L286:L287"/>
    <mergeCell ref="M286:M287"/>
    <mergeCell ref="N286:N287"/>
    <mergeCell ref="O286:O287"/>
    <mergeCell ref="A286:A287"/>
    <mergeCell ref="E286:E287"/>
    <mergeCell ref="H286:H287"/>
    <mergeCell ref="I286:I287"/>
    <mergeCell ref="J286:J287"/>
    <mergeCell ref="X284:X285"/>
    <mergeCell ref="Y284:Y285"/>
    <mergeCell ref="Z284:Z285"/>
    <mergeCell ref="AA284:AA285"/>
    <mergeCell ref="AB284:AB285"/>
    <mergeCell ref="K284:K285"/>
    <mergeCell ref="L284:L285"/>
    <mergeCell ref="M284:M285"/>
    <mergeCell ref="N284:N285"/>
    <mergeCell ref="O284:O285"/>
    <mergeCell ref="A284:A285"/>
    <mergeCell ref="E284:E285"/>
    <mergeCell ref="H284:H285"/>
    <mergeCell ref="I284:I285"/>
    <mergeCell ref="J284:J285"/>
    <mergeCell ref="X282:X283"/>
    <mergeCell ref="Y282:Y283"/>
    <mergeCell ref="Z282:Z283"/>
    <mergeCell ref="AA282:AA283"/>
    <mergeCell ref="AB282:AB283"/>
    <mergeCell ref="K282:K283"/>
    <mergeCell ref="L282:L283"/>
    <mergeCell ref="M282:M283"/>
    <mergeCell ref="N282:N283"/>
    <mergeCell ref="O282:O283"/>
    <mergeCell ref="A282:A283"/>
    <mergeCell ref="E282:E283"/>
    <mergeCell ref="H282:H283"/>
    <mergeCell ref="I282:I283"/>
    <mergeCell ref="J282:J283"/>
    <mergeCell ref="X280:X281"/>
    <mergeCell ref="Y280:Y281"/>
    <mergeCell ref="Z280:Z281"/>
    <mergeCell ref="AA280:AA281"/>
    <mergeCell ref="AB280:AB281"/>
    <mergeCell ref="K280:K281"/>
    <mergeCell ref="L280:L281"/>
    <mergeCell ref="M280:M281"/>
    <mergeCell ref="N280:N281"/>
    <mergeCell ref="O280:O281"/>
    <mergeCell ref="A280:A281"/>
    <mergeCell ref="E280:E281"/>
    <mergeCell ref="H280:H281"/>
    <mergeCell ref="I280:I281"/>
    <mergeCell ref="J280:J281"/>
    <mergeCell ref="X278:X279"/>
    <mergeCell ref="Y278:Y279"/>
    <mergeCell ref="Z278:Z279"/>
    <mergeCell ref="AA278:AA279"/>
    <mergeCell ref="AB278:AB279"/>
    <mergeCell ref="K278:K279"/>
    <mergeCell ref="L278:L279"/>
    <mergeCell ref="M278:M279"/>
    <mergeCell ref="N278:N279"/>
    <mergeCell ref="O278:O279"/>
    <mergeCell ref="A278:A279"/>
    <mergeCell ref="E278:E279"/>
    <mergeCell ref="H278:H279"/>
    <mergeCell ref="I278:I279"/>
    <mergeCell ref="J278:J279"/>
    <mergeCell ref="X276:X277"/>
    <mergeCell ref="Y276:Y277"/>
    <mergeCell ref="Z276:Z277"/>
    <mergeCell ref="AA276:AA277"/>
    <mergeCell ref="AB276:AB277"/>
    <mergeCell ref="K276:K277"/>
    <mergeCell ref="L276:L277"/>
    <mergeCell ref="M276:M277"/>
    <mergeCell ref="N276:N277"/>
    <mergeCell ref="O276:O277"/>
    <mergeCell ref="A276:A277"/>
    <mergeCell ref="E276:E277"/>
    <mergeCell ref="H276:H277"/>
    <mergeCell ref="I276:I277"/>
    <mergeCell ref="J276:J277"/>
    <mergeCell ref="X274:X275"/>
    <mergeCell ref="Y274:Y275"/>
    <mergeCell ref="Z274:Z275"/>
    <mergeCell ref="AA274:AA275"/>
    <mergeCell ref="AB274:AB275"/>
    <mergeCell ref="K274:K275"/>
    <mergeCell ref="L274:L275"/>
    <mergeCell ref="M274:M275"/>
    <mergeCell ref="N274:N275"/>
    <mergeCell ref="O274:O275"/>
    <mergeCell ref="A274:A275"/>
    <mergeCell ref="E274:E275"/>
    <mergeCell ref="H274:H275"/>
    <mergeCell ref="I274:I275"/>
    <mergeCell ref="J274:J275"/>
    <mergeCell ref="X272:X273"/>
    <mergeCell ref="Y272:Y273"/>
    <mergeCell ref="Z272:Z273"/>
    <mergeCell ref="AA272:AA273"/>
    <mergeCell ref="AB272:AB273"/>
    <mergeCell ref="K272:K273"/>
    <mergeCell ref="L272:L273"/>
    <mergeCell ref="M272:M273"/>
    <mergeCell ref="N272:N273"/>
    <mergeCell ref="O272:O273"/>
    <mergeCell ref="A272:A273"/>
    <mergeCell ref="E272:E273"/>
    <mergeCell ref="H272:H273"/>
    <mergeCell ref="I272:I273"/>
    <mergeCell ref="J272:J273"/>
    <mergeCell ref="X270:X271"/>
    <mergeCell ref="Y270:Y271"/>
    <mergeCell ref="Z270:Z271"/>
    <mergeCell ref="AA270:AA271"/>
    <mergeCell ref="AB270:AB271"/>
    <mergeCell ref="K270:K271"/>
    <mergeCell ref="L270:L271"/>
    <mergeCell ref="M270:M271"/>
    <mergeCell ref="N270:N271"/>
    <mergeCell ref="O270:O271"/>
    <mergeCell ref="A270:A271"/>
    <mergeCell ref="E270:E271"/>
    <mergeCell ref="H270:H271"/>
    <mergeCell ref="I270:I271"/>
    <mergeCell ref="J270:J271"/>
    <mergeCell ref="X268:X269"/>
    <mergeCell ref="Y268:Y269"/>
    <mergeCell ref="Z268:Z269"/>
    <mergeCell ref="AA268:AA269"/>
    <mergeCell ref="AB268:AB269"/>
    <mergeCell ref="K268:K269"/>
    <mergeCell ref="L268:L269"/>
    <mergeCell ref="M268:M269"/>
    <mergeCell ref="N268:N269"/>
    <mergeCell ref="O268:O269"/>
    <mergeCell ref="A268:A269"/>
    <mergeCell ref="E268:E269"/>
    <mergeCell ref="H268:H269"/>
    <mergeCell ref="I268:I269"/>
    <mergeCell ref="J268:J269"/>
    <mergeCell ref="X266:X267"/>
    <mergeCell ref="Y266:Y267"/>
    <mergeCell ref="Z266:Z267"/>
    <mergeCell ref="AA266:AA267"/>
    <mergeCell ref="AB266:AB267"/>
    <mergeCell ref="K266:K267"/>
    <mergeCell ref="L266:L267"/>
    <mergeCell ref="M266:M267"/>
    <mergeCell ref="N266:N267"/>
    <mergeCell ref="O266:O267"/>
    <mergeCell ref="A266:A267"/>
    <mergeCell ref="E266:E267"/>
    <mergeCell ref="H266:H267"/>
    <mergeCell ref="I266:I267"/>
    <mergeCell ref="J266:J267"/>
    <mergeCell ref="X264:X265"/>
    <mergeCell ref="Y264:Y265"/>
    <mergeCell ref="Z264:Z265"/>
    <mergeCell ref="AA264:AA265"/>
    <mergeCell ref="AB264:AB265"/>
    <mergeCell ref="K264:K265"/>
    <mergeCell ref="L264:L265"/>
    <mergeCell ref="M264:M265"/>
    <mergeCell ref="N264:N265"/>
    <mergeCell ref="O264:O265"/>
    <mergeCell ref="A264:A265"/>
    <mergeCell ref="E264:E265"/>
    <mergeCell ref="H264:H265"/>
    <mergeCell ref="I264:I265"/>
    <mergeCell ref="J264:J265"/>
    <mergeCell ref="X262:X263"/>
    <mergeCell ref="Y262:Y263"/>
    <mergeCell ref="Z262:Z263"/>
    <mergeCell ref="AA262:AA263"/>
    <mergeCell ref="AB262:AB263"/>
    <mergeCell ref="K262:K263"/>
    <mergeCell ref="L262:L263"/>
    <mergeCell ref="M262:M263"/>
    <mergeCell ref="N262:N263"/>
    <mergeCell ref="O262:O263"/>
    <mergeCell ref="A262:A263"/>
    <mergeCell ref="E262:E263"/>
    <mergeCell ref="H262:H263"/>
    <mergeCell ref="I262:I263"/>
    <mergeCell ref="J262:J263"/>
    <mergeCell ref="X260:X261"/>
    <mergeCell ref="Y260:Y261"/>
    <mergeCell ref="Z260:Z261"/>
    <mergeCell ref="AA260:AA261"/>
    <mergeCell ref="AB260:AB261"/>
    <mergeCell ref="K260:K261"/>
    <mergeCell ref="L260:L261"/>
    <mergeCell ref="M260:M261"/>
    <mergeCell ref="N260:N261"/>
    <mergeCell ref="O260:O261"/>
    <mergeCell ref="A260:A261"/>
    <mergeCell ref="E260:E261"/>
    <mergeCell ref="H260:H261"/>
    <mergeCell ref="I260:I261"/>
    <mergeCell ref="J260:J261"/>
    <mergeCell ref="X258:X259"/>
    <mergeCell ref="Y258:Y259"/>
    <mergeCell ref="Z258:Z259"/>
    <mergeCell ref="AA258:AA259"/>
    <mergeCell ref="AB258:AB259"/>
    <mergeCell ref="K258:K259"/>
    <mergeCell ref="L258:L259"/>
    <mergeCell ref="M258:M259"/>
    <mergeCell ref="N258:N259"/>
    <mergeCell ref="O258:O259"/>
    <mergeCell ref="A258:A259"/>
    <mergeCell ref="E258:E259"/>
    <mergeCell ref="H258:H259"/>
    <mergeCell ref="I258:I259"/>
    <mergeCell ref="J258:J259"/>
    <mergeCell ref="X256:X257"/>
    <mergeCell ref="Y256:Y257"/>
    <mergeCell ref="Z256:Z257"/>
    <mergeCell ref="AA256:AA257"/>
    <mergeCell ref="AB256:AB257"/>
    <mergeCell ref="K256:K257"/>
    <mergeCell ref="L256:L257"/>
    <mergeCell ref="M256:M257"/>
    <mergeCell ref="N256:N257"/>
    <mergeCell ref="O256:O257"/>
    <mergeCell ref="A256:A257"/>
    <mergeCell ref="E256:E257"/>
    <mergeCell ref="H256:H257"/>
    <mergeCell ref="I256:I257"/>
    <mergeCell ref="J256:J257"/>
    <mergeCell ref="X254:X255"/>
    <mergeCell ref="Y254:Y255"/>
    <mergeCell ref="Z254:Z255"/>
    <mergeCell ref="AA254:AA255"/>
    <mergeCell ref="AB254:AB255"/>
    <mergeCell ref="K254:K255"/>
    <mergeCell ref="L254:L255"/>
    <mergeCell ref="M254:M255"/>
    <mergeCell ref="N254:N255"/>
    <mergeCell ref="O254:O255"/>
    <mergeCell ref="A254:A255"/>
    <mergeCell ref="E254:E255"/>
    <mergeCell ref="H254:H255"/>
    <mergeCell ref="I254:I255"/>
    <mergeCell ref="J254:J255"/>
    <mergeCell ref="X252:X253"/>
    <mergeCell ref="Y252:Y253"/>
    <mergeCell ref="Z252:Z253"/>
    <mergeCell ref="AA252:AA253"/>
    <mergeCell ref="AB252:AB253"/>
    <mergeCell ref="K252:K253"/>
    <mergeCell ref="L252:L253"/>
    <mergeCell ref="M252:M253"/>
    <mergeCell ref="N252:N253"/>
    <mergeCell ref="O252:O253"/>
    <mergeCell ref="A252:A253"/>
    <mergeCell ref="E252:E253"/>
    <mergeCell ref="H252:H253"/>
    <mergeCell ref="I252:I253"/>
    <mergeCell ref="J252:J253"/>
    <mergeCell ref="X250:X251"/>
    <mergeCell ref="Y250:Y251"/>
    <mergeCell ref="Z250:Z251"/>
    <mergeCell ref="AA250:AA251"/>
    <mergeCell ref="AB250:AB251"/>
    <mergeCell ref="K250:K251"/>
    <mergeCell ref="L250:L251"/>
    <mergeCell ref="M250:M251"/>
    <mergeCell ref="N250:N251"/>
    <mergeCell ref="O250:O251"/>
    <mergeCell ref="A250:A251"/>
    <mergeCell ref="E250:E251"/>
    <mergeCell ref="H250:H251"/>
    <mergeCell ref="I250:I251"/>
    <mergeCell ref="J250:J251"/>
    <mergeCell ref="X248:X249"/>
    <mergeCell ref="Y248:Y249"/>
    <mergeCell ref="Z248:Z249"/>
    <mergeCell ref="AA248:AA249"/>
    <mergeCell ref="AB248:AB249"/>
    <mergeCell ref="K248:K249"/>
    <mergeCell ref="L248:L249"/>
    <mergeCell ref="M248:M249"/>
    <mergeCell ref="N248:N249"/>
    <mergeCell ref="O248:O249"/>
    <mergeCell ref="A248:A249"/>
    <mergeCell ref="E248:E249"/>
    <mergeCell ref="H248:H249"/>
    <mergeCell ref="I248:I249"/>
    <mergeCell ref="J248:J249"/>
    <mergeCell ref="X246:X247"/>
    <mergeCell ref="Y246:Y247"/>
    <mergeCell ref="Z246:Z247"/>
    <mergeCell ref="AA246:AA247"/>
    <mergeCell ref="AB246:AB247"/>
    <mergeCell ref="K246:K247"/>
    <mergeCell ref="L246:L247"/>
    <mergeCell ref="M246:M247"/>
    <mergeCell ref="N246:N247"/>
    <mergeCell ref="O246:O247"/>
    <mergeCell ref="A246:A247"/>
    <mergeCell ref="E246:E247"/>
    <mergeCell ref="H246:H247"/>
    <mergeCell ref="I246:I247"/>
    <mergeCell ref="J246:J247"/>
    <mergeCell ref="X244:X245"/>
    <mergeCell ref="Y244:Y245"/>
    <mergeCell ref="Z244:Z245"/>
    <mergeCell ref="AA244:AA245"/>
    <mergeCell ref="AB244:AB245"/>
    <mergeCell ref="K244:K245"/>
    <mergeCell ref="L244:L245"/>
    <mergeCell ref="M244:M245"/>
    <mergeCell ref="N244:N245"/>
    <mergeCell ref="O244:O245"/>
    <mergeCell ref="A244:A245"/>
    <mergeCell ref="E244:E245"/>
    <mergeCell ref="H244:H245"/>
    <mergeCell ref="I244:I245"/>
    <mergeCell ref="J244:J245"/>
    <mergeCell ref="X242:X243"/>
    <mergeCell ref="Y242:Y243"/>
    <mergeCell ref="Z242:Z243"/>
    <mergeCell ref="AA242:AA243"/>
    <mergeCell ref="AB242:AB243"/>
    <mergeCell ref="K242:K243"/>
    <mergeCell ref="L242:L243"/>
    <mergeCell ref="M242:M243"/>
    <mergeCell ref="N242:N243"/>
    <mergeCell ref="O242:O243"/>
    <mergeCell ref="A242:A243"/>
    <mergeCell ref="E242:E243"/>
    <mergeCell ref="H242:H243"/>
    <mergeCell ref="I242:I243"/>
    <mergeCell ref="J242:J243"/>
    <mergeCell ref="X240:X241"/>
    <mergeCell ref="Y240:Y241"/>
    <mergeCell ref="Z240:Z241"/>
    <mergeCell ref="AA240:AA241"/>
    <mergeCell ref="AB240:AB241"/>
    <mergeCell ref="K240:K241"/>
    <mergeCell ref="L240:L241"/>
    <mergeCell ref="M240:M241"/>
    <mergeCell ref="N240:N241"/>
    <mergeCell ref="O240:O241"/>
    <mergeCell ref="A240:A241"/>
    <mergeCell ref="E240:E241"/>
    <mergeCell ref="H240:H241"/>
    <mergeCell ref="I240:I241"/>
    <mergeCell ref="J240:J241"/>
    <mergeCell ref="X238:X239"/>
    <mergeCell ref="Y238:Y239"/>
    <mergeCell ref="Z238:Z239"/>
    <mergeCell ref="AA238:AA239"/>
    <mergeCell ref="AB238:AB239"/>
    <mergeCell ref="K238:K239"/>
    <mergeCell ref="L238:L239"/>
    <mergeCell ref="M238:M239"/>
    <mergeCell ref="N238:N239"/>
    <mergeCell ref="O238:O239"/>
    <mergeCell ref="A238:A239"/>
    <mergeCell ref="E238:E239"/>
    <mergeCell ref="H238:H239"/>
    <mergeCell ref="I238:I239"/>
    <mergeCell ref="J238:J239"/>
    <mergeCell ref="X236:X237"/>
    <mergeCell ref="Y236:Y237"/>
    <mergeCell ref="Z236:Z237"/>
    <mergeCell ref="AA236:AA237"/>
    <mergeCell ref="AB236:AB237"/>
    <mergeCell ref="K236:K237"/>
    <mergeCell ref="L236:L237"/>
    <mergeCell ref="M236:M237"/>
    <mergeCell ref="N236:N237"/>
    <mergeCell ref="O236:O237"/>
    <mergeCell ref="A236:A237"/>
    <mergeCell ref="E236:E237"/>
    <mergeCell ref="H236:H237"/>
    <mergeCell ref="I236:I237"/>
    <mergeCell ref="J236:J237"/>
    <mergeCell ref="X234:X235"/>
    <mergeCell ref="Y234:Y235"/>
    <mergeCell ref="Z234:Z235"/>
    <mergeCell ref="AA234:AA235"/>
    <mergeCell ref="AB234:AB235"/>
    <mergeCell ref="K234:K235"/>
    <mergeCell ref="L234:L235"/>
    <mergeCell ref="M234:M235"/>
    <mergeCell ref="N234:N235"/>
    <mergeCell ref="O234:O235"/>
    <mergeCell ref="A234:A235"/>
    <mergeCell ref="E234:E235"/>
    <mergeCell ref="H234:H235"/>
    <mergeCell ref="I234:I235"/>
    <mergeCell ref="J234:J235"/>
    <mergeCell ref="X232:X233"/>
    <mergeCell ref="Y232:Y233"/>
    <mergeCell ref="Z232:Z233"/>
    <mergeCell ref="AA232:AA233"/>
    <mergeCell ref="AB232:AB233"/>
    <mergeCell ref="K232:K233"/>
    <mergeCell ref="L232:L233"/>
    <mergeCell ref="M232:M233"/>
    <mergeCell ref="N232:N233"/>
    <mergeCell ref="O232:O233"/>
    <mergeCell ref="A232:A233"/>
    <mergeCell ref="E232:E233"/>
    <mergeCell ref="H232:H233"/>
    <mergeCell ref="I232:I233"/>
    <mergeCell ref="J232:J233"/>
    <mergeCell ref="X230:X231"/>
    <mergeCell ref="Y230:Y231"/>
    <mergeCell ref="Z230:Z231"/>
    <mergeCell ref="AA230:AA231"/>
    <mergeCell ref="AB230:AB231"/>
    <mergeCell ref="K230:K231"/>
    <mergeCell ref="L230:L231"/>
    <mergeCell ref="M230:M231"/>
    <mergeCell ref="N230:N231"/>
    <mergeCell ref="O230:O231"/>
    <mergeCell ref="A230:A231"/>
    <mergeCell ref="E230:E231"/>
    <mergeCell ref="H230:H231"/>
    <mergeCell ref="I230:I231"/>
    <mergeCell ref="J230:J231"/>
    <mergeCell ref="X228:X229"/>
    <mergeCell ref="Y228:Y229"/>
    <mergeCell ref="Z228:Z229"/>
    <mergeCell ref="AA228:AA229"/>
    <mergeCell ref="AB228:AB229"/>
    <mergeCell ref="K228:K229"/>
    <mergeCell ref="L228:L229"/>
    <mergeCell ref="M228:M229"/>
    <mergeCell ref="N228:N229"/>
    <mergeCell ref="O228:O229"/>
    <mergeCell ref="A228:A229"/>
    <mergeCell ref="E228:E229"/>
    <mergeCell ref="H228:H229"/>
    <mergeCell ref="I228:I229"/>
    <mergeCell ref="J228:J229"/>
    <mergeCell ref="X226:X227"/>
    <mergeCell ref="Y226:Y227"/>
    <mergeCell ref="Z226:Z227"/>
    <mergeCell ref="AA226:AA227"/>
    <mergeCell ref="AB226:AB227"/>
    <mergeCell ref="K226:K227"/>
    <mergeCell ref="L226:L227"/>
    <mergeCell ref="M226:M227"/>
    <mergeCell ref="N226:N227"/>
    <mergeCell ref="O226:O227"/>
    <mergeCell ref="A226:A227"/>
    <mergeCell ref="E226:E227"/>
    <mergeCell ref="H226:H227"/>
    <mergeCell ref="I226:I227"/>
    <mergeCell ref="J226:J227"/>
    <mergeCell ref="X224:X225"/>
    <mergeCell ref="Y224:Y225"/>
    <mergeCell ref="Z224:Z225"/>
    <mergeCell ref="AA224:AA225"/>
    <mergeCell ref="AB224:AB225"/>
    <mergeCell ref="K224:K225"/>
    <mergeCell ref="L224:L225"/>
    <mergeCell ref="M224:M225"/>
    <mergeCell ref="N224:N225"/>
    <mergeCell ref="O224:O225"/>
    <mergeCell ref="A224:A225"/>
    <mergeCell ref="E224:E225"/>
    <mergeCell ref="H224:H225"/>
    <mergeCell ref="I224:I225"/>
    <mergeCell ref="J224:J225"/>
    <mergeCell ref="X222:X223"/>
    <mergeCell ref="Y222:Y223"/>
    <mergeCell ref="Z222:Z223"/>
    <mergeCell ref="AA222:AA223"/>
    <mergeCell ref="AB222:AB223"/>
    <mergeCell ref="K222:K223"/>
    <mergeCell ref="L222:L223"/>
    <mergeCell ref="M222:M223"/>
    <mergeCell ref="N222:N223"/>
    <mergeCell ref="O222:O223"/>
    <mergeCell ref="A222:A223"/>
    <mergeCell ref="E222:E223"/>
    <mergeCell ref="H222:H223"/>
    <mergeCell ref="I222:I223"/>
    <mergeCell ref="J222:J223"/>
    <mergeCell ref="X220:X221"/>
    <mergeCell ref="Y220:Y221"/>
    <mergeCell ref="Z220:Z221"/>
    <mergeCell ref="AA220:AA221"/>
    <mergeCell ref="AB220:AB221"/>
    <mergeCell ref="K220:K221"/>
    <mergeCell ref="L220:L221"/>
    <mergeCell ref="M220:M221"/>
    <mergeCell ref="N220:N221"/>
    <mergeCell ref="O220:O221"/>
    <mergeCell ref="A220:A221"/>
    <mergeCell ref="E220:E221"/>
    <mergeCell ref="H220:H221"/>
    <mergeCell ref="I220:I221"/>
    <mergeCell ref="J220:J221"/>
    <mergeCell ref="X218:X219"/>
    <mergeCell ref="Y218:Y219"/>
    <mergeCell ref="Z218:Z219"/>
    <mergeCell ref="AA218:AA219"/>
    <mergeCell ref="AB218:AB219"/>
    <mergeCell ref="K218:K219"/>
    <mergeCell ref="L218:L219"/>
    <mergeCell ref="M218:M219"/>
    <mergeCell ref="N218:N219"/>
    <mergeCell ref="O218:O219"/>
    <mergeCell ref="A218:A219"/>
    <mergeCell ref="E218:E219"/>
    <mergeCell ref="H218:H219"/>
    <mergeCell ref="I218:I219"/>
    <mergeCell ref="J218:J219"/>
    <mergeCell ref="X216:X217"/>
    <mergeCell ref="Y216:Y217"/>
    <mergeCell ref="Z216:Z217"/>
    <mergeCell ref="AA216:AA217"/>
    <mergeCell ref="AB216:AB217"/>
    <mergeCell ref="K216:K217"/>
    <mergeCell ref="L216:L217"/>
    <mergeCell ref="M216:M217"/>
    <mergeCell ref="N216:N217"/>
    <mergeCell ref="O216:O217"/>
    <mergeCell ref="A216:A217"/>
    <mergeCell ref="E216:E217"/>
    <mergeCell ref="H216:H217"/>
    <mergeCell ref="I216:I217"/>
    <mergeCell ref="J216:J217"/>
    <mergeCell ref="X214:X215"/>
    <mergeCell ref="Y214:Y215"/>
    <mergeCell ref="Z214:Z215"/>
    <mergeCell ref="AA214:AA215"/>
    <mergeCell ref="AB214:AB215"/>
    <mergeCell ref="K214:K215"/>
    <mergeCell ref="L214:L215"/>
    <mergeCell ref="M214:M215"/>
    <mergeCell ref="N214:N215"/>
    <mergeCell ref="O214:O215"/>
    <mergeCell ref="A214:A215"/>
    <mergeCell ref="E214:E215"/>
    <mergeCell ref="H214:H215"/>
    <mergeCell ref="I214:I215"/>
    <mergeCell ref="J214:J215"/>
    <mergeCell ref="X212:X213"/>
    <mergeCell ref="Y212:Y213"/>
    <mergeCell ref="Z212:Z213"/>
    <mergeCell ref="AA212:AA213"/>
    <mergeCell ref="AB212:AB213"/>
    <mergeCell ref="K212:K213"/>
    <mergeCell ref="L212:L213"/>
    <mergeCell ref="M212:M213"/>
    <mergeCell ref="N212:N213"/>
    <mergeCell ref="O212:O213"/>
    <mergeCell ref="A212:A213"/>
    <mergeCell ref="E212:E213"/>
    <mergeCell ref="H212:H213"/>
    <mergeCell ref="I212:I213"/>
    <mergeCell ref="J212:J213"/>
    <mergeCell ref="X210:X211"/>
    <mergeCell ref="Y210:Y211"/>
    <mergeCell ref="Z210:Z211"/>
    <mergeCell ref="AA210:AA211"/>
    <mergeCell ref="AB210:AB211"/>
    <mergeCell ref="K210:K211"/>
    <mergeCell ref="L210:L211"/>
    <mergeCell ref="M210:M211"/>
    <mergeCell ref="N210:N211"/>
    <mergeCell ref="O210:O211"/>
    <mergeCell ref="A210:A211"/>
    <mergeCell ref="E210:E211"/>
    <mergeCell ref="H210:H211"/>
    <mergeCell ref="I210:I211"/>
    <mergeCell ref="J210:J211"/>
    <mergeCell ref="X208:X209"/>
    <mergeCell ref="Y208:Y209"/>
    <mergeCell ref="Z208:Z209"/>
    <mergeCell ref="AA208:AA209"/>
    <mergeCell ref="AB208:AB209"/>
    <mergeCell ref="K208:K209"/>
    <mergeCell ref="L208:L209"/>
    <mergeCell ref="M208:M209"/>
    <mergeCell ref="N208:N209"/>
    <mergeCell ref="O208:O209"/>
    <mergeCell ref="A208:A209"/>
    <mergeCell ref="E208:E209"/>
    <mergeCell ref="H208:H209"/>
    <mergeCell ref="I208:I209"/>
    <mergeCell ref="J208:J209"/>
    <mergeCell ref="X206:X207"/>
    <mergeCell ref="Y206:Y207"/>
    <mergeCell ref="Z206:Z207"/>
    <mergeCell ref="AA206:AA207"/>
    <mergeCell ref="AB206:AB207"/>
    <mergeCell ref="K206:K207"/>
    <mergeCell ref="L206:L207"/>
    <mergeCell ref="M206:M207"/>
    <mergeCell ref="N206:N207"/>
    <mergeCell ref="O206:O207"/>
    <mergeCell ref="A206:A207"/>
    <mergeCell ref="E206:E207"/>
    <mergeCell ref="H206:H207"/>
    <mergeCell ref="I206:I207"/>
    <mergeCell ref="J206:J207"/>
    <mergeCell ref="X204:X205"/>
    <mergeCell ref="Y204:Y205"/>
    <mergeCell ref="Z204:Z205"/>
    <mergeCell ref="AA204:AA205"/>
    <mergeCell ref="AB204:AB205"/>
    <mergeCell ref="K204:K205"/>
    <mergeCell ref="L204:L205"/>
    <mergeCell ref="M204:M205"/>
    <mergeCell ref="N204:N205"/>
    <mergeCell ref="O204:O205"/>
    <mergeCell ref="A204:A205"/>
    <mergeCell ref="E204:E205"/>
    <mergeCell ref="H204:H205"/>
    <mergeCell ref="I204:I205"/>
    <mergeCell ref="J204:J205"/>
    <mergeCell ref="X202:X203"/>
    <mergeCell ref="Y202:Y203"/>
    <mergeCell ref="Z202:Z203"/>
    <mergeCell ref="AA202:AA203"/>
    <mergeCell ref="AB202:AB203"/>
    <mergeCell ref="K202:K203"/>
    <mergeCell ref="L202:L203"/>
    <mergeCell ref="M202:M203"/>
    <mergeCell ref="N202:N203"/>
    <mergeCell ref="O202:O203"/>
    <mergeCell ref="A202:A203"/>
    <mergeCell ref="E202:E203"/>
    <mergeCell ref="H202:H203"/>
    <mergeCell ref="I202:I203"/>
    <mergeCell ref="J202:J203"/>
    <mergeCell ref="X200:X201"/>
    <mergeCell ref="Y200:Y201"/>
    <mergeCell ref="Z200:Z201"/>
    <mergeCell ref="AA200:AA201"/>
    <mergeCell ref="AB200:AB201"/>
    <mergeCell ref="K200:K201"/>
    <mergeCell ref="L200:L201"/>
    <mergeCell ref="M200:M201"/>
    <mergeCell ref="N200:N201"/>
    <mergeCell ref="O200:O201"/>
    <mergeCell ref="A200:A201"/>
    <mergeCell ref="E200:E201"/>
    <mergeCell ref="H200:H201"/>
    <mergeCell ref="I200:I201"/>
    <mergeCell ref="J200:J201"/>
    <mergeCell ref="X198:X199"/>
    <mergeCell ref="Y198:Y199"/>
    <mergeCell ref="Z198:Z199"/>
    <mergeCell ref="AA198:AA199"/>
    <mergeCell ref="AB198:AB199"/>
    <mergeCell ref="K198:K199"/>
    <mergeCell ref="L198:L199"/>
    <mergeCell ref="M198:M199"/>
    <mergeCell ref="N198:N199"/>
    <mergeCell ref="O198:O199"/>
    <mergeCell ref="A198:A199"/>
    <mergeCell ref="E198:E199"/>
    <mergeCell ref="H198:H199"/>
    <mergeCell ref="I198:I199"/>
    <mergeCell ref="J198:J199"/>
    <mergeCell ref="X196:X197"/>
    <mergeCell ref="Y196:Y197"/>
    <mergeCell ref="Z196:Z197"/>
    <mergeCell ref="AA196:AA197"/>
    <mergeCell ref="AB196:AB197"/>
    <mergeCell ref="K196:K197"/>
    <mergeCell ref="L196:L197"/>
    <mergeCell ref="M196:M197"/>
    <mergeCell ref="N196:N197"/>
    <mergeCell ref="O196:O197"/>
    <mergeCell ref="A196:A197"/>
    <mergeCell ref="E196:E197"/>
    <mergeCell ref="H196:H197"/>
    <mergeCell ref="I196:I197"/>
    <mergeCell ref="J196:J197"/>
    <mergeCell ref="X194:X195"/>
    <mergeCell ref="Y194:Y195"/>
    <mergeCell ref="Z194:Z195"/>
    <mergeCell ref="AA194:AA195"/>
    <mergeCell ref="AB194:AB195"/>
    <mergeCell ref="K194:K195"/>
    <mergeCell ref="L194:L195"/>
    <mergeCell ref="M194:M195"/>
    <mergeCell ref="N194:N195"/>
    <mergeCell ref="O194:O195"/>
    <mergeCell ref="A194:A195"/>
    <mergeCell ref="E194:E195"/>
    <mergeCell ref="H194:H195"/>
    <mergeCell ref="I194:I195"/>
    <mergeCell ref="J194:J195"/>
    <mergeCell ref="X192:X193"/>
    <mergeCell ref="Y192:Y193"/>
    <mergeCell ref="Z192:Z193"/>
    <mergeCell ref="AA192:AA193"/>
    <mergeCell ref="AB192:AB193"/>
    <mergeCell ref="K192:K193"/>
    <mergeCell ref="L192:L193"/>
    <mergeCell ref="M192:M193"/>
    <mergeCell ref="N192:N193"/>
    <mergeCell ref="O192:O193"/>
    <mergeCell ref="A192:A193"/>
    <mergeCell ref="E192:E193"/>
    <mergeCell ref="H192:H193"/>
    <mergeCell ref="I192:I193"/>
    <mergeCell ref="J192:J193"/>
    <mergeCell ref="X190:X191"/>
    <mergeCell ref="Y190:Y191"/>
    <mergeCell ref="Z190:Z191"/>
    <mergeCell ref="AA190:AA191"/>
    <mergeCell ref="AB190:AB191"/>
    <mergeCell ref="K190:K191"/>
    <mergeCell ref="L190:L191"/>
    <mergeCell ref="M190:M191"/>
    <mergeCell ref="N190:N191"/>
    <mergeCell ref="O190:O191"/>
    <mergeCell ref="A190:A191"/>
    <mergeCell ref="E190:E191"/>
    <mergeCell ref="H190:H191"/>
    <mergeCell ref="I190:I191"/>
    <mergeCell ref="J190:J191"/>
    <mergeCell ref="X188:X189"/>
    <mergeCell ref="Y188:Y189"/>
    <mergeCell ref="Z188:Z189"/>
    <mergeCell ref="AA188:AA189"/>
    <mergeCell ref="AB188:AB189"/>
    <mergeCell ref="K188:K189"/>
    <mergeCell ref="L188:L189"/>
    <mergeCell ref="M188:M189"/>
    <mergeCell ref="N188:N189"/>
    <mergeCell ref="O188:O189"/>
    <mergeCell ref="A188:A189"/>
    <mergeCell ref="E188:E189"/>
    <mergeCell ref="H188:H189"/>
    <mergeCell ref="I188:I189"/>
    <mergeCell ref="J188:J189"/>
    <mergeCell ref="X186:X187"/>
    <mergeCell ref="Y186:Y187"/>
    <mergeCell ref="Z186:Z187"/>
    <mergeCell ref="AA186:AA187"/>
    <mergeCell ref="AB186:AB187"/>
    <mergeCell ref="K186:K187"/>
    <mergeCell ref="L186:L187"/>
    <mergeCell ref="M186:M187"/>
    <mergeCell ref="N186:N187"/>
    <mergeCell ref="O186:O187"/>
    <mergeCell ref="A186:A187"/>
    <mergeCell ref="E186:E187"/>
    <mergeCell ref="H186:H187"/>
    <mergeCell ref="I186:I187"/>
    <mergeCell ref="J186:J187"/>
    <mergeCell ref="X184:X185"/>
    <mergeCell ref="Y184:Y185"/>
    <mergeCell ref="Z184:Z185"/>
    <mergeCell ref="AA184:AA185"/>
    <mergeCell ref="AB184:AB185"/>
    <mergeCell ref="K184:K185"/>
    <mergeCell ref="L184:L185"/>
    <mergeCell ref="M184:M185"/>
    <mergeCell ref="N184:N185"/>
    <mergeCell ref="O184:O185"/>
    <mergeCell ref="A184:A185"/>
    <mergeCell ref="E184:E185"/>
    <mergeCell ref="H184:H185"/>
    <mergeCell ref="I184:I185"/>
    <mergeCell ref="J184:J185"/>
    <mergeCell ref="X182:X183"/>
    <mergeCell ref="Y182:Y183"/>
    <mergeCell ref="Z182:Z183"/>
    <mergeCell ref="AA182:AA183"/>
    <mergeCell ref="AB182:AB183"/>
    <mergeCell ref="K182:K183"/>
    <mergeCell ref="L182:L183"/>
    <mergeCell ref="M182:M183"/>
    <mergeCell ref="N182:N183"/>
    <mergeCell ref="O182:O183"/>
    <mergeCell ref="A182:A183"/>
    <mergeCell ref="E182:E183"/>
    <mergeCell ref="H182:H183"/>
    <mergeCell ref="I182:I183"/>
    <mergeCell ref="J182:J183"/>
    <mergeCell ref="X180:X181"/>
    <mergeCell ref="Y180:Y181"/>
    <mergeCell ref="Z180:Z181"/>
    <mergeCell ref="AA180:AA181"/>
    <mergeCell ref="AB180:AB181"/>
    <mergeCell ref="K180:K181"/>
    <mergeCell ref="L180:L181"/>
    <mergeCell ref="M180:M181"/>
    <mergeCell ref="N180:N181"/>
    <mergeCell ref="O180:O181"/>
    <mergeCell ref="A180:A181"/>
    <mergeCell ref="E180:E181"/>
    <mergeCell ref="H180:H181"/>
    <mergeCell ref="I180:I181"/>
    <mergeCell ref="J180:J181"/>
    <mergeCell ref="X178:X179"/>
    <mergeCell ref="Y178:Y179"/>
    <mergeCell ref="Z178:Z179"/>
    <mergeCell ref="AA178:AA179"/>
    <mergeCell ref="AB178:AB179"/>
    <mergeCell ref="K178:K179"/>
    <mergeCell ref="L178:L179"/>
    <mergeCell ref="M178:M179"/>
    <mergeCell ref="N178:N179"/>
    <mergeCell ref="O178:O179"/>
    <mergeCell ref="A178:A179"/>
    <mergeCell ref="E178:E179"/>
    <mergeCell ref="H178:H179"/>
    <mergeCell ref="I178:I179"/>
    <mergeCell ref="J178:J179"/>
    <mergeCell ref="X176:X177"/>
    <mergeCell ref="Y176:Y177"/>
    <mergeCell ref="Z176:Z177"/>
    <mergeCell ref="AA176:AA177"/>
    <mergeCell ref="AB176:AB177"/>
    <mergeCell ref="K176:K177"/>
    <mergeCell ref="L176:L177"/>
    <mergeCell ref="M176:M177"/>
    <mergeCell ref="N176:N177"/>
    <mergeCell ref="O176:O177"/>
    <mergeCell ref="A176:A177"/>
    <mergeCell ref="E176:E177"/>
    <mergeCell ref="H176:H177"/>
    <mergeCell ref="I176:I177"/>
    <mergeCell ref="J176:J177"/>
    <mergeCell ref="X174:X175"/>
    <mergeCell ref="Y174:Y175"/>
    <mergeCell ref="Z174:Z175"/>
    <mergeCell ref="AA174:AA175"/>
    <mergeCell ref="AB174:AB175"/>
    <mergeCell ref="K174:K175"/>
    <mergeCell ref="L174:L175"/>
    <mergeCell ref="M174:M175"/>
    <mergeCell ref="N174:N175"/>
    <mergeCell ref="O174:O175"/>
    <mergeCell ref="A174:A175"/>
    <mergeCell ref="E174:E175"/>
    <mergeCell ref="H174:H175"/>
    <mergeCell ref="I174:I175"/>
    <mergeCell ref="J174:J175"/>
    <mergeCell ref="X172:X173"/>
    <mergeCell ref="Y172:Y173"/>
    <mergeCell ref="Z172:Z173"/>
    <mergeCell ref="AA172:AA173"/>
    <mergeCell ref="AB172:AB173"/>
    <mergeCell ref="K172:K173"/>
    <mergeCell ref="L172:L173"/>
    <mergeCell ref="M172:M173"/>
    <mergeCell ref="N172:N173"/>
    <mergeCell ref="O172:O173"/>
    <mergeCell ref="A172:A173"/>
    <mergeCell ref="E172:E173"/>
    <mergeCell ref="H172:H173"/>
    <mergeCell ref="I172:I173"/>
    <mergeCell ref="J172:J173"/>
    <mergeCell ref="X170:X171"/>
    <mergeCell ref="Y170:Y171"/>
    <mergeCell ref="Z170:Z171"/>
    <mergeCell ref="AA170:AA171"/>
    <mergeCell ref="AB170:AB171"/>
    <mergeCell ref="K170:K171"/>
    <mergeCell ref="L170:L171"/>
    <mergeCell ref="M170:M171"/>
    <mergeCell ref="N170:N171"/>
    <mergeCell ref="O170:O171"/>
    <mergeCell ref="A170:A171"/>
    <mergeCell ref="E170:E171"/>
    <mergeCell ref="H170:H171"/>
    <mergeCell ref="I170:I171"/>
    <mergeCell ref="J170:J171"/>
    <mergeCell ref="X168:X169"/>
    <mergeCell ref="Y168:Y169"/>
    <mergeCell ref="Z168:Z169"/>
    <mergeCell ref="AA168:AA169"/>
    <mergeCell ref="AB168:AB169"/>
    <mergeCell ref="K168:K169"/>
    <mergeCell ref="L168:L169"/>
    <mergeCell ref="M168:M169"/>
    <mergeCell ref="N168:N169"/>
    <mergeCell ref="O168:O169"/>
    <mergeCell ref="A168:A169"/>
    <mergeCell ref="E168:E169"/>
    <mergeCell ref="H168:H169"/>
    <mergeCell ref="I168:I169"/>
    <mergeCell ref="J168:J169"/>
    <mergeCell ref="X166:X167"/>
    <mergeCell ref="Y166:Y167"/>
    <mergeCell ref="Z166:Z167"/>
    <mergeCell ref="AA166:AA167"/>
    <mergeCell ref="AB166:AB167"/>
    <mergeCell ref="K166:K167"/>
    <mergeCell ref="L166:L167"/>
    <mergeCell ref="M166:M167"/>
    <mergeCell ref="N166:N167"/>
    <mergeCell ref="O166:O167"/>
    <mergeCell ref="A166:A167"/>
    <mergeCell ref="E166:E167"/>
    <mergeCell ref="H166:H167"/>
    <mergeCell ref="I166:I167"/>
    <mergeCell ref="J166:J167"/>
    <mergeCell ref="X164:X165"/>
    <mergeCell ref="Y164:Y165"/>
    <mergeCell ref="Z164:Z165"/>
    <mergeCell ref="AA164:AA165"/>
    <mergeCell ref="AB164:AB165"/>
    <mergeCell ref="K164:K165"/>
    <mergeCell ref="L164:L165"/>
    <mergeCell ref="M164:M165"/>
    <mergeCell ref="N164:N165"/>
    <mergeCell ref="O164:O165"/>
    <mergeCell ref="A164:A165"/>
    <mergeCell ref="E164:E165"/>
    <mergeCell ref="H164:H165"/>
    <mergeCell ref="I164:I165"/>
    <mergeCell ref="J164:J165"/>
    <mergeCell ref="X162:X163"/>
    <mergeCell ref="Y162:Y163"/>
    <mergeCell ref="Z162:Z163"/>
    <mergeCell ref="AA162:AA163"/>
    <mergeCell ref="AB162:AB163"/>
    <mergeCell ref="K162:K163"/>
    <mergeCell ref="L162:L163"/>
    <mergeCell ref="M162:M163"/>
    <mergeCell ref="N162:N163"/>
    <mergeCell ref="O162:O163"/>
    <mergeCell ref="A162:A163"/>
    <mergeCell ref="E162:E163"/>
    <mergeCell ref="H162:H163"/>
    <mergeCell ref="I162:I163"/>
    <mergeCell ref="J162:J163"/>
    <mergeCell ref="X160:X161"/>
    <mergeCell ref="Y160:Y161"/>
    <mergeCell ref="Z160:Z161"/>
    <mergeCell ref="AA160:AA161"/>
    <mergeCell ref="AB160:AB161"/>
    <mergeCell ref="K160:K161"/>
    <mergeCell ref="L160:L161"/>
    <mergeCell ref="M160:M161"/>
    <mergeCell ref="N160:N161"/>
    <mergeCell ref="O160:O161"/>
    <mergeCell ref="A160:A161"/>
    <mergeCell ref="E160:E161"/>
    <mergeCell ref="H160:H161"/>
    <mergeCell ref="I160:I161"/>
    <mergeCell ref="J160:J161"/>
    <mergeCell ref="X158:X159"/>
    <mergeCell ref="Y158:Y159"/>
    <mergeCell ref="Z158:Z159"/>
    <mergeCell ref="AA158:AA159"/>
    <mergeCell ref="AB158:AB159"/>
    <mergeCell ref="K158:K159"/>
    <mergeCell ref="L158:L159"/>
    <mergeCell ref="M158:M159"/>
    <mergeCell ref="N158:N159"/>
    <mergeCell ref="O158:O159"/>
    <mergeCell ref="A158:A159"/>
    <mergeCell ref="E158:E159"/>
    <mergeCell ref="H158:H159"/>
    <mergeCell ref="I158:I159"/>
    <mergeCell ref="J158:J159"/>
    <mergeCell ref="X156:X157"/>
    <mergeCell ref="Y156:Y157"/>
    <mergeCell ref="Z156:Z157"/>
    <mergeCell ref="AA156:AA157"/>
    <mergeCell ref="AB156:AB157"/>
    <mergeCell ref="K156:K157"/>
    <mergeCell ref="L156:L157"/>
    <mergeCell ref="M156:M157"/>
    <mergeCell ref="N156:N157"/>
    <mergeCell ref="O156:O157"/>
    <mergeCell ref="A156:A157"/>
    <mergeCell ref="E156:E157"/>
    <mergeCell ref="H156:H157"/>
    <mergeCell ref="I156:I157"/>
    <mergeCell ref="J156:J157"/>
    <mergeCell ref="X154:X155"/>
    <mergeCell ref="Y154:Y155"/>
    <mergeCell ref="Z154:Z155"/>
    <mergeCell ref="AA154:AA155"/>
    <mergeCell ref="AB154:AB155"/>
    <mergeCell ref="K154:K155"/>
    <mergeCell ref="L154:L155"/>
    <mergeCell ref="M154:M155"/>
    <mergeCell ref="N154:N155"/>
    <mergeCell ref="O154:O155"/>
    <mergeCell ref="A154:A155"/>
    <mergeCell ref="E154:E155"/>
    <mergeCell ref="H154:H155"/>
    <mergeCell ref="I154:I155"/>
    <mergeCell ref="J154:J155"/>
    <mergeCell ref="X152:X153"/>
    <mergeCell ref="Y152:Y153"/>
    <mergeCell ref="Z152:Z153"/>
    <mergeCell ref="AA152:AA153"/>
    <mergeCell ref="AB152:AB153"/>
    <mergeCell ref="K152:K153"/>
    <mergeCell ref="L152:L153"/>
    <mergeCell ref="M152:M153"/>
    <mergeCell ref="N152:N153"/>
    <mergeCell ref="O152:O153"/>
    <mergeCell ref="A152:A153"/>
    <mergeCell ref="E152:E153"/>
    <mergeCell ref="H152:H153"/>
    <mergeCell ref="I152:I153"/>
    <mergeCell ref="J152:J153"/>
    <mergeCell ref="X150:X151"/>
    <mergeCell ref="Y150:Y151"/>
    <mergeCell ref="Z150:Z151"/>
    <mergeCell ref="AA150:AA151"/>
    <mergeCell ref="AB150:AB151"/>
    <mergeCell ref="K150:K151"/>
    <mergeCell ref="L150:L151"/>
    <mergeCell ref="M150:M151"/>
    <mergeCell ref="N150:N151"/>
    <mergeCell ref="O150:O151"/>
    <mergeCell ref="A150:A151"/>
    <mergeCell ref="E150:E151"/>
    <mergeCell ref="H150:H151"/>
    <mergeCell ref="I150:I151"/>
    <mergeCell ref="J150:J151"/>
    <mergeCell ref="X148:X149"/>
    <mergeCell ref="Y148:Y149"/>
    <mergeCell ref="Z148:Z149"/>
    <mergeCell ref="AA148:AA149"/>
    <mergeCell ref="AB148:AB149"/>
    <mergeCell ref="K148:K149"/>
    <mergeCell ref="L148:L149"/>
    <mergeCell ref="M148:M149"/>
    <mergeCell ref="N148:N149"/>
    <mergeCell ref="O148:O149"/>
    <mergeCell ref="A148:A149"/>
    <mergeCell ref="E148:E149"/>
    <mergeCell ref="H148:H149"/>
    <mergeCell ref="I148:I149"/>
    <mergeCell ref="J148:J149"/>
    <mergeCell ref="X146:X147"/>
    <mergeCell ref="Y146:Y147"/>
    <mergeCell ref="Z146:Z147"/>
    <mergeCell ref="AA146:AA147"/>
    <mergeCell ref="AB146:AB147"/>
    <mergeCell ref="K146:K147"/>
    <mergeCell ref="L146:L147"/>
    <mergeCell ref="M146:M147"/>
    <mergeCell ref="N146:N147"/>
    <mergeCell ref="O146:O147"/>
    <mergeCell ref="A146:A147"/>
    <mergeCell ref="E146:E147"/>
    <mergeCell ref="H146:H147"/>
    <mergeCell ref="I146:I147"/>
    <mergeCell ref="J146:J147"/>
    <mergeCell ref="X144:X145"/>
    <mergeCell ref="Y144:Y145"/>
    <mergeCell ref="Z144:Z145"/>
    <mergeCell ref="AA144:AA145"/>
    <mergeCell ref="AB144:AB145"/>
    <mergeCell ref="K144:K145"/>
    <mergeCell ref="L144:L145"/>
    <mergeCell ref="M144:M145"/>
    <mergeCell ref="N144:N145"/>
    <mergeCell ref="O144:O145"/>
    <mergeCell ref="A144:A145"/>
    <mergeCell ref="E144:E145"/>
    <mergeCell ref="H144:H145"/>
    <mergeCell ref="I144:I145"/>
    <mergeCell ref="J144:J145"/>
    <mergeCell ref="X142:X143"/>
    <mergeCell ref="Y142:Y143"/>
    <mergeCell ref="Z142:Z143"/>
    <mergeCell ref="AA142:AA143"/>
    <mergeCell ref="AB142:AB143"/>
    <mergeCell ref="K142:K143"/>
    <mergeCell ref="L142:L143"/>
    <mergeCell ref="M142:M143"/>
    <mergeCell ref="N142:N143"/>
    <mergeCell ref="O142:O143"/>
    <mergeCell ref="A142:A143"/>
    <mergeCell ref="E142:E143"/>
    <mergeCell ref="H142:H143"/>
    <mergeCell ref="I142:I143"/>
    <mergeCell ref="J142:J143"/>
    <mergeCell ref="X140:X141"/>
    <mergeCell ref="Y140:Y141"/>
    <mergeCell ref="Z140:Z141"/>
    <mergeCell ref="AA140:AA141"/>
    <mergeCell ref="AB140:AB141"/>
    <mergeCell ref="K140:K141"/>
    <mergeCell ref="L140:L141"/>
    <mergeCell ref="M140:M141"/>
    <mergeCell ref="N140:N141"/>
    <mergeCell ref="O140:O141"/>
    <mergeCell ref="A140:A141"/>
    <mergeCell ref="E140:E141"/>
    <mergeCell ref="H140:H141"/>
    <mergeCell ref="I140:I141"/>
    <mergeCell ref="J140:J141"/>
    <mergeCell ref="X138:X139"/>
    <mergeCell ref="Y138:Y139"/>
    <mergeCell ref="Z138:Z139"/>
    <mergeCell ref="AA138:AA139"/>
    <mergeCell ref="AB138:AB139"/>
    <mergeCell ref="K138:K139"/>
    <mergeCell ref="L138:L139"/>
    <mergeCell ref="M138:M139"/>
    <mergeCell ref="N138:N139"/>
    <mergeCell ref="O138:O139"/>
    <mergeCell ref="A138:A139"/>
    <mergeCell ref="E138:E139"/>
    <mergeCell ref="H138:H139"/>
    <mergeCell ref="I138:I139"/>
    <mergeCell ref="J138:J139"/>
    <mergeCell ref="X136:X137"/>
    <mergeCell ref="Y136:Y137"/>
    <mergeCell ref="Z136:Z137"/>
    <mergeCell ref="AA136:AA137"/>
    <mergeCell ref="AB136:AB137"/>
    <mergeCell ref="K136:K137"/>
    <mergeCell ref="L136:L137"/>
    <mergeCell ref="M136:M137"/>
    <mergeCell ref="N136:N137"/>
    <mergeCell ref="O136:O137"/>
    <mergeCell ref="A136:A137"/>
    <mergeCell ref="E136:E137"/>
    <mergeCell ref="H136:H137"/>
    <mergeCell ref="I136:I137"/>
    <mergeCell ref="J136:J137"/>
    <mergeCell ref="X134:X135"/>
    <mergeCell ref="Y134:Y135"/>
    <mergeCell ref="Z134:Z135"/>
    <mergeCell ref="AA134:AA135"/>
    <mergeCell ref="AB134:AB135"/>
    <mergeCell ref="K134:K135"/>
    <mergeCell ref="L134:L135"/>
    <mergeCell ref="M134:M135"/>
    <mergeCell ref="N134:N135"/>
    <mergeCell ref="O134:O135"/>
    <mergeCell ref="A134:A135"/>
    <mergeCell ref="E134:E135"/>
    <mergeCell ref="H134:H135"/>
    <mergeCell ref="I134:I135"/>
    <mergeCell ref="J134:J135"/>
    <mergeCell ref="X132:X133"/>
    <mergeCell ref="Y132:Y133"/>
    <mergeCell ref="Z132:Z133"/>
    <mergeCell ref="AA132:AA133"/>
    <mergeCell ref="AB132:AB133"/>
    <mergeCell ref="K132:K133"/>
    <mergeCell ref="L132:L133"/>
    <mergeCell ref="M132:M133"/>
    <mergeCell ref="N132:N133"/>
    <mergeCell ref="O132:O133"/>
    <mergeCell ref="A132:A133"/>
    <mergeCell ref="E132:E133"/>
    <mergeCell ref="H132:H133"/>
    <mergeCell ref="I132:I133"/>
    <mergeCell ref="J132:J133"/>
    <mergeCell ref="X130:X131"/>
    <mergeCell ref="Y130:Y131"/>
    <mergeCell ref="Z130:Z131"/>
    <mergeCell ref="AA130:AA131"/>
    <mergeCell ref="AB130:AB131"/>
    <mergeCell ref="K130:K131"/>
    <mergeCell ref="L130:L131"/>
    <mergeCell ref="M130:M131"/>
    <mergeCell ref="N130:N131"/>
    <mergeCell ref="O130:O131"/>
    <mergeCell ref="A130:A131"/>
    <mergeCell ref="E130:E131"/>
    <mergeCell ref="H130:H131"/>
    <mergeCell ref="I130:I131"/>
    <mergeCell ref="J130:J131"/>
    <mergeCell ref="X128:X129"/>
    <mergeCell ref="Y128:Y129"/>
    <mergeCell ref="Z128:Z129"/>
    <mergeCell ref="AA128:AA129"/>
    <mergeCell ref="AB128:AB129"/>
    <mergeCell ref="K128:K129"/>
    <mergeCell ref="L128:L129"/>
    <mergeCell ref="M128:M129"/>
    <mergeCell ref="N128:N129"/>
    <mergeCell ref="O128:O129"/>
    <mergeCell ref="A128:A129"/>
    <mergeCell ref="E128:E129"/>
    <mergeCell ref="H128:H129"/>
    <mergeCell ref="I128:I129"/>
    <mergeCell ref="J128:J129"/>
    <mergeCell ref="X126:X127"/>
    <mergeCell ref="Y126:Y127"/>
    <mergeCell ref="Z126:Z127"/>
    <mergeCell ref="AA126:AA127"/>
    <mergeCell ref="AB126:AB127"/>
    <mergeCell ref="K126:K127"/>
    <mergeCell ref="L126:L127"/>
    <mergeCell ref="M126:M127"/>
    <mergeCell ref="N126:N127"/>
    <mergeCell ref="O126:O127"/>
    <mergeCell ref="A126:A127"/>
    <mergeCell ref="E126:E127"/>
    <mergeCell ref="H126:H127"/>
    <mergeCell ref="I126:I127"/>
    <mergeCell ref="J126:J127"/>
    <mergeCell ref="X124:X125"/>
    <mergeCell ref="Y124:Y125"/>
    <mergeCell ref="Z124:Z125"/>
    <mergeCell ref="AA124:AA125"/>
    <mergeCell ref="AB124:AB125"/>
    <mergeCell ref="K124:K125"/>
    <mergeCell ref="L124:L125"/>
    <mergeCell ref="M124:M125"/>
    <mergeCell ref="N124:N125"/>
    <mergeCell ref="O124:O125"/>
    <mergeCell ref="A124:A125"/>
    <mergeCell ref="E124:E125"/>
    <mergeCell ref="H124:H125"/>
    <mergeCell ref="I124:I125"/>
    <mergeCell ref="J124:J125"/>
    <mergeCell ref="X122:X123"/>
    <mergeCell ref="Y122:Y123"/>
    <mergeCell ref="Z122:Z123"/>
    <mergeCell ref="AA122:AA123"/>
    <mergeCell ref="AB122:AB123"/>
    <mergeCell ref="K122:K123"/>
    <mergeCell ref="L122:L123"/>
    <mergeCell ref="M122:M123"/>
    <mergeCell ref="N122:N123"/>
    <mergeCell ref="O122:O123"/>
    <mergeCell ref="A122:A123"/>
    <mergeCell ref="E122:E123"/>
    <mergeCell ref="H122:H123"/>
    <mergeCell ref="I122:I123"/>
    <mergeCell ref="J122:J123"/>
    <mergeCell ref="X120:X121"/>
    <mergeCell ref="Y120:Y121"/>
    <mergeCell ref="Z120:Z121"/>
    <mergeCell ref="AA120:AA121"/>
    <mergeCell ref="AB120:AB121"/>
    <mergeCell ref="K120:K121"/>
    <mergeCell ref="L120:L121"/>
    <mergeCell ref="M120:M121"/>
    <mergeCell ref="N120:N121"/>
    <mergeCell ref="O120:O121"/>
    <mergeCell ref="A120:A121"/>
    <mergeCell ref="E120:E121"/>
    <mergeCell ref="H120:H121"/>
    <mergeCell ref="I120:I121"/>
    <mergeCell ref="J120:J121"/>
    <mergeCell ref="X118:X119"/>
    <mergeCell ref="Y118:Y119"/>
    <mergeCell ref="Z118:Z119"/>
    <mergeCell ref="AA118:AA119"/>
    <mergeCell ref="AB118:AB119"/>
    <mergeCell ref="K118:K119"/>
    <mergeCell ref="L118:L119"/>
    <mergeCell ref="M118:M119"/>
    <mergeCell ref="N118:N119"/>
    <mergeCell ref="O118:O119"/>
    <mergeCell ref="A118:A119"/>
    <mergeCell ref="E118:E119"/>
    <mergeCell ref="H118:H119"/>
    <mergeCell ref="I118:I119"/>
    <mergeCell ref="J118:J119"/>
    <mergeCell ref="X116:X117"/>
    <mergeCell ref="Y116:Y117"/>
    <mergeCell ref="Z116:Z117"/>
    <mergeCell ref="AA116:AA117"/>
    <mergeCell ref="AB116:AB117"/>
    <mergeCell ref="K116:K117"/>
    <mergeCell ref="L116:L117"/>
    <mergeCell ref="M116:M117"/>
    <mergeCell ref="N116:N117"/>
    <mergeCell ref="O116:O117"/>
    <mergeCell ref="A116:A117"/>
    <mergeCell ref="E116:E117"/>
    <mergeCell ref="H116:H117"/>
    <mergeCell ref="I116:I117"/>
    <mergeCell ref="J116:J117"/>
    <mergeCell ref="X114:X115"/>
    <mergeCell ref="Y114:Y115"/>
    <mergeCell ref="Z114:Z115"/>
    <mergeCell ref="AA114:AA115"/>
    <mergeCell ref="AB114:AB115"/>
    <mergeCell ref="K114:K115"/>
    <mergeCell ref="L114:L115"/>
    <mergeCell ref="M114:M115"/>
    <mergeCell ref="N114:N115"/>
    <mergeCell ref="O114:O115"/>
    <mergeCell ref="A114:A115"/>
    <mergeCell ref="E114:E115"/>
    <mergeCell ref="H114:H115"/>
    <mergeCell ref="I114:I115"/>
    <mergeCell ref="J114:J115"/>
    <mergeCell ref="X112:X113"/>
    <mergeCell ref="Y112:Y113"/>
    <mergeCell ref="Z112:Z113"/>
    <mergeCell ref="AA112:AA113"/>
    <mergeCell ref="AB112:AB113"/>
    <mergeCell ref="K112:K113"/>
    <mergeCell ref="L112:L113"/>
    <mergeCell ref="M112:M113"/>
    <mergeCell ref="N112:N113"/>
    <mergeCell ref="O112:O113"/>
    <mergeCell ref="A112:A113"/>
    <mergeCell ref="E112:E113"/>
    <mergeCell ref="H112:H113"/>
    <mergeCell ref="I112:I113"/>
    <mergeCell ref="J112:J113"/>
    <mergeCell ref="X110:X111"/>
    <mergeCell ref="Y110:Y111"/>
    <mergeCell ref="Z110:Z111"/>
    <mergeCell ref="AA110:AA111"/>
    <mergeCell ref="AB110:AB111"/>
    <mergeCell ref="K110:K111"/>
    <mergeCell ref="L110:L111"/>
    <mergeCell ref="M110:M111"/>
    <mergeCell ref="N110:N111"/>
    <mergeCell ref="O110:O111"/>
    <mergeCell ref="A110:A111"/>
    <mergeCell ref="E110:E111"/>
    <mergeCell ref="H110:H111"/>
    <mergeCell ref="I110:I111"/>
    <mergeCell ref="J110:J111"/>
    <mergeCell ref="X108:X109"/>
    <mergeCell ref="Y108:Y109"/>
    <mergeCell ref="Z108:Z109"/>
    <mergeCell ref="AA108:AA109"/>
    <mergeCell ref="AB108:AB109"/>
    <mergeCell ref="K108:K109"/>
    <mergeCell ref="L108:L109"/>
    <mergeCell ref="M108:M109"/>
    <mergeCell ref="N108:N109"/>
    <mergeCell ref="O108:O109"/>
    <mergeCell ref="A108:A109"/>
    <mergeCell ref="E108:E109"/>
    <mergeCell ref="H108:H109"/>
    <mergeCell ref="I108:I109"/>
    <mergeCell ref="J108:J109"/>
    <mergeCell ref="X106:X107"/>
    <mergeCell ref="Y106:Y107"/>
    <mergeCell ref="Z106:Z107"/>
    <mergeCell ref="AA106:AA107"/>
    <mergeCell ref="AB106:AB107"/>
    <mergeCell ref="K106:K107"/>
    <mergeCell ref="L106:L107"/>
    <mergeCell ref="M106:M107"/>
    <mergeCell ref="N106:N107"/>
    <mergeCell ref="O106:O107"/>
    <mergeCell ref="A106:A107"/>
    <mergeCell ref="E106:E107"/>
    <mergeCell ref="H106:H107"/>
    <mergeCell ref="I106:I107"/>
    <mergeCell ref="J106:J107"/>
    <mergeCell ref="X104:X105"/>
    <mergeCell ref="Y104:Y105"/>
    <mergeCell ref="Z104:Z105"/>
    <mergeCell ref="AA104:AA105"/>
    <mergeCell ref="AB104:AB105"/>
    <mergeCell ref="K104:K105"/>
    <mergeCell ref="L104:L105"/>
    <mergeCell ref="M104:M105"/>
    <mergeCell ref="N104:N105"/>
    <mergeCell ref="O104:O105"/>
    <mergeCell ref="A104:A105"/>
    <mergeCell ref="E104:E105"/>
    <mergeCell ref="H104:H105"/>
    <mergeCell ref="I104:I105"/>
    <mergeCell ref="J104:J105"/>
    <mergeCell ref="X102:X103"/>
    <mergeCell ref="Y102:Y103"/>
    <mergeCell ref="Z102:Z103"/>
    <mergeCell ref="AA102:AA103"/>
    <mergeCell ref="AB102:AB103"/>
    <mergeCell ref="K102:K103"/>
    <mergeCell ref="L102:L103"/>
    <mergeCell ref="M102:M103"/>
    <mergeCell ref="N102:N103"/>
    <mergeCell ref="O102:O103"/>
    <mergeCell ref="A102:A103"/>
    <mergeCell ref="E102:E103"/>
    <mergeCell ref="H102:H103"/>
    <mergeCell ref="I102:I103"/>
    <mergeCell ref="J102:J103"/>
    <mergeCell ref="X100:X101"/>
    <mergeCell ref="Y100:Y101"/>
    <mergeCell ref="Z100:Z101"/>
    <mergeCell ref="AA100:AA101"/>
    <mergeCell ref="AB100:AB101"/>
    <mergeCell ref="K100:K101"/>
    <mergeCell ref="L100:L101"/>
    <mergeCell ref="M100:M101"/>
    <mergeCell ref="N100:N101"/>
    <mergeCell ref="O100:O101"/>
    <mergeCell ref="A100:A101"/>
    <mergeCell ref="E100:E101"/>
    <mergeCell ref="H100:H101"/>
    <mergeCell ref="I100:I101"/>
    <mergeCell ref="J100:J101"/>
    <mergeCell ref="X98:X99"/>
    <mergeCell ref="Y98:Y99"/>
    <mergeCell ref="Z98:Z99"/>
    <mergeCell ref="AA98:AA99"/>
    <mergeCell ref="AB98:AB99"/>
    <mergeCell ref="K98:K99"/>
    <mergeCell ref="L98:L99"/>
    <mergeCell ref="M98:M99"/>
    <mergeCell ref="N98:N99"/>
    <mergeCell ref="O98:O99"/>
    <mergeCell ref="A98:A99"/>
    <mergeCell ref="E98:E99"/>
    <mergeCell ref="H98:H99"/>
    <mergeCell ref="I98:I99"/>
    <mergeCell ref="J98:J99"/>
    <mergeCell ref="X96:X97"/>
    <mergeCell ref="Y96:Y97"/>
    <mergeCell ref="Z96:Z97"/>
    <mergeCell ref="AA96:AA97"/>
    <mergeCell ref="AB96:AB97"/>
    <mergeCell ref="K96:K97"/>
    <mergeCell ref="L96:L97"/>
    <mergeCell ref="M96:M97"/>
    <mergeCell ref="N96:N97"/>
    <mergeCell ref="O96:O97"/>
    <mergeCell ref="A96:A97"/>
    <mergeCell ref="E96:E97"/>
    <mergeCell ref="H96:H97"/>
    <mergeCell ref="I96:I97"/>
    <mergeCell ref="J96:J97"/>
    <mergeCell ref="X94:X95"/>
    <mergeCell ref="Y94:Y95"/>
    <mergeCell ref="Z94:Z95"/>
    <mergeCell ref="AA94:AA95"/>
    <mergeCell ref="AB94:AB95"/>
    <mergeCell ref="K94:K95"/>
    <mergeCell ref="L94:L95"/>
    <mergeCell ref="M94:M95"/>
    <mergeCell ref="N94:N95"/>
    <mergeCell ref="O94:O95"/>
    <mergeCell ref="A94:A95"/>
    <mergeCell ref="E94:E95"/>
    <mergeCell ref="H94:H95"/>
    <mergeCell ref="I94:I95"/>
    <mergeCell ref="J94:J95"/>
    <mergeCell ref="X92:X93"/>
    <mergeCell ref="Y92:Y93"/>
    <mergeCell ref="Z92:Z93"/>
    <mergeCell ref="AA92:AA93"/>
    <mergeCell ref="AB92:AB93"/>
    <mergeCell ref="K92:K93"/>
    <mergeCell ref="L92:L93"/>
    <mergeCell ref="M92:M93"/>
    <mergeCell ref="N92:N93"/>
    <mergeCell ref="O92:O93"/>
    <mergeCell ref="A92:A93"/>
    <mergeCell ref="E92:E93"/>
    <mergeCell ref="H92:H93"/>
    <mergeCell ref="I92:I93"/>
    <mergeCell ref="J92:J93"/>
    <mergeCell ref="X90:X91"/>
    <mergeCell ref="Y90:Y91"/>
    <mergeCell ref="Z90:Z91"/>
    <mergeCell ref="AA90:AA91"/>
    <mergeCell ref="AB90:AB91"/>
    <mergeCell ref="K90:K91"/>
    <mergeCell ref="L90:L91"/>
    <mergeCell ref="M90:M91"/>
    <mergeCell ref="N90:N91"/>
    <mergeCell ref="O90:O91"/>
    <mergeCell ref="A90:A91"/>
    <mergeCell ref="E90:E91"/>
    <mergeCell ref="H90:H91"/>
    <mergeCell ref="I90:I91"/>
    <mergeCell ref="J90:J91"/>
    <mergeCell ref="X88:X89"/>
    <mergeCell ref="Y88:Y89"/>
    <mergeCell ref="Z88:Z89"/>
    <mergeCell ref="AA88:AA89"/>
    <mergeCell ref="AB88:AB89"/>
    <mergeCell ref="K88:K89"/>
    <mergeCell ref="L88:L89"/>
    <mergeCell ref="M88:M89"/>
    <mergeCell ref="N88:N89"/>
    <mergeCell ref="O88:O89"/>
    <mergeCell ref="A88:A89"/>
    <mergeCell ref="E88:E89"/>
    <mergeCell ref="H88:H89"/>
    <mergeCell ref="I88:I89"/>
    <mergeCell ref="J88:J89"/>
    <mergeCell ref="X86:X87"/>
    <mergeCell ref="Y86:Y87"/>
    <mergeCell ref="Z86:Z87"/>
    <mergeCell ref="AA86:AA87"/>
    <mergeCell ref="AB86:AB87"/>
    <mergeCell ref="K86:K87"/>
    <mergeCell ref="L86:L87"/>
    <mergeCell ref="M86:M87"/>
    <mergeCell ref="N86:N87"/>
    <mergeCell ref="O86:O87"/>
    <mergeCell ref="A86:A87"/>
    <mergeCell ref="E86:E87"/>
    <mergeCell ref="H86:H87"/>
    <mergeCell ref="I86:I87"/>
    <mergeCell ref="J86:J87"/>
    <mergeCell ref="X84:X85"/>
    <mergeCell ref="Y84:Y85"/>
    <mergeCell ref="Z84:Z85"/>
    <mergeCell ref="AA84:AA85"/>
    <mergeCell ref="AB84:AB85"/>
    <mergeCell ref="K84:K85"/>
    <mergeCell ref="L84:L85"/>
    <mergeCell ref="M84:M85"/>
    <mergeCell ref="N84:N85"/>
    <mergeCell ref="O84:O85"/>
    <mergeCell ref="A84:A85"/>
    <mergeCell ref="E84:E85"/>
    <mergeCell ref="H84:H85"/>
    <mergeCell ref="I84:I85"/>
    <mergeCell ref="J84:J85"/>
    <mergeCell ref="X82:X83"/>
    <mergeCell ref="Y82:Y83"/>
    <mergeCell ref="Z82:Z83"/>
    <mergeCell ref="AA82:AA83"/>
    <mergeCell ref="AB82:AB83"/>
    <mergeCell ref="K82:K83"/>
    <mergeCell ref="L82:L83"/>
    <mergeCell ref="M82:M83"/>
    <mergeCell ref="N82:N83"/>
    <mergeCell ref="O82:O83"/>
    <mergeCell ref="A82:A83"/>
    <mergeCell ref="E82:E83"/>
    <mergeCell ref="H82:H83"/>
    <mergeCell ref="I82:I83"/>
    <mergeCell ref="J82:J83"/>
    <mergeCell ref="X80:X81"/>
    <mergeCell ref="Y80:Y81"/>
    <mergeCell ref="Z80:Z81"/>
    <mergeCell ref="AA80:AA81"/>
    <mergeCell ref="AB80:AB81"/>
    <mergeCell ref="K80:K81"/>
    <mergeCell ref="L80:L81"/>
    <mergeCell ref="M80:M81"/>
    <mergeCell ref="N80:N81"/>
    <mergeCell ref="O80:O81"/>
    <mergeCell ref="A80:A81"/>
    <mergeCell ref="E80:E81"/>
    <mergeCell ref="H80:H81"/>
    <mergeCell ref="I80:I81"/>
    <mergeCell ref="J80:J81"/>
    <mergeCell ref="X78:X79"/>
    <mergeCell ref="Y78:Y79"/>
    <mergeCell ref="Z78:Z79"/>
    <mergeCell ref="AA78:AA79"/>
    <mergeCell ref="AB78:AB79"/>
    <mergeCell ref="K78:K79"/>
    <mergeCell ref="L78:L79"/>
    <mergeCell ref="M78:M79"/>
    <mergeCell ref="N78:N79"/>
    <mergeCell ref="O78:O79"/>
    <mergeCell ref="A78:A79"/>
    <mergeCell ref="E78:E79"/>
    <mergeCell ref="H78:H79"/>
    <mergeCell ref="I78:I79"/>
    <mergeCell ref="J78:J79"/>
    <mergeCell ref="X76:X77"/>
    <mergeCell ref="Y76:Y77"/>
    <mergeCell ref="Z76:Z77"/>
    <mergeCell ref="AA76:AA77"/>
    <mergeCell ref="AB76:AB77"/>
    <mergeCell ref="K76:K77"/>
    <mergeCell ref="L76:L77"/>
    <mergeCell ref="M76:M77"/>
    <mergeCell ref="N76:N77"/>
    <mergeCell ref="O76:O77"/>
    <mergeCell ref="A76:A77"/>
    <mergeCell ref="E76:E77"/>
    <mergeCell ref="H76:H77"/>
    <mergeCell ref="I76:I77"/>
    <mergeCell ref="J76:J77"/>
    <mergeCell ref="X74:X75"/>
    <mergeCell ref="Y74:Y75"/>
    <mergeCell ref="Z74:Z75"/>
    <mergeCell ref="AA74:AA75"/>
    <mergeCell ref="AB74:AB75"/>
    <mergeCell ref="K74:K75"/>
    <mergeCell ref="L74:L75"/>
    <mergeCell ref="M74:M75"/>
    <mergeCell ref="N74:N75"/>
    <mergeCell ref="O74:O75"/>
    <mergeCell ref="A74:A75"/>
    <mergeCell ref="E74:E75"/>
    <mergeCell ref="H74:H75"/>
    <mergeCell ref="I74:I75"/>
    <mergeCell ref="J74:J75"/>
    <mergeCell ref="X72:X73"/>
    <mergeCell ref="Y72:Y73"/>
    <mergeCell ref="Z72:Z73"/>
    <mergeCell ref="AA72:AA73"/>
    <mergeCell ref="AB72:AB73"/>
    <mergeCell ref="K72:K73"/>
    <mergeCell ref="L72:L73"/>
    <mergeCell ref="M72:M73"/>
    <mergeCell ref="N72:N73"/>
    <mergeCell ref="O72:O73"/>
    <mergeCell ref="A72:A73"/>
    <mergeCell ref="E72:E73"/>
    <mergeCell ref="H72:H73"/>
    <mergeCell ref="I72:I73"/>
    <mergeCell ref="J72:J73"/>
    <mergeCell ref="X70:X71"/>
    <mergeCell ref="Y70:Y71"/>
    <mergeCell ref="Z70:Z71"/>
    <mergeCell ref="AA70:AA71"/>
    <mergeCell ref="AB70:AB71"/>
    <mergeCell ref="K70:K71"/>
    <mergeCell ref="L70:L71"/>
    <mergeCell ref="M70:M71"/>
    <mergeCell ref="N70:N71"/>
    <mergeCell ref="O70:O71"/>
    <mergeCell ref="A70:A71"/>
    <mergeCell ref="E70:E71"/>
    <mergeCell ref="H70:H71"/>
    <mergeCell ref="I70:I71"/>
    <mergeCell ref="J70:J71"/>
    <mergeCell ref="X68:X69"/>
    <mergeCell ref="Y68:Y69"/>
    <mergeCell ref="Z68:Z69"/>
    <mergeCell ref="AA68:AA69"/>
    <mergeCell ref="AB68:AB69"/>
    <mergeCell ref="K68:K69"/>
    <mergeCell ref="L68:L69"/>
    <mergeCell ref="M68:M69"/>
    <mergeCell ref="N68:N69"/>
    <mergeCell ref="O68:O69"/>
    <mergeCell ref="A68:A69"/>
    <mergeCell ref="E68:E69"/>
    <mergeCell ref="H68:H69"/>
    <mergeCell ref="I68:I69"/>
    <mergeCell ref="J68:J69"/>
    <mergeCell ref="X66:X67"/>
    <mergeCell ref="Y66:Y67"/>
    <mergeCell ref="Z66:Z67"/>
    <mergeCell ref="AA66:AA67"/>
    <mergeCell ref="AB66:AB67"/>
    <mergeCell ref="K66:K67"/>
    <mergeCell ref="L66:L67"/>
    <mergeCell ref="M66:M67"/>
    <mergeCell ref="N66:N67"/>
    <mergeCell ref="O66:O67"/>
    <mergeCell ref="A66:A67"/>
    <mergeCell ref="E66:E67"/>
    <mergeCell ref="H66:H67"/>
    <mergeCell ref="I66:I67"/>
    <mergeCell ref="J66:J67"/>
    <mergeCell ref="X64:X65"/>
    <mergeCell ref="Y64:Y65"/>
    <mergeCell ref="Z64:Z65"/>
    <mergeCell ref="AA64:AA65"/>
    <mergeCell ref="AB64:AB65"/>
    <mergeCell ref="K64:K65"/>
    <mergeCell ref="L64:L65"/>
    <mergeCell ref="M64:M65"/>
    <mergeCell ref="N64:N65"/>
    <mergeCell ref="O64:O65"/>
    <mergeCell ref="A64:A65"/>
    <mergeCell ref="E64:E65"/>
    <mergeCell ref="H64:H65"/>
    <mergeCell ref="I64:I65"/>
    <mergeCell ref="J64:J65"/>
    <mergeCell ref="X62:X63"/>
    <mergeCell ref="Y62:Y63"/>
    <mergeCell ref="Z62:Z63"/>
    <mergeCell ref="AA62:AA63"/>
    <mergeCell ref="AB62:AB63"/>
    <mergeCell ref="K62:K63"/>
    <mergeCell ref="L62:L63"/>
    <mergeCell ref="M62:M63"/>
    <mergeCell ref="N62:N63"/>
    <mergeCell ref="O62:O63"/>
    <mergeCell ref="A62:A63"/>
    <mergeCell ref="E62:E63"/>
    <mergeCell ref="H62:H63"/>
    <mergeCell ref="I62:I63"/>
    <mergeCell ref="J62:J63"/>
    <mergeCell ref="X60:X61"/>
    <mergeCell ref="Y60:Y61"/>
    <mergeCell ref="Z60:Z61"/>
    <mergeCell ref="AA60:AA61"/>
    <mergeCell ref="AB60:AB61"/>
    <mergeCell ref="K60:K61"/>
    <mergeCell ref="L60:L61"/>
    <mergeCell ref="M60:M61"/>
    <mergeCell ref="N60:N61"/>
    <mergeCell ref="O60:O61"/>
    <mergeCell ref="A60:A61"/>
    <mergeCell ref="E60:E61"/>
    <mergeCell ref="H60:H61"/>
    <mergeCell ref="I60:I61"/>
    <mergeCell ref="J60:J61"/>
    <mergeCell ref="X58:X59"/>
    <mergeCell ref="Y58:Y59"/>
    <mergeCell ref="Z58:Z59"/>
    <mergeCell ref="AA58:AA59"/>
    <mergeCell ref="AB58:AB59"/>
    <mergeCell ref="K58:K59"/>
    <mergeCell ref="L58:L59"/>
    <mergeCell ref="M58:M59"/>
    <mergeCell ref="N58:N59"/>
    <mergeCell ref="O58:O59"/>
    <mergeCell ref="A58:A59"/>
    <mergeCell ref="E58:E59"/>
    <mergeCell ref="H58:H59"/>
    <mergeCell ref="I58:I59"/>
    <mergeCell ref="J58:J59"/>
    <mergeCell ref="X56:X57"/>
    <mergeCell ref="Y56:Y57"/>
    <mergeCell ref="Z56:Z57"/>
    <mergeCell ref="AA56:AA57"/>
    <mergeCell ref="AB56:AB57"/>
    <mergeCell ref="K56:K57"/>
    <mergeCell ref="L56:L57"/>
    <mergeCell ref="M56:M57"/>
    <mergeCell ref="N56:N57"/>
    <mergeCell ref="O56:O57"/>
    <mergeCell ref="A56:A57"/>
    <mergeCell ref="E56:E57"/>
    <mergeCell ref="H56:H57"/>
    <mergeCell ref="I56:I57"/>
    <mergeCell ref="J56:J57"/>
    <mergeCell ref="X54:X55"/>
    <mergeCell ref="Y54:Y55"/>
    <mergeCell ref="Z54:Z55"/>
    <mergeCell ref="AA54:AA55"/>
    <mergeCell ref="AB54:AB55"/>
    <mergeCell ref="K54:K55"/>
    <mergeCell ref="L54:L55"/>
    <mergeCell ref="M54:M55"/>
    <mergeCell ref="N54:N55"/>
    <mergeCell ref="O54:O55"/>
    <mergeCell ref="A54:A55"/>
    <mergeCell ref="E54:E55"/>
    <mergeCell ref="H54:H55"/>
    <mergeCell ref="I54:I55"/>
    <mergeCell ref="J54:J55"/>
    <mergeCell ref="X52:X53"/>
    <mergeCell ref="Y52:Y53"/>
    <mergeCell ref="Z52:Z53"/>
    <mergeCell ref="AA52:AA53"/>
    <mergeCell ref="AB52:AB53"/>
    <mergeCell ref="K52:K53"/>
    <mergeCell ref="L52:L53"/>
    <mergeCell ref="M52:M53"/>
    <mergeCell ref="N52:N53"/>
    <mergeCell ref="O52:O53"/>
    <mergeCell ref="A52:A53"/>
    <mergeCell ref="E52:E53"/>
    <mergeCell ref="H52:H53"/>
    <mergeCell ref="I52:I53"/>
    <mergeCell ref="J52:J53"/>
    <mergeCell ref="X50:X51"/>
    <mergeCell ref="Y50:Y51"/>
    <mergeCell ref="Z50:Z51"/>
    <mergeCell ref="AA50:AA51"/>
    <mergeCell ref="AB50:AB51"/>
    <mergeCell ref="K50:K51"/>
    <mergeCell ref="L50:L51"/>
    <mergeCell ref="M50:M51"/>
    <mergeCell ref="N50:N51"/>
    <mergeCell ref="O50:O51"/>
    <mergeCell ref="A50:A51"/>
    <mergeCell ref="E50:E51"/>
    <mergeCell ref="H50:H51"/>
    <mergeCell ref="I50:I51"/>
    <mergeCell ref="J50:J51"/>
    <mergeCell ref="X48:X49"/>
    <mergeCell ref="Y48:Y49"/>
    <mergeCell ref="Z48:Z49"/>
    <mergeCell ref="AA48:AA49"/>
    <mergeCell ref="AB48:AB49"/>
    <mergeCell ref="K48:K49"/>
    <mergeCell ref="L48:L49"/>
    <mergeCell ref="M48:M49"/>
    <mergeCell ref="N48:N49"/>
    <mergeCell ref="O48:O49"/>
    <mergeCell ref="A48:A49"/>
    <mergeCell ref="E48:E49"/>
    <mergeCell ref="H48:H49"/>
    <mergeCell ref="I48:I49"/>
    <mergeCell ref="J48:J49"/>
    <mergeCell ref="X46:X47"/>
    <mergeCell ref="Y46:Y47"/>
    <mergeCell ref="Z46:Z47"/>
    <mergeCell ref="AA46:AA47"/>
    <mergeCell ref="AB46:AB47"/>
    <mergeCell ref="K46:K47"/>
    <mergeCell ref="L46:L47"/>
    <mergeCell ref="M46:M47"/>
    <mergeCell ref="N46:N47"/>
    <mergeCell ref="O46:O47"/>
    <mergeCell ref="A46:A47"/>
    <mergeCell ref="E46:E47"/>
    <mergeCell ref="H46:H47"/>
    <mergeCell ref="I46:I47"/>
    <mergeCell ref="J46:J47"/>
    <mergeCell ref="X44:X45"/>
    <mergeCell ref="Y44:Y45"/>
    <mergeCell ref="Z44:Z45"/>
    <mergeCell ref="AA44:AA45"/>
    <mergeCell ref="AB44:AB45"/>
    <mergeCell ref="K44:K45"/>
    <mergeCell ref="L44:L45"/>
    <mergeCell ref="M44:M45"/>
    <mergeCell ref="N44:N45"/>
    <mergeCell ref="O44:O45"/>
    <mergeCell ref="A44:A45"/>
    <mergeCell ref="E44:E45"/>
    <mergeCell ref="H44:H45"/>
    <mergeCell ref="I44:I45"/>
    <mergeCell ref="J44:J45"/>
    <mergeCell ref="X42:X43"/>
    <mergeCell ref="Y42:Y43"/>
    <mergeCell ref="Z42:Z43"/>
    <mergeCell ref="AA42:AA43"/>
    <mergeCell ref="AB42:AB43"/>
    <mergeCell ref="K42:K43"/>
    <mergeCell ref="L42:L43"/>
    <mergeCell ref="M42:M43"/>
    <mergeCell ref="N42:N43"/>
    <mergeCell ref="O42:O43"/>
    <mergeCell ref="A42:A43"/>
    <mergeCell ref="E42:E43"/>
    <mergeCell ref="H42:H43"/>
    <mergeCell ref="I42:I43"/>
    <mergeCell ref="J42:J43"/>
    <mergeCell ref="X40:X41"/>
    <mergeCell ref="Y40:Y41"/>
    <mergeCell ref="Z40:Z41"/>
    <mergeCell ref="AA40:AA41"/>
    <mergeCell ref="AB40:AB41"/>
    <mergeCell ref="K40:K41"/>
    <mergeCell ref="L40:L41"/>
    <mergeCell ref="M40:M41"/>
    <mergeCell ref="N40:N41"/>
    <mergeCell ref="O40:O41"/>
    <mergeCell ref="A40:A41"/>
    <mergeCell ref="E40:E41"/>
    <mergeCell ref="H40:H41"/>
    <mergeCell ref="I40:I41"/>
    <mergeCell ref="J40:J41"/>
    <mergeCell ref="X38:X39"/>
    <mergeCell ref="Y38:Y39"/>
    <mergeCell ref="Z38:Z39"/>
    <mergeCell ref="AA38:AA39"/>
    <mergeCell ref="AB38:AB39"/>
    <mergeCell ref="K38:K39"/>
    <mergeCell ref="L38:L39"/>
    <mergeCell ref="M38:M39"/>
    <mergeCell ref="N38:N39"/>
    <mergeCell ref="O38:O39"/>
    <mergeCell ref="A38:A39"/>
    <mergeCell ref="E38:E39"/>
    <mergeCell ref="H38:H39"/>
    <mergeCell ref="I38:I39"/>
    <mergeCell ref="J38:J39"/>
    <mergeCell ref="X36:X37"/>
    <mergeCell ref="Y36:Y37"/>
    <mergeCell ref="Z36:Z37"/>
    <mergeCell ref="AA36:AA37"/>
    <mergeCell ref="AB36:AB37"/>
    <mergeCell ref="K36:K37"/>
    <mergeCell ref="L36:L37"/>
    <mergeCell ref="M36:M37"/>
    <mergeCell ref="N36:N37"/>
    <mergeCell ref="O36:O37"/>
    <mergeCell ref="A36:A37"/>
    <mergeCell ref="E36:E37"/>
    <mergeCell ref="H36:H37"/>
    <mergeCell ref="I36:I37"/>
    <mergeCell ref="J36:J37"/>
    <mergeCell ref="X34:X35"/>
    <mergeCell ref="Y34:Y35"/>
    <mergeCell ref="Z34:Z35"/>
    <mergeCell ref="AA34:AA35"/>
    <mergeCell ref="AB34:AB35"/>
    <mergeCell ref="K34:K35"/>
    <mergeCell ref="L34:L35"/>
    <mergeCell ref="M34:M35"/>
    <mergeCell ref="N34:N35"/>
    <mergeCell ref="O34:O35"/>
    <mergeCell ref="A34:A35"/>
    <mergeCell ref="E34:E35"/>
    <mergeCell ref="H34:H35"/>
    <mergeCell ref="I34:I35"/>
    <mergeCell ref="J34:J35"/>
    <mergeCell ref="X32:X33"/>
    <mergeCell ref="Y32:Y33"/>
    <mergeCell ref="Z32:Z33"/>
    <mergeCell ref="AA32:AA33"/>
    <mergeCell ref="AB32:AB33"/>
    <mergeCell ref="K32:K33"/>
    <mergeCell ref="L32:L33"/>
    <mergeCell ref="M32:M33"/>
    <mergeCell ref="N32:N33"/>
    <mergeCell ref="O32:O33"/>
    <mergeCell ref="A32:A33"/>
    <mergeCell ref="E32:E33"/>
    <mergeCell ref="H32:H33"/>
    <mergeCell ref="I32:I33"/>
    <mergeCell ref="J32:J33"/>
    <mergeCell ref="X30:X31"/>
    <mergeCell ref="Y30:Y31"/>
    <mergeCell ref="Z30:Z31"/>
    <mergeCell ref="AA30:AA31"/>
    <mergeCell ref="AB30:AB31"/>
    <mergeCell ref="K30:K31"/>
    <mergeCell ref="L30:L31"/>
    <mergeCell ref="M30:M31"/>
    <mergeCell ref="N30:N31"/>
    <mergeCell ref="O30:O31"/>
    <mergeCell ref="A30:A31"/>
    <mergeCell ref="E30:E31"/>
    <mergeCell ref="H30:H31"/>
    <mergeCell ref="I30:I31"/>
    <mergeCell ref="J30:J31"/>
    <mergeCell ref="X28:X29"/>
    <mergeCell ref="Y28:Y29"/>
    <mergeCell ref="Z28:Z29"/>
    <mergeCell ref="AA28:AA29"/>
    <mergeCell ref="AB28:AB29"/>
    <mergeCell ref="K28:K29"/>
    <mergeCell ref="L28:L29"/>
    <mergeCell ref="M28:M29"/>
    <mergeCell ref="N28:N29"/>
    <mergeCell ref="O28:O29"/>
    <mergeCell ref="A28:A29"/>
    <mergeCell ref="E28:E29"/>
    <mergeCell ref="H28:H29"/>
    <mergeCell ref="I28:I29"/>
    <mergeCell ref="J28:J29"/>
    <mergeCell ref="X26:X27"/>
    <mergeCell ref="Y26:Y27"/>
    <mergeCell ref="Z26:Z27"/>
    <mergeCell ref="AA26:AA27"/>
    <mergeCell ref="AB26:AB27"/>
    <mergeCell ref="K26:K27"/>
    <mergeCell ref="L26:L27"/>
    <mergeCell ref="M26:M27"/>
    <mergeCell ref="N26:N27"/>
    <mergeCell ref="O26:O27"/>
    <mergeCell ref="A26:A27"/>
    <mergeCell ref="E26:E27"/>
    <mergeCell ref="H26:H27"/>
    <mergeCell ref="I26:I27"/>
    <mergeCell ref="J26:J27"/>
    <mergeCell ref="X24:X25"/>
    <mergeCell ref="Y24:Y25"/>
    <mergeCell ref="Z24:Z25"/>
    <mergeCell ref="AA24:AA25"/>
    <mergeCell ref="AB24:AB25"/>
    <mergeCell ref="K24:K25"/>
    <mergeCell ref="L24:L25"/>
    <mergeCell ref="M24:M25"/>
    <mergeCell ref="N24:N25"/>
    <mergeCell ref="O24:O25"/>
    <mergeCell ref="A24:A25"/>
    <mergeCell ref="E24:E25"/>
    <mergeCell ref="H24:H25"/>
    <mergeCell ref="I24:I25"/>
    <mergeCell ref="J24:J25"/>
    <mergeCell ref="X22:X23"/>
    <mergeCell ref="Y22:Y23"/>
    <mergeCell ref="Z22:Z23"/>
    <mergeCell ref="AA22:AA23"/>
    <mergeCell ref="AB22:AB23"/>
    <mergeCell ref="K22:K23"/>
    <mergeCell ref="L22:L23"/>
    <mergeCell ref="M22:M23"/>
    <mergeCell ref="N22:N23"/>
    <mergeCell ref="O22:O23"/>
    <mergeCell ref="A22:A23"/>
    <mergeCell ref="E22:E23"/>
    <mergeCell ref="H22:H23"/>
    <mergeCell ref="I22:I23"/>
    <mergeCell ref="J22:J23"/>
    <mergeCell ref="X20:X21"/>
    <mergeCell ref="Y20:Y21"/>
    <mergeCell ref="Z20:Z21"/>
    <mergeCell ref="AA20:AA21"/>
    <mergeCell ref="AB20:AB21"/>
    <mergeCell ref="K20:K21"/>
    <mergeCell ref="L20:L21"/>
    <mergeCell ref="M20:M21"/>
    <mergeCell ref="N20:N21"/>
    <mergeCell ref="O20:O21"/>
    <mergeCell ref="A20:A21"/>
    <mergeCell ref="E20:E21"/>
    <mergeCell ref="H20:H21"/>
    <mergeCell ref="I20:I21"/>
    <mergeCell ref="J20:J21"/>
    <mergeCell ref="X18:X19"/>
    <mergeCell ref="Y18:Y19"/>
    <mergeCell ref="Z18:Z19"/>
    <mergeCell ref="AA18:AA19"/>
    <mergeCell ref="AB18:AB19"/>
    <mergeCell ref="K18:K19"/>
    <mergeCell ref="L18:L19"/>
    <mergeCell ref="M18:M19"/>
    <mergeCell ref="N18:N19"/>
    <mergeCell ref="O18:O19"/>
    <mergeCell ref="A18:A19"/>
    <mergeCell ref="E18:E19"/>
    <mergeCell ref="H18:H19"/>
    <mergeCell ref="I18:I19"/>
    <mergeCell ref="J18:J19"/>
    <mergeCell ref="X16:X17"/>
    <mergeCell ref="Y16:Y17"/>
    <mergeCell ref="Z16:Z17"/>
    <mergeCell ref="AA16:AA17"/>
    <mergeCell ref="AB16:AB17"/>
    <mergeCell ref="K16:K17"/>
    <mergeCell ref="L16:L17"/>
    <mergeCell ref="M16:M17"/>
    <mergeCell ref="N16:N17"/>
    <mergeCell ref="O16:O17"/>
    <mergeCell ref="A16:A17"/>
    <mergeCell ref="E16:E17"/>
    <mergeCell ref="H16:H17"/>
    <mergeCell ref="I16:I17"/>
    <mergeCell ref="J16:J17"/>
    <mergeCell ref="X14:X15"/>
    <mergeCell ref="Y14:Y15"/>
    <mergeCell ref="Z14:Z15"/>
    <mergeCell ref="AA14:AA15"/>
    <mergeCell ref="AB14:AB15"/>
    <mergeCell ref="K14:K15"/>
    <mergeCell ref="L14:L15"/>
    <mergeCell ref="M14:M15"/>
    <mergeCell ref="N14:N15"/>
    <mergeCell ref="O14:O15"/>
    <mergeCell ref="A14:A15"/>
    <mergeCell ref="E14:E15"/>
    <mergeCell ref="H14:H15"/>
    <mergeCell ref="I14:I15"/>
    <mergeCell ref="J14:J15"/>
    <mergeCell ref="X12:X13"/>
    <mergeCell ref="Y12:Y13"/>
    <mergeCell ref="Z12:Z13"/>
    <mergeCell ref="AA12:AA13"/>
    <mergeCell ref="AB12:AB13"/>
    <mergeCell ref="K12:K13"/>
    <mergeCell ref="L12:L13"/>
    <mergeCell ref="M12:M13"/>
    <mergeCell ref="N12:N13"/>
    <mergeCell ref="O12:O13"/>
    <mergeCell ref="A12:A13"/>
    <mergeCell ref="E12:E13"/>
    <mergeCell ref="H12:H13"/>
    <mergeCell ref="I12:I13"/>
    <mergeCell ref="J12:J13"/>
    <mergeCell ref="X10:X11"/>
    <mergeCell ref="Y10:Y11"/>
    <mergeCell ref="Z10:Z11"/>
    <mergeCell ref="AA10:AA11"/>
    <mergeCell ref="AB10:AB11"/>
    <mergeCell ref="Q9:S9"/>
    <mergeCell ref="A10:A11"/>
    <mergeCell ref="E10:E11"/>
    <mergeCell ref="H10:H11"/>
    <mergeCell ref="I10:I11"/>
    <mergeCell ref="J10:J11"/>
    <mergeCell ref="K10:K11"/>
    <mergeCell ref="L10:L11"/>
    <mergeCell ref="M10:M11"/>
    <mergeCell ref="N10:N11"/>
    <mergeCell ref="O10:O11"/>
  </mergeCells>
  <phoneticPr fontId="1"/>
  <conditionalFormatting sqref="A10:A11">
    <cfRule type="expression" dxfId="235" priority="236">
      <formula>X10&lt;&gt;""</formula>
    </cfRule>
  </conditionalFormatting>
  <conditionalFormatting sqref="A12:A13">
    <cfRule type="expression" dxfId="234" priority="235">
      <formula>X12&lt;&gt;""</formula>
    </cfRule>
  </conditionalFormatting>
  <conditionalFormatting sqref="A14:A15">
    <cfRule type="expression" dxfId="233" priority="234">
      <formula>X14&lt;&gt;""</formula>
    </cfRule>
  </conditionalFormatting>
  <conditionalFormatting sqref="A16:A17">
    <cfRule type="expression" dxfId="232" priority="233">
      <formula>X16&lt;&gt;""</formula>
    </cfRule>
  </conditionalFormatting>
  <conditionalFormatting sqref="A18:A19">
    <cfRule type="expression" dxfId="231" priority="232">
      <formula>X18&lt;&gt;""</formula>
    </cfRule>
  </conditionalFormatting>
  <conditionalFormatting sqref="A20:A21">
    <cfRule type="expression" dxfId="230" priority="231">
      <formula>X20&lt;&gt;""</formula>
    </cfRule>
  </conditionalFormatting>
  <conditionalFormatting sqref="A22:A23">
    <cfRule type="expression" dxfId="229" priority="230">
      <formula>X22&lt;&gt;""</formula>
    </cfRule>
  </conditionalFormatting>
  <conditionalFormatting sqref="A24:A25">
    <cfRule type="expression" dxfId="228" priority="229">
      <formula>X24&lt;&gt;""</formula>
    </cfRule>
  </conditionalFormatting>
  <conditionalFormatting sqref="A26:A27">
    <cfRule type="expression" dxfId="227" priority="228">
      <formula>X26&lt;&gt;""</formula>
    </cfRule>
  </conditionalFormatting>
  <conditionalFormatting sqref="A28:A29">
    <cfRule type="expression" dxfId="226" priority="227">
      <formula>X28&lt;&gt;""</formula>
    </cfRule>
  </conditionalFormatting>
  <conditionalFormatting sqref="A30:A31">
    <cfRule type="expression" dxfId="225" priority="226">
      <formula>X30&lt;&gt;""</formula>
    </cfRule>
  </conditionalFormatting>
  <conditionalFormatting sqref="A32:A33">
    <cfRule type="expression" dxfId="224" priority="225">
      <formula>X32&lt;&gt;""</formula>
    </cfRule>
  </conditionalFormatting>
  <conditionalFormatting sqref="A34:A35">
    <cfRule type="expression" dxfId="223" priority="224">
      <formula>X34&lt;&gt;""</formula>
    </cfRule>
  </conditionalFormatting>
  <conditionalFormatting sqref="A36:A37">
    <cfRule type="expression" dxfId="222" priority="223">
      <formula>X36&lt;&gt;""</formula>
    </cfRule>
  </conditionalFormatting>
  <conditionalFormatting sqref="A38:A39">
    <cfRule type="expression" dxfId="221" priority="222">
      <formula>X38&lt;&gt;""</formula>
    </cfRule>
  </conditionalFormatting>
  <conditionalFormatting sqref="A40:A41">
    <cfRule type="expression" dxfId="220" priority="221">
      <formula>X40&lt;&gt;""</formula>
    </cfRule>
  </conditionalFormatting>
  <conditionalFormatting sqref="A42:A43">
    <cfRule type="expression" dxfId="219" priority="220">
      <formula>X42&lt;&gt;""</formula>
    </cfRule>
  </conditionalFormatting>
  <conditionalFormatting sqref="A44:A45">
    <cfRule type="expression" dxfId="218" priority="219">
      <formula>X44&lt;&gt;""</formula>
    </cfRule>
  </conditionalFormatting>
  <conditionalFormatting sqref="A46:A47">
    <cfRule type="expression" dxfId="217" priority="218">
      <formula>X46&lt;&gt;""</formula>
    </cfRule>
  </conditionalFormatting>
  <conditionalFormatting sqref="A48:A49">
    <cfRule type="expression" dxfId="216" priority="217">
      <formula>X48&lt;&gt;""</formula>
    </cfRule>
  </conditionalFormatting>
  <conditionalFormatting sqref="A50:A51">
    <cfRule type="expression" dxfId="215" priority="216">
      <formula>X50&lt;&gt;""</formula>
    </cfRule>
  </conditionalFormatting>
  <conditionalFormatting sqref="A52:A53">
    <cfRule type="expression" dxfId="214" priority="215">
      <formula>X52&lt;&gt;""</formula>
    </cfRule>
  </conditionalFormatting>
  <conditionalFormatting sqref="A54:A55">
    <cfRule type="expression" dxfId="213" priority="214">
      <formula>X54&lt;&gt;""</formula>
    </cfRule>
  </conditionalFormatting>
  <conditionalFormatting sqref="A56:A57">
    <cfRule type="expression" dxfId="212" priority="213">
      <formula>X56&lt;&gt;""</formula>
    </cfRule>
  </conditionalFormatting>
  <conditionalFormatting sqref="A58:A59">
    <cfRule type="expression" dxfId="211" priority="212">
      <formula>X58&lt;&gt;""</formula>
    </cfRule>
  </conditionalFormatting>
  <conditionalFormatting sqref="A60:A61">
    <cfRule type="expression" dxfId="210" priority="211">
      <formula>X60&lt;&gt;""</formula>
    </cfRule>
  </conditionalFormatting>
  <conditionalFormatting sqref="A62:A63">
    <cfRule type="expression" dxfId="209" priority="210">
      <formula>X62&lt;&gt;""</formula>
    </cfRule>
  </conditionalFormatting>
  <conditionalFormatting sqref="A64:A65">
    <cfRule type="expression" dxfId="208" priority="209">
      <formula>X64&lt;&gt;""</formula>
    </cfRule>
  </conditionalFormatting>
  <conditionalFormatting sqref="A66:A67">
    <cfRule type="expression" dxfId="207" priority="208">
      <formula>X66&lt;&gt;""</formula>
    </cfRule>
  </conditionalFormatting>
  <conditionalFormatting sqref="A68:A69">
    <cfRule type="expression" dxfId="206" priority="207">
      <formula>X68&lt;&gt;""</formula>
    </cfRule>
  </conditionalFormatting>
  <conditionalFormatting sqref="A70:A71">
    <cfRule type="expression" dxfId="205" priority="206">
      <formula>X70&lt;&gt;""</formula>
    </cfRule>
  </conditionalFormatting>
  <conditionalFormatting sqref="A72:A73">
    <cfRule type="expression" dxfId="204" priority="205">
      <formula>X72&lt;&gt;""</formula>
    </cfRule>
  </conditionalFormatting>
  <conditionalFormatting sqref="A74:A75">
    <cfRule type="expression" dxfId="203" priority="204">
      <formula>X74&lt;&gt;""</formula>
    </cfRule>
  </conditionalFormatting>
  <conditionalFormatting sqref="A76:A77">
    <cfRule type="expression" dxfId="202" priority="203">
      <formula>X76&lt;&gt;""</formula>
    </cfRule>
  </conditionalFormatting>
  <conditionalFormatting sqref="A78:A79">
    <cfRule type="expression" dxfId="201" priority="202">
      <formula>X78&lt;&gt;""</formula>
    </cfRule>
  </conditionalFormatting>
  <conditionalFormatting sqref="A80:A81">
    <cfRule type="expression" dxfId="200" priority="201">
      <formula>X80&lt;&gt;""</formula>
    </cfRule>
  </conditionalFormatting>
  <conditionalFormatting sqref="A82:A83">
    <cfRule type="expression" dxfId="199" priority="200">
      <formula>X82&lt;&gt;""</formula>
    </cfRule>
  </conditionalFormatting>
  <conditionalFormatting sqref="A84:A85">
    <cfRule type="expression" dxfId="198" priority="199">
      <formula>X84&lt;&gt;""</formula>
    </cfRule>
  </conditionalFormatting>
  <conditionalFormatting sqref="A86:A87">
    <cfRule type="expression" dxfId="197" priority="198">
      <formula>X86&lt;&gt;""</formula>
    </cfRule>
  </conditionalFormatting>
  <conditionalFormatting sqref="A88:A89">
    <cfRule type="expression" dxfId="196" priority="197">
      <formula>X88&lt;&gt;""</formula>
    </cfRule>
  </conditionalFormatting>
  <conditionalFormatting sqref="A90:A91">
    <cfRule type="expression" dxfId="195" priority="196">
      <formula>X90&lt;&gt;""</formula>
    </cfRule>
  </conditionalFormatting>
  <conditionalFormatting sqref="A92:A93">
    <cfRule type="expression" dxfId="194" priority="195">
      <formula>X92&lt;&gt;""</formula>
    </cfRule>
  </conditionalFormatting>
  <conditionalFormatting sqref="A94:A95">
    <cfRule type="expression" dxfId="193" priority="194">
      <formula>X94&lt;&gt;""</formula>
    </cfRule>
  </conditionalFormatting>
  <conditionalFormatting sqref="A96:A97">
    <cfRule type="expression" dxfId="192" priority="193">
      <formula>X96&lt;&gt;""</formula>
    </cfRule>
  </conditionalFormatting>
  <conditionalFormatting sqref="A98:A99">
    <cfRule type="expression" dxfId="191" priority="192">
      <formula>X98&lt;&gt;""</formula>
    </cfRule>
  </conditionalFormatting>
  <conditionalFormatting sqref="A100:A101">
    <cfRule type="expression" dxfId="190" priority="191">
      <formula>X100&lt;&gt;""</formula>
    </cfRule>
  </conditionalFormatting>
  <conditionalFormatting sqref="A102:A103">
    <cfRule type="expression" dxfId="189" priority="190">
      <formula>X102&lt;&gt;""</formula>
    </cfRule>
  </conditionalFormatting>
  <conditionalFormatting sqref="A104:A105">
    <cfRule type="expression" dxfId="188" priority="189">
      <formula>X104&lt;&gt;""</formula>
    </cfRule>
  </conditionalFormatting>
  <conditionalFormatting sqref="A106:A107">
    <cfRule type="expression" dxfId="187" priority="188">
      <formula>X106&lt;&gt;""</formula>
    </cfRule>
  </conditionalFormatting>
  <conditionalFormatting sqref="A108:A109">
    <cfRule type="expression" dxfId="186" priority="187">
      <formula>X108&lt;&gt;""</formula>
    </cfRule>
  </conditionalFormatting>
  <conditionalFormatting sqref="A110:A111">
    <cfRule type="expression" dxfId="185" priority="186">
      <formula>X110&lt;&gt;""</formula>
    </cfRule>
  </conditionalFormatting>
  <conditionalFormatting sqref="A112:A113">
    <cfRule type="expression" dxfId="184" priority="185">
      <formula>X112&lt;&gt;""</formula>
    </cfRule>
  </conditionalFormatting>
  <conditionalFormatting sqref="A114:A115">
    <cfRule type="expression" dxfId="183" priority="184">
      <formula>X114&lt;&gt;""</formula>
    </cfRule>
  </conditionalFormatting>
  <conditionalFormatting sqref="A116:A117">
    <cfRule type="expression" dxfId="182" priority="183">
      <formula>X116&lt;&gt;""</formula>
    </cfRule>
  </conditionalFormatting>
  <conditionalFormatting sqref="A118:A119">
    <cfRule type="expression" dxfId="181" priority="182">
      <formula>X118&lt;&gt;""</formula>
    </cfRule>
  </conditionalFormatting>
  <conditionalFormatting sqref="A120:A121">
    <cfRule type="expression" dxfId="180" priority="181">
      <formula>X120&lt;&gt;""</formula>
    </cfRule>
  </conditionalFormatting>
  <conditionalFormatting sqref="A122:A123">
    <cfRule type="expression" dxfId="179" priority="180">
      <formula>X122&lt;&gt;""</formula>
    </cfRule>
  </conditionalFormatting>
  <conditionalFormatting sqref="A124:A125">
    <cfRule type="expression" dxfId="178" priority="179">
      <formula>X124&lt;&gt;""</formula>
    </cfRule>
  </conditionalFormatting>
  <conditionalFormatting sqref="A126:A127">
    <cfRule type="expression" dxfId="177" priority="178">
      <formula>X126&lt;&gt;""</formula>
    </cfRule>
  </conditionalFormatting>
  <conditionalFormatting sqref="A128:A129">
    <cfRule type="expression" dxfId="176" priority="177">
      <formula>X128&lt;&gt;""</formula>
    </cfRule>
  </conditionalFormatting>
  <conditionalFormatting sqref="A130:A131">
    <cfRule type="expression" dxfId="175" priority="176">
      <formula>X130&lt;&gt;""</formula>
    </cfRule>
  </conditionalFormatting>
  <conditionalFormatting sqref="A132:A133">
    <cfRule type="expression" dxfId="174" priority="175">
      <formula>X132&lt;&gt;""</formula>
    </cfRule>
  </conditionalFormatting>
  <conditionalFormatting sqref="A134:A135">
    <cfRule type="expression" dxfId="173" priority="174">
      <formula>X134&lt;&gt;""</formula>
    </cfRule>
  </conditionalFormatting>
  <conditionalFormatting sqref="A136:A137">
    <cfRule type="expression" dxfId="172" priority="173">
      <formula>X136&lt;&gt;""</formula>
    </cfRule>
  </conditionalFormatting>
  <conditionalFormatting sqref="A138:A139">
    <cfRule type="expression" dxfId="171" priority="172">
      <formula>X138&lt;&gt;""</formula>
    </cfRule>
  </conditionalFormatting>
  <conditionalFormatting sqref="A140:A141">
    <cfRule type="expression" dxfId="170" priority="171">
      <formula>X140&lt;&gt;""</formula>
    </cfRule>
  </conditionalFormatting>
  <conditionalFormatting sqref="A142:A143">
    <cfRule type="expression" dxfId="169" priority="170">
      <formula>X142&lt;&gt;""</formula>
    </cfRule>
  </conditionalFormatting>
  <conditionalFormatting sqref="A144:A145">
    <cfRule type="expression" dxfId="168" priority="169">
      <formula>X144&lt;&gt;""</formula>
    </cfRule>
  </conditionalFormatting>
  <conditionalFormatting sqref="A146:A147">
    <cfRule type="expression" dxfId="167" priority="168">
      <formula>X146&lt;&gt;""</formula>
    </cfRule>
  </conditionalFormatting>
  <conditionalFormatting sqref="A148:A149">
    <cfRule type="expression" dxfId="166" priority="167">
      <formula>X148&lt;&gt;""</formula>
    </cfRule>
  </conditionalFormatting>
  <conditionalFormatting sqref="A150:A151">
    <cfRule type="expression" dxfId="165" priority="166">
      <formula>X150&lt;&gt;""</formula>
    </cfRule>
  </conditionalFormatting>
  <conditionalFormatting sqref="A152:A153">
    <cfRule type="expression" dxfId="164" priority="165">
      <formula>X152&lt;&gt;""</formula>
    </cfRule>
  </conditionalFormatting>
  <conditionalFormatting sqref="A154:A155">
    <cfRule type="expression" dxfId="163" priority="164">
      <formula>X154&lt;&gt;""</formula>
    </cfRule>
  </conditionalFormatting>
  <conditionalFormatting sqref="A156:A157">
    <cfRule type="expression" dxfId="162" priority="163">
      <formula>X156&lt;&gt;""</formula>
    </cfRule>
  </conditionalFormatting>
  <conditionalFormatting sqref="A158:A159">
    <cfRule type="expression" dxfId="161" priority="162">
      <formula>X158&lt;&gt;""</formula>
    </cfRule>
  </conditionalFormatting>
  <conditionalFormatting sqref="A160:A161">
    <cfRule type="expression" dxfId="160" priority="161">
      <formula>X160&lt;&gt;""</formula>
    </cfRule>
  </conditionalFormatting>
  <conditionalFormatting sqref="A162:A163">
    <cfRule type="expression" dxfId="159" priority="160">
      <formula>X162&lt;&gt;""</formula>
    </cfRule>
  </conditionalFormatting>
  <conditionalFormatting sqref="A164:A165">
    <cfRule type="expression" dxfId="158" priority="159">
      <formula>X164&lt;&gt;""</formula>
    </cfRule>
  </conditionalFormatting>
  <conditionalFormatting sqref="A166:A167">
    <cfRule type="expression" dxfId="157" priority="158">
      <formula>X166&lt;&gt;""</formula>
    </cfRule>
  </conditionalFormatting>
  <conditionalFormatting sqref="A168:A169">
    <cfRule type="expression" dxfId="156" priority="157">
      <formula>X168&lt;&gt;""</formula>
    </cfRule>
  </conditionalFormatting>
  <conditionalFormatting sqref="A170:A171">
    <cfRule type="expression" dxfId="155" priority="156">
      <formula>X170&lt;&gt;""</formula>
    </cfRule>
  </conditionalFormatting>
  <conditionalFormatting sqref="A172:A173">
    <cfRule type="expression" dxfId="154" priority="155">
      <formula>X172&lt;&gt;""</formula>
    </cfRule>
  </conditionalFormatting>
  <conditionalFormatting sqref="A174:A175">
    <cfRule type="expression" dxfId="153" priority="154">
      <formula>X174&lt;&gt;""</formula>
    </cfRule>
  </conditionalFormatting>
  <conditionalFormatting sqref="A176:A177">
    <cfRule type="expression" dxfId="152" priority="153">
      <formula>X176&lt;&gt;""</formula>
    </cfRule>
  </conditionalFormatting>
  <conditionalFormatting sqref="A178:A179">
    <cfRule type="expression" dxfId="151" priority="152">
      <formula>X178&lt;&gt;""</formula>
    </cfRule>
  </conditionalFormatting>
  <conditionalFormatting sqref="A180:A181">
    <cfRule type="expression" dxfId="150" priority="151">
      <formula>X180&lt;&gt;""</formula>
    </cfRule>
  </conditionalFormatting>
  <conditionalFormatting sqref="A182:A183">
    <cfRule type="expression" dxfId="149" priority="150">
      <formula>X182&lt;&gt;""</formula>
    </cfRule>
  </conditionalFormatting>
  <conditionalFormatting sqref="A184:A185">
    <cfRule type="expression" dxfId="148" priority="149">
      <formula>X184&lt;&gt;""</formula>
    </cfRule>
  </conditionalFormatting>
  <conditionalFormatting sqref="A186:A187">
    <cfRule type="expression" dxfId="147" priority="148">
      <formula>X186&lt;&gt;""</formula>
    </cfRule>
  </conditionalFormatting>
  <conditionalFormatting sqref="A188:A189">
    <cfRule type="expression" dxfId="146" priority="147">
      <formula>X188&lt;&gt;""</formula>
    </cfRule>
  </conditionalFormatting>
  <conditionalFormatting sqref="A190:A191">
    <cfRule type="expression" dxfId="145" priority="146">
      <formula>X190&lt;&gt;""</formula>
    </cfRule>
  </conditionalFormatting>
  <conditionalFormatting sqref="A192:A193">
    <cfRule type="expression" dxfId="144" priority="145">
      <formula>X192&lt;&gt;""</formula>
    </cfRule>
  </conditionalFormatting>
  <conditionalFormatting sqref="A194:A195">
    <cfRule type="expression" dxfId="143" priority="144">
      <formula>X194&lt;&gt;""</formula>
    </cfRule>
  </conditionalFormatting>
  <conditionalFormatting sqref="A196:A197">
    <cfRule type="expression" dxfId="142" priority="143">
      <formula>X196&lt;&gt;""</formula>
    </cfRule>
  </conditionalFormatting>
  <conditionalFormatting sqref="A198:A199">
    <cfRule type="expression" dxfId="141" priority="142">
      <formula>X198&lt;&gt;""</formula>
    </cfRule>
  </conditionalFormatting>
  <conditionalFormatting sqref="A200:A201">
    <cfRule type="expression" dxfId="140" priority="141">
      <formula>X200&lt;&gt;""</formula>
    </cfRule>
  </conditionalFormatting>
  <conditionalFormatting sqref="A202:A203">
    <cfRule type="expression" dxfId="139" priority="140">
      <formula>X202&lt;&gt;""</formula>
    </cfRule>
  </conditionalFormatting>
  <conditionalFormatting sqref="A204:A205">
    <cfRule type="expression" dxfId="138" priority="139">
      <formula>X204&lt;&gt;""</formula>
    </cfRule>
  </conditionalFormatting>
  <conditionalFormatting sqref="A206:A207">
    <cfRule type="expression" dxfId="137" priority="138">
      <formula>X206&lt;&gt;""</formula>
    </cfRule>
  </conditionalFormatting>
  <conditionalFormatting sqref="A208:A209">
    <cfRule type="expression" dxfId="136" priority="137">
      <formula>X208&lt;&gt;""</formula>
    </cfRule>
  </conditionalFormatting>
  <conditionalFormatting sqref="A210:A211">
    <cfRule type="expression" dxfId="135" priority="136">
      <formula>X210&lt;&gt;""</formula>
    </cfRule>
  </conditionalFormatting>
  <conditionalFormatting sqref="A212:A213">
    <cfRule type="expression" dxfId="134" priority="135">
      <formula>X212&lt;&gt;""</formula>
    </cfRule>
  </conditionalFormatting>
  <conditionalFormatting sqref="A214:A215">
    <cfRule type="expression" dxfId="133" priority="134">
      <formula>X214&lt;&gt;""</formula>
    </cfRule>
  </conditionalFormatting>
  <conditionalFormatting sqref="A216:A217">
    <cfRule type="expression" dxfId="132" priority="133">
      <formula>X216&lt;&gt;""</formula>
    </cfRule>
  </conditionalFormatting>
  <conditionalFormatting sqref="A218:A219">
    <cfRule type="expression" dxfId="131" priority="132">
      <formula>X218&lt;&gt;""</formula>
    </cfRule>
  </conditionalFormatting>
  <conditionalFormatting sqref="A220:A221">
    <cfRule type="expression" dxfId="130" priority="131">
      <formula>X220&lt;&gt;""</formula>
    </cfRule>
  </conditionalFormatting>
  <conditionalFormatting sqref="A222:A223">
    <cfRule type="expression" dxfId="129" priority="130">
      <formula>X222&lt;&gt;""</formula>
    </cfRule>
  </conditionalFormatting>
  <conditionalFormatting sqref="A224:A225">
    <cfRule type="expression" dxfId="128" priority="129">
      <formula>X224&lt;&gt;""</formula>
    </cfRule>
  </conditionalFormatting>
  <conditionalFormatting sqref="A226:A227">
    <cfRule type="expression" dxfId="127" priority="128">
      <formula>X226&lt;&gt;""</formula>
    </cfRule>
  </conditionalFormatting>
  <conditionalFormatting sqref="A228:A229">
    <cfRule type="expression" dxfId="126" priority="127">
      <formula>X228&lt;&gt;""</formula>
    </cfRule>
  </conditionalFormatting>
  <conditionalFormatting sqref="A230:A231">
    <cfRule type="expression" dxfId="125" priority="126">
      <formula>X230&lt;&gt;""</formula>
    </cfRule>
  </conditionalFormatting>
  <conditionalFormatting sqref="A232:A233">
    <cfRule type="expression" dxfId="124" priority="125">
      <formula>X232&lt;&gt;""</formula>
    </cfRule>
  </conditionalFormatting>
  <conditionalFormatting sqref="A234:A235">
    <cfRule type="expression" dxfId="123" priority="124">
      <formula>X234&lt;&gt;""</formula>
    </cfRule>
  </conditionalFormatting>
  <conditionalFormatting sqref="A236:A237">
    <cfRule type="expression" dxfId="122" priority="123">
      <formula>X236&lt;&gt;""</formula>
    </cfRule>
  </conditionalFormatting>
  <conditionalFormatting sqref="A238:A239">
    <cfRule type="expression" dxfId="121" priority="122">
      <formula>X238&lt;&gt;""</formula>
    </cfRule>
  </conditionalFormatting>
  <conditionalFormatting sqref="A240:A241">
    <cfRule type="expression" dxfId="120" priority="121">
      <formula>X240&lt;&gt;""</formula>
    </cfRule>
  </conditionalFormatting>
  <conditionalFormatting sqref="A242:A243">
    <cfRule type="expression" dxfId="119" priority="120">
      <formula>X242&lt;&gt;""</formula>
    </cfRule>
  </conditionalFormatting>
  <conditionalFormatting sqref="A244:A245">
    <cfRule type="expression" dxfId="118" priority="119">
      <formula>X244&lt;&gt;""</formula>
    </cfRule>
  </conditionalFormatting>
  <conditionalFormatting sqref="A246:A247">
    <cfRule type="expression" dxfId="117" priority="118">
      <formula>X246&lt;&gt;""</formula>
    </cfRule>
  </conditionalFormatting>
  <conditionalFormatting sqref="A248:A249">
    <cfRule type="expression" dxfId="116" priority="117">
      <formula>X248&lt;&gt;""</formula>
    </cfRule>
  </conditionalFormatting>
  <conditionalFormatting sqref="A250:A251">
    <cfRule type="expression" dxfId="115" priority="116">
      <formula>X250&lt;&gt;""</formula>
    </cfRule>
  </conditionalFormatting>
  <conditionalFormatting sqref="A252:A253">
    <cfRule type="expression" dxfId="114" priority="115">
      <formula>X252&lt;&gt;""</formula>
    </cfRule>
  </conditionalFormatting>
  <conditionalFormatting sqref="A254:A255">
    <cfRule type="expression" dxfId="113" priority="114">
      <formula>X254&lt;&gt;""</formula>
    </cfRule>
  </conditionalFormatting>
  <conditionalFormatting sqref="A256:A257">
    <cfRule type="expression" dxfId="112" priority="113">
      <formula>X256&lt;&gt;""</formula>
    </cfRule>
  </conditionalFormatting>
  <conditionalFormatting sqref="A258:A259">
    <cfRule type="expression" dxfId="111" priority="112">
      <formula>X258&lt;&gt;""</formula>
    </cfRule>
  </conditionalFormatting>
  <conditionalFormatting sqref="A260:A261">
    <cfRule type="expression" dxfId="110" priority="111">
      <formula>X260&lt;&gt;""</formula>
    </cfRule>
  </conditionalFormatting>
  <conditionalFormatting sqref="A262:A263">
    <cfRule type="expression" dxfId="109" priority="110">
      <formula>X262&lt;&gt;""</formula>
    </cfRule>
  </conditionalFormatting>
  <conditionalFormatting sqref="A264:A265">
    <cfRule type="expression" dxfId="108" priority="109">
      <formula>X264&lt;&gt;""</formula>
    </cfRule>
  </conditionalFormatting>
  <conditionalFormatting sqref="A266:A267">
    <cfRule type="expression" dxfId="107" priority="108">
      <formula>X266&lt;&gt;""</formula>
    </cfRule>
  </conditionalFormatting>
  <conditionalFormatting sqref="A268:A269">
    <cfRule type="expression" dxfId="106" priority="107">
      <formula>X268&lt;&gt;""</formula>
    </cfRule>
  </conditionalFormatting>
  <conditionalFormatting sqref="A270:A271">
    <cfRule type="expression" dxfId="105" priority="106">
      <formula>X270&lt;&gt;""</formula>
    </cfRule>
  </conditionalFormatting>
  <conditionalFormatting sqref="A272:A273">
    <cfRule type="expression" dxfId="104" priority="105">
      <formula>X272&lt;&gt;""</formula>
    </cfRule>
  </conditionalFormatting>
  <conditionalFormatting sqref="A274:A275">
    <cfRule type="expression" dxfId="103" priority="104">
      <formula>X274&lt;&gt;""</formula>
    </cfRule>
  </conditionalFormatting>
  <conditionalFormatting sqref="A276:A277">
    <cfRule type="expression" dxfId="102" priority="103">
      <formula>X276&lt;&gt;""</formula>
    </cfRule>
  </conditionalFormatting>
  <conditionalFormatting sqref="A278:A279">
    <cfRule type="expression" dxfId="101" priority="102">
      <formula>X278&lt;&gt;""</formula>
    </cfRule>
  </conditionalFormatting>
  <conditionalFormatting sqref="A280:A281">
    <cfRule type="expression" dxfId="100" priority="101">
      <formula>X280&lt;&gt;""</formula>
    </cfRule>
  </conditionalFormatting>
  <conditionalFormatting sqref="A282:A283">
    <cfRule type="expression" dxfId="99" priority="100">
      <formula>X282&lt;&gt;""</formula>
    </cfRule>
  </conditionalFormatting>
  <conditionalFormatting sqref="A284:A285">
    <cfRule type="expression" dxfId="98" priority="99">
      <formula>X284&lt;&gt;""</formula>
    </cfRule>
  </conditionalFormatting>
  <conditionalFormatting sqref="A286:A287">
    <cfRule type="expression" dxfId="97" priority="98">
      <formula>X286&lt;&gt;""</formula>
    </cfRule>
  </conditionalFormatting>
  <conditionalFormatting sqref="A288:A289">
    <cfRule type="expression" dxfId="96" priority="97">
      <formula>X288&lt;&gt;""</formula>
    </cfRule>
  </conditionalFormatting>
  <conditionalFormatting sqref="A290:A291">
    <cfRule type="expression" dxfId="95" priority="96">
      <formula>X290&lt;&gt;""</formula>
    </cfRule>
  </conditionalFormatting>
  <conditionalFormatting sqref="A292:A293">
    <cfRule type="expression" dxfId="94" priority="95">
      <formula>X292&lt;&gt;""</formula>
    </cfRule>
  </conditionalFormatting>
  <conditionalFormatting sqref="A294:A295">
    <cfRule type="expression" dxfId="93" priority="94">
      <formula>X294&lt;&gt;""</formula>
    </cfRule>
  </conditionalFormatting>
  <conditionalFormatting sqref="A296:A297">
    <cfRule type="expression" dxfId="92" priority="93">
      <formula>X296&lt;&gt;""</formula>
    </cfRule>
  </conditionalFormatting>
  <conditionalFormatting sqref="A298:A299">
    <cfRule type="expression" dxfId="91" priority="92">
      <formula>X298&lt;&gt;""</formula>
    </cfRule>
  </conditionalFormatting>
  <conditionalFormatting sqref="A300:A301">
    <cfRule type="expression" dxfId="90" priority="91">
      <formula>X300&lt;&gt;""</formula>
    </cfRule>
  </conditionalFormatting>
  <conditionalFormatting sqref="A302:A303">
    <cfRule type="expression" dxfId="89" priority="90">
      <formula>X302&lt;&gt;""</formula>
    </cfRule>
  </conditionalFormatting>
  <conditionalFormatting sqref="A304:A305">
    <cfRule type="expression" dxfId="88" priority="89">
      <formula>X304&lt;&gt;""</formula>
    </cfRule>
  </conditionalFormatting>
  <conditionalFormatting sqref="A306:A307">
    <cfRule type="expression" dxfId="87" priority="88">
      <formula>X306&lt;&gt;""</formula>
    </cfRule>
  </conditionalFormatting>
  <conditionalFormatting sqref="A308:A309">
    <cfRule type="expression" dxfId="86" priority="87">
      <formula>X308&lt;&gt;""</formula>
    </cfRule>
  </conditionalFormatting>
  <conditionalFormatting sqref="A310:A311">
    <cfRule type="expression" dxfId="85" priority="86">
      <formula>X310&lt;&gt;""</formula>
    </cfRule>
  </conditionalFormatting>
  <conditionalFormatting sqref="A312:A313">
    <cfRule type="expression" dxfId="84" priority="85">
      <formula>X312&lt;&gt;""</formula>
    </cfRule>
  </conditionalFormatting>
  <conditionalFormatting sqref="A314:A315">
    <cfRule type="expression" dxfId="83" priority="84">
      <formula>X314&lt;&gt;""</formula>
    </cfRule>
  </conditionalFormatting>
  <conditionalFormatting sqref="A316:A317">
    <cfRule type="expression" dxfId="82" priority="83">
      <formula>X316&lt;&gt;""</formula>
    </cfRule>
  </conditionalFormatting>
  <conditionalFormatting sqref="A318:A319">
    <cfRule type="expression" dxfId="81" priority="82">
      <formula>X318&lt;&gt;""</formula>
    </cfRule>
  </conditionalFormatting>
  <conditionalFormatting sqref="A320:A321">
    <cfRule type="expression" dxfId="80" priority="81">
      <formula>X320&lt;&gt;""</formula>
    </cfRule>
  </conditionalFormatting>
  <conditionalFormatting sqref="A322:A323">
    <cfRule type="expression" dxfId="79" priority="80">
      <formula>X322&lt;&gt;""</formula>
    </cfRule>
  </conditionalFormatting>
  <conditionalFormatting sqref="A324:A325">
    <cfRule type="expression" dxfId="78" priority="79">
      <formula>X324&lt;&gt;""</formula>
    </cfRule>
  </conditionalFormatting>
  <conditionalFormatting sqref="A326:A327">
    <cfRule type="expression" dxfId="77" priority="78">
      <formula>X326&lt;&gt;""</formula>
    </cfRule>
  </conditionalFormatting>
  <conditionalFormatting sqref="A328:A329">
    <cfRule type="expression" dxfId="76" priority="77">
      <formula>X328&lt;&gt;""</formula>
    </cfRule>
  </conditionalFormatting>
  <conditionalFormatting sqref="A330:A331">
    <cfRule type="expression" dxfId="75" priority="76">
      <formula>X330&lt;&gt;""</formula>
    </cfRule>
  </conditionalFormatting>
  <conditionalFormatting sqref="A332:A333">
    <cfRule type="expression" dxfId="74" priority="75">
      <formula>X332&lt;&gt;""</formula>
    </cfRule>
  </conditionalFormatting>
  <conditionalFormatting sqref="A334:A335">
    <cfRule type="expression" dxfId="73" priority="74">
      <formula>X334&lt;&gt;""</formula>
    </cfRule>
  </conditionalFormatting>
  <conditionalFormatting sqref="A336:A337">
    <cfRule type="expression" dxfId="72" priority="73">
      <formula>X336&lt;&gt;""</formula>
    </cfRule>
  </conditionalFormatting>
  <conditionalFormatting sqref="A338:A339">
    <cfRule type="expression" dxfId="71" priority="72">
      <formula>X338&lt;&gt;""</formula>
    </cfRule>
  </conditionalFormatting>
  <conditionalFormatting sqref="A340:A341">
    <cfRule type="expression" dxfId="70" priority="71">
      <formula>X340&lt;&gt;""</formula>
    </cfRule>
  </conditionalFormatting>
  <conditionalFormatting sqref="A342:A343">
    <cfRule type="expression" dxfId="69" priority="70">
      <formula>X342&lt;&gt;""</formula>
    </cfRule>
  </conditionalFormatting>
  <conditionalFormatting sqref="A344:A345">
    <cfRule type="expression" dxfId="68" priority="69">
      <formula>X344&lt;&gt;""</formula>
    </cfRule>
  </conditionalFormatting>
  <conditionalFormatting sqref="A346:A347">
    <cfRule type="expression" dxfId="67" priority="68">
      <formula>X346&lt;&gt;""</formula>
    </cfRule>
  </conditionalFormatting>
  <conditionalFormatting sqref="A348:A349">
    <cfRule type="expression" dxfId="66" priority="67">
      <formula>X348&lt;&gt;""</formula>
    </cfRule>
  </conditionalFormatting>
  <conditionalFormatting sqref="A350:A351">
    <cfRule type="expression" dxfId="65" priority="66">
      <formula>X350&lt;&gt;""</formula>
    </cfRule>
  </conditionalFormatting>
  <conditionalFormatting sqref="A352:A353">
    <cfRule type="expression" dxfId="64" priority="65">
      <formula>X352&lt;&gt;""</formula>
    </cfRule>
  </conditionalFormatting>
  <conditionalFormatting sqref="A354:A355">
    <cfRule type="expression" dxfId="63" priority="64">
      <formula>X354&lt;&gt;""</formula>
    </cfRule>
  </conditionalFormatting>
  <conditionalFormatting sqref="A356:A357">
    <cfRule type="expression" dxfId="62" priority="63">
      <formula>X356&lt;&gt;""</formula>
    </cfRule>
  </conditionalFormatting>
  <conditionalFormatting sqref="A358:A359">
    <cfRule type="expression" dxfId="61" priority="62">
      <formula>X358&lt;&gt;""</formula>
    </cfRule>
  </conditionalFormatting>
  <conditionalFormatting sqref="A360:A361">
    <cfRule type="expression" dxfId="60" priority="61">
      <formula>X360&lt;&gt;""</formula>
    </cfRule>
  </conditionalFormatting>
  <conditionalFormatting sqref="A362:A363">
    <cfRule type="expression" dxfId="59" priority="60">
      <formula>X362&lt;&gt;""</formula>
    </cfRule>
  </conditionalFormatting>
  <conditionalFormatting sqref="A364:A365">
    <cfRule type="expression" dxfId="58" priority="59">
      <formula>X364&lt;&gt;""</formula>
    </cfRule>
  </conditionalFormatting>
  <conditionalFormatting sqref="A366:A367">
    <cfRule type="expression" dxfId="57" priority="58">
      <formula>X366&lt;&gt;""</formula>
    </cfRule>
  </conditionalFormatting>
  <conditionalFormatting sqref="A368:A369">
    <cfRule type="expression" dxfId="56" priority="57">
      <formula>X368&lt;&gt;""</formula>
    </cfRule>
  </conditionalFormatting>
  <conditionalFormatting sqref="A370:A371">
    <cfRule type="expression" dxfId="55" priority="56">
      <formula>X370&lt;&gt;""</formula>
    </cfRule>
  </conditionalFormatting>
  <conditionalFormatting sqref="A372:A373">
    <cfRule type="expression" dxfId="54" priority="55">
      <formula>X372&lt;&gt;""</formula>
    </cfRule>
  </conditionalFormatting>
  <conditionalFormatting sqref="A374:A375">
    <cfRule type="expression" dxfId="53" priority="54">
      <formula>X374&lt;&gt;""</formula>
    </cfRule>
  </conditionalFormatting>
  <conditionalFormatting sqref="A376:A377">
    <cfRule type="expression" dxfId="52" priority="53">
      <formula>X376&lt;&gt;""</formula>
    </cfRule>
  </conditionalFormatting>
  <conditionalFormatting sqref="A378:A379">
    <cfRule type="expression" dxfId="51" priority="52">
      <formula>X378&lt;&gt;""</formula>
    </cfRule>
  </conditionalFormatting>
  <conditionalFormatting sqref="A380:A381">
    <cfRule type="expression" dxfId="50" priority="51">
      <formula>X380&lt;&gt;""</formula>
    </cfRule>
  </conditionalFormatting>
  <conditionalFormatting sqref="A382:A383">
    <cfRule type="expression" dxfId="49" priority="50">
      <formula>X382&lt;&gt;""</formula>
    </cfRule>
  </conditionalFormatting>
  <conditionalFormatting sqref="A384:A385">
    <cfRule type="expression" dxfId="48" priority="49">
      <formula>X384&lt;&gt;""</formula>
    </cfRule>
  </conditionalFormatting>
  <conditionalFormatting sqref="A386:A387">
    <cfRule type="expression" dxfId="47" priority="48">
      <formula>X386&lt;&gt;""</formula>
    </cfRule>
  </conditionalFormatting>
  <conditionalFormatting sqref="A388:A389">
    <cfRule type="expression" dxfId="46" priority="47">
      <formula>X388&lt;&gt;""</formula>
    </cfRule>
  </conditionalFormatting>
  <conditionalFormatting sqref="A390:A391">
    <cfRule type="expression" dxfId="45" priority="46">
      <formula>X390&lt;&gt;""</formula>
    </cfRule>
  </conditionalFormatting>
  <conditionalFormatting sqref="A392:A393">
    <cfRule type="expression" dxfId="44" priority="45">
      <formula>X392&lt;&gt;""</formula>
    </cfRule>
  </conditionalFormatting>
  <conditionalFormatting sqref="A394:A395">
    <cfRule type="expression" dxfId="43" priority="44">
      <formula>X394&lt;&gt;""</formula>
    </cfRule>
  </conditionalFormatting>
  <conditionalFormatting sqref="A396:A397">
    <cfRule type="expression" dxfId="42" priority="43">
      <formula>X396&lt;&gt;""</formula>
    </cfRule>
  </conditionalFormatting>
  <conditionalFormatting sqref="A398:A399">
    <cfRule type="expression" dxfId="41" priority="42">
      <formula>X398&lt;&gt;""</formula>
    </cfRule>
  </conditionalFormatting>
  <conditionalFormatting sqref="A400:A401">
    <cfRule type="expression" dxfId="40" priority="41">
      <formula>X400&lt;&gt;""</formula>
    </cfRule>
  </conditionalFormatting>
  <conditionalFormatting sqref="A402:A403">
    <cfRule type="expression" dxfId="39" priority="40">
      <formula>X402&lt;&gt;""</formula>
    </cfRule>
  </conditionalFormatting>
  <conditionalFormatting sqref="A404:A405">
    <cfRule type="expression" dxfId="38" priority="39">
      <formula>X404&lt;&gt;""</formula>
    </cfRule>
  </conditionalFormatting>
  <conditionalFormatting sqref="A406:A407">
    <cfRule type="expression" dxfId="37" priority="38">
      <formula>X406&lt;&gt;""</formula>
    </cfRule>
  </conditionalFormatting>
  <conditionalFormatting sqref="A408:A409">
    <cfRule type="expression" dxfId="36" priority="37">
      <formula>X408&lt;&gt;""</formula>
    </cfRule>
  </conditionalFormatting>
  <conditionalFormatting sqref="A410:A411">
    <cfRule type="expression" dxfId="35" priority="36">
      <formula>X410&lt;&gt;""</formula>
    </cfRule>
  </conditionalFormatting>
  <conditionalFormatting sqref="A412:A413">
    <cfRule type="expression" dxfId="34" priority="35">
      <formula>X412&lt;&gt;""</formula>
    </cfRule>
  </conditionalFormatting>
  <conditionalFormatting sqref="A414:A415">
    <cfRule type="expression" dxfId="33" priority="34">
      <formula>X414&lt;&gt;""</formula>
    </cfRule>
  </conditionalFormatting>
  <conditionalFormatting sqref="A416:A417">
    <cfRule type="expression" dxfId="32" priority="33">
      <formula>X416&lt;&gt;""</formula>
    </cfRule>
  </conditionalFormatting>
  <conditionalFormatting sqref="A418:A419">
    <cfRule type="expression" dxfId="31" priority="32">
      <formula>X418&lt;&gt;""</formula>
    </cfRule>
  </conditionalFormatting>
  <conditionalFormatting sqref="A420:A421">
    <cfRule type="expression" dxfId="30" priority="31">
      <formula>X420&lt;&gt;""</formula>
    </cfRule>
  </conditionalFormatting>
  <conditionalFormatting sqref="A422:A423">
    <cfRule type="expression" dxfId="29" priority="30">
      <formula>X422&lt;&gt;""</formula>
    </cfRule>
  </conditionalFormatting>
  <conditionalFormatting sqref="A424:A425">
    <cfRule type="expression" dxfId="28" priority="29">
      <formula>X424&lt;&gt;""</formula>
    </cfRule>
  </conditionalFormatting>
  <conditionalFormatting sqref="A426:A427">
    <cfRule type="expression" dxfId="27" priority="28">
      <formula>X426&lt;&gt;""</formula>
    </cfRule>
  </conditionalFormatting>
  <conditionalFormatting sqref="A428:A429">
    <cfRule type="expression" dxfId="26" priority="27">
      <formula>X428&lt;&gt;""</formula>
    </cfRule>
  </conditionalFormatting>
  <conditionalFormatting sqref="A430:A431">
    <cfRule type="expression" dxfId="25" priority="26">
      <formula>X430&lt;&gt;""</formula>
    </cfRule>
  </conditionalFormatting>
  <conditionalFormatting sqref="A432:A433">
    <cfRule type="expression" dxfId="24" priority="25">
      <formula>X432&lt;&gt;""</formula>
    </cfRule>
  </conditionalFormatting>
  <conditionalFormatting sqref="A434:A435">
    <cfRule type="expression" dxfId="23" priority="24">
      <formula>X434&lt;&gt;""</formula>
    </cfRule>
  </conditionalFormatting>
  <conditionalFormatting sqref="A436:A437">
    <cfRule type="expression" dxfId="22" priority="23">
      <formula>X436&lt;&gt;""</formula>
    </cfRule>
  </conditionalFormatting>
  <conditionalFormatting sqref="A438:A439">
    <cfRule type="expression" dxfId="21" priority="22">
      <formula>X438&lt;&gt;""</formula>
    </cfRule>
  </conditionalFormatting>
  <conditionalFormatting sqref="A440:A441">
    <cfRule type="expression" dxfId="20" priority="21">
      <formula>X440&lt;&gt;""</formula>
    </cfRule>
  </conditionalFormatting>
  <conditionalFormatting sqref="A442:A443">
    <cfRule type="expression" dxfId="19" priority="20">
      <formula>X442&lt;&gt;""</formula>
    </cfRule>
  </conditionalFormatting>
  <conditionalFormatting sqref="A444:A445">
    <cfRule type="expression" dxfId="18" priority="19">
      <formula>X444&lt;&gt;""</formula>
    </cfRule>
  </conditionalFormatting>
  <conditionalFormatting sqref="A446:A447">
    <cfRule type="expression" dxfId="17" priority="18">
      <formula>X446&lt;&gt;""</formula>
    </cfRule>
  </conditionalFormatting>
  <conditionalFormatting sqref="A448:A449">
    <cfRule type="expression" dxfId="16" priority="17">
      <formula>X448&lt;&gt;""</formula>
    </cfRule>
  </conditionalFormatting>
  <conditionalFormatting sqref="A450:A451">
    <cfRule type="expression" dxfId="15" priority="16">
      <formula>X450&lt;&gt;""</formula>
    </cfRule>
  </conditionalFormatting>
  <conditionalFormatting sqref="A452:A453">
    <cfRule type="expression" dxfId="14" priority="15">
      <formula>X452&lt;&gt;""</formula>
    </cfRule>
  </conditionalFormatting>
  <conditionalFormatting sqref="A454:A455">
    <cfRule type="expression" dxfId="13" priority="14">
      <formula>X454&lt;&gt;""</formula>
    </cfRule>
  </conditionalFormatting>
  <conditionalFormatting sqref="A456:A457">
    <cfRule type="expression" dxfId="12" priority="13">
      <formula>X456&lt;&gt;""</formula>
    </cfRule>
  </conditionalFormatting>
  <conditionalFormatting sqref="A458:A459">
    <cfRule type="expression" dxfId="11" priority="12">
      <formula>X458&lt;&gt;""</formula>
    </cfRule>
  </conditionalFormatting>
  <conditionalFormatting sqref="A460:A461">
    <cfRule type="expression" dxfId="10" priority="11">
      <formula>X460&lt;&gt;""</formula>
    </cfRule>
  </conditionalFormatting>
  <conditionalFormatting sqref="A462:A463">
    <cfRule type="expression" dxfId="9" priority="10">
      <formula>X462&lt;&gt;""</formula>
    </cfRule>
  </conditionalFormatting>
  <conditionalFormatting sqref="A464:A465">
    <cfRule type="expression" dxfId="8" priority="9">
      <formula>X464&lt;&gt;""</formula>
    </cfRule>
  </conditionalFormatting>
  <conditionalFormatting sqref="A466:A467">
    <cfRule type="expression" dxfId="7" priority="8">
      <formula>X466&lt;&gt;""</formula>
    </cfRule>
  </conditionalFormatting>
  <conditionalFormatting sqref="A468:A469">
    <cfRule type="expression" dxfId="6" priority="7">
      <formula>X468&lt;&gt;""</formula>
    </cfRule>
  </conditionalFormatting>
  <conditionalFormatting sqref="A470:A471">
    <cfRule type="expression" dxfId="5" priority="6">
      <formula>X470&lt;&gt;""</formula>
    </cfRule>
  </conditionalFormatting>
  <conditionalFormatting sqref="A472:A473">
    <cfRule type="expression" dxfId="4" priority="5">
      <formula>X472&lt;&gt;""</formula>
    </cfRule>
  </conditionalFormatting>
  <conditionalFormatting sqref="A474:A475">
    <cfRule type="expression" dxfId="3" priority="4">
      <formula>X474&lt;&gt;""</formula>
    </cfRule>
  </conditionalFormatting>
  <conditionalFormatting sqref="A476:A477">
    <cfRule type="expression" dxfId="2" priority="3">
      <formula>X476&lt;&gt;""</formula>
    </cfRule>
  </conditionalFormatting>
  <conditionalFormatting sqref="A478:A479">
    <cfRule type="expression" dxfId="1" priority="2">
      <formula>X478&lt;&gt;""</formula>
    </cfRule>
  </conditionalFormatting>
  <conditionalFormatting sqref="A480:A481">
    <cfRule type="expression" dxfId="0" priority="1">
      <formula>X480&lt;&gt;""</formula>
    </cfRule>
  </conditionalFormatting>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5213" r:id="rId4"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5"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6"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7"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84291-95EB-45B0-9AF1-F19F371B000A}">
  <sheetPr codeName="不明"/>
  <dimension ref="A1:AC30"/>
  <sheetViews>
    <sheetView workbookViewId="0">
      <pane xSplit="7" ySplit="9" topLeftCell="O10" activePane="bottomRight" state="frozen"/>
      <selection pane="topRight" activeCell="J1" sqref="J1"/>
      <selection pane="bottomLeft" activeCell="A10" sqref="A10"/>
      <selection pane="bottomRight" activeCell="F13" sqref="F13"/>
    </sheetView>
  </sheetViews>
  <sheetFormatPr defaultRowHeight="18"/>
  <cols>
    <col min="2" max="2" width="16.296875" bestFit="1" customWidth="1"/>
    <col min="3" max="3" width="12.59765625" bestFit="1" customWidth="1"/>
    <col min="5" max="5" width="4.09765625" customWidth="1"/>
    <col min="6" max="6" width="28.3984375" style="10" customWidth="1"/>
    <col min="8" max="10" width="6.796875" bestFit="1" customWidth="1"/>
    <col min="11" max="11" width="5" bestFit="1" customWidth="1"/>
    <col min="12" max="12" width="9.296875" bestFit="1" customWidth="1"/>
    <col min="13" max="13" width="6.796875" bestFit="1" customWidth="1"/>
    <col min="14" max="14" width="5" bestFit="1" customWidth="1"/>
    <col min="15" max="15" width="6.796875" bestFit="1" customWidth="1"/>
    <col min="16" max="16" width="15.3984375" bestFit="1" customWidth="1"/>
    <col min="20" max="20" width="5" bestFit="1" customWidth="1"/>
    <col min="21" max="21" width="8.59765625" bestFit="1" customWidth="1"/>
    <col min="22" max="23" width="13.5" bestFit="1" customWidth="1"/>
    <col min="24" max="25" width="6.796875" bestFit="1" customWidth="1"/>
    <col min="26" max="26" width="9.296875" bestFit="1" customWidth="1"/>
    <col min="27" max="27" width="5" bestFit="1" customWidth="1"/>
    <col min="28" max="28" width="6.796875" bestFit="1"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2"/>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c r="F8"/>
    </row>
    <row r="9" spans="1:29" ht="18.600000000000001" thickBot="1">
      <c r="A9" s="4" t="s">
        <v>1</v>
      </c>
      <c r="B9" s="5" t="s">
        <v>2</v>
      </c>
      <c r="C9" s="6" t="s">
        <v>3</v>
      </c>
      <c r="D9" s="5" t="s">
        <v>4</v>
      </c>
      <c r="E9" s="4"/>
      <c r="F9" s="41" t="s">
        <v>5</v>
      </c>
      <c r="G9" s="4" t="s">
        <v>6</v>
      </c>
      <c r="H9" s="5" t="s">
        <v>7</v>
      </c>
      <c r="I9" s="4" t="s">
        <v>8</v>
      </c>
      <c r="J9" s="4" t="s">
        <v>9</v>
      </c>
      <c r="K9" s="4" t="s">
        <v>10</v>
      </c>
      <c r="L9" s="4" t="s">
        <v>11</v>
      </c>
      <c r="M9" s="4" t="s">
        <v>12</v>
      </c>
      <c r="N9" s="4" t="s">
        <v>13</v>
      </c>
      <c r="O9" s="7" t="s">
        <v>21</v>
      </c>
      <c r="P9" s="4" t="s">
        <v>14</v>
      </c>
      <c r="Q9" s="244" t="s">
        <v>15</v>
      </c>
      <c r="R9" s="245"/>
      <c r="S9" s="245"/>
      <c r="T9" s="4" t="s">
        <v>16</v>
      </c>
      <c r="U9" s="8" t="s">
        <v>17</v>
      </c>
      <c r="V9" s="42" t="s">
        <v>18</v>
      </c>
      <c r="W9" s="4" t="s">
        <v>3</v>
      </c>
      <c r="X9" s="4" t="s">
        <v>8</v>
      </c>
      <c r="Y9" s="4" t="s">
        <v>9</v>
      </c>
      <c r="Z9" s="4" t="s">
        <v>11</v>
      </c>
      <c r="AA9" s="4" t="s">
        <v>13</v>
      </c>
      <c r="AB9" s="5" t="s">
        <v>19</v>
      </c>
      <c r="AC9" s="5" t="s">
        <v>0</v>
      </c>
    </row>
    <row r="10" spans="1:29" ht="18.600000000000001" thickTop="1">
      <c r="A10" s="247" t="s">
        <v>4877</v>
      </c>
      <c r="B10" s="26">
        <v>45873</v>
      </c>
      <c r="C10" s="36"/>
      <c r="D10" s="28" t="s">
        <v>4878</v>
      </c>
      <c r="E10" s="199"/>
      <c r="F10" s="54" t="s">
        <v>4879</v>
      </c>
      <c r="G10" s="37" t="s">
        <v>4880</v>
      </c>
      <c r="H10" s="201">
        <v>3.5</v>
      </c>
      <c r="I10" s="193">
        <f>297000/1.1</f>
        <v>270000</v>
      </c>
      <c r="J10" s="193">
        <f>I10*0.1</f>
        <v>27000</v>
      </c>
      <c r="K10" s="193">
        <v>22500</v>
      </c>
      <c r="L10" s="193">
        <v>16260</v>
      </c>
      <c r="M10" s="193">
        <v>41685</v>
      </c>
      <c r="N10" s="193">
        <f>SUM(I10:M11)</f>
        <v>377445</v>
      </c>
      <c r="O10" s="191"/>
      <c r="P10" s="147" t="s">
        <v>4881</v>
      </c>
      <c r="Q10" s="29" t="s">
        <v>82</v>
      </c>
      <c r="R10" s="81"/>
      <c r="S10" s="48" t="s">
        <v>1500</v>
      </c>
      <c r="T10" s="50" t="s">
        <v>4882</v>
      </c>
      <c r="U10" s="30"/>
      <c r="V10" s="58"/>
      <c r="W10" s="52"/>
      <c r="X10" s="193"/>
      <c r="Y10" s="193">
        <f>X10*0.1</f>
        <v>0</v>
      </c>
      <c r="Z10" s="193"/>
      <c r="AA10" s="193">
        <f>SUM(X10:Z10)</f>
        <v>0</v>
      </c>
      <c r="AB10" s="195"/>
    </row>
    <row r="11" spans="1:29" ht="18.600000000000001" thickBot="1">
      <c r="A11" s="248"/>
      <c r="B11" s="31" t="s">
        <v>1985</v>
      </c>
      <c r="C11" s="31" t="s">
        <v>4883</v>
      </c>
      <c r="D11" s="32" t="s">
        <v>95</v>
      </c>
      <c r="E11" s="200"/>
      <c r="F11" s="43" t="s">
        <v>4884</v>
      </c>
      <c r="G11" s="38">
        <v>144448</v>
      </c>
      <c r="H11" s="202"/>
      <c r="I11" s="194"/>
      <c r="J11" s="194"/>
      <c r="K11" s="194"/>
      <c r="L11" s="194"/>
      <c r="M11" s="194"/>
      <c r="N11" s="194"/>
      <c r="O11" s="192"/>
      <c r="P11" s="148" t="s">
        <v>4885</v>
      </c>
      <c r="Q11" s="33" t="s">
        <v>86</v>
      </c>
      <c r="R11" s="34" t="s">
        <v>4886</v>
      </c>
      <c r="S11" s="44" t="s">
        <v>4887</v>
      </c>
      <c r="T11" s="46" t="s">
        <v>4888</v>
      </c>
      <c r="U11" s="35"/>
      <c r="V11" s="56"/>
      <c r="W11" s="46"/>
      <c r="X11" s="194"/>
      <c r="Y11" s="194"/>
      <c r="Z11" s="194"/>
      <c r="AA11" s="194"/>
      <c r="AB11" s="196"/>
    </row>
    <row r="12" spans="1:29" ht="18.600000000000001" thickTop="1">
      <c r="A12" s="247" t="s">
        <v>5431</v>
      </c>
      <c r="B12" s="26">
        <v>45908</v>
      </c>
      <c r="C12" s="36"/>
      <c r="D12" s="28" t="s">
        <v>1222</v>
      </c>
      <c r="E12" s="199"/>
      <c r="F12" s="54" t="s">
        <v>5432</v>
      </c>
      <c r="G12" s="37" t="s">
        <v>5433</v>
      </c>
      <c r="H12" s="201">
        <v>3.5</v>
      </c>
      <c r="I12" s="193">
        <f>148500/1.1</f>
        <v>135000</v>
      </c>
      <c r="J12" s="193">
        <f>I12*0.1</f>
        <v>13500</v>
      </c>
      <c r="K12" s="193">
        <v>0</v>
      </c>
      <c r="L12" s="193">
        <v>8490</v>
      </c>
      <c r="M12" s="193">
        <v>33869</v>
      </c>
      <c r="N12" s="193">
        <f>SUM(I12:M13)</f>
        <v>190859</v>
      </c>
      <c r="O12" s="191"/>
      <c r="P12" s="147" t="s">
        <v>5434</v>
      </c>
      <c r="Q12" s="29" t="s">
        <v>82</v>
      </c>
      <c r="R12" s="81"/>
      <c r="S12" s="48" t="s">
        <v>1596</v>
      </c>
      <c r="T12" s="50" t="s">
        <v>5435</v>
      </c>
      <c r="U12" s="30"/>
      <c r="V12" s="58"/>
      <c r="W12" s="52"/>
      <c r="X12" s="193"/>
      <c r="Y12" s="193">
        <f>X12*0.1</f>
        <v>0</v>
      </c>
      <c r="Z12" s="193"/>
      <c r="AA12" s="193">
        <f>SUM(X12:Z12)</f>
        <v>0</v>
      </c>
      <c r="AB12" s="195"/>
    </row>
    <row r="13" spans="1:29" ht="18.600000000000001" thickBot="1">
      <c r="A13" s="248"/>
      <c r="B13" s="31" t="s">
        <v>1985</v>
      </c>
      <c r="C13" s="31" t="s">
        <v>5436</v>
      </c>
      <c r="D13" s="32" t="s">
        <v>1987</v>
      </c>
      <c r="E13" s="200"/>
      <c r="F13" s="43" t="s">
        <v>5437</v>
      </c>
      <c r="G13" s="38">
        <v>50538</v>
      </c>
      <c r="H13" s="202"/>
      <c r="I13" s="194"/>
      <c r="J13" s="194"/>
      <c r="K13" s="194"/>
      <c r="L13" s="194"/>
      <c r="M13" s="194"/>
      <c r="N13" s="194"/>
      <c r="O13" s="192"/>
      <c r="P13" s="148" t="s">
        <v>5438</v>
      </c>
      <c r="Q13" s="33" t="s">
        <v>86</v>
      </c>
      <c r="R13" s="34" t="s">
        <v>5387</v>
      </c>
      <c r="S13" s="44" t="s">
        <v>287</v>
      </c>
      <c r="T13" s="46" t="s">
        <v>5439</v>
      </c>
      <c r="U13" s="35"/>
      <c r="V13" s="56"/>
      <c r="W13" s="46"/>
      <c r="X13" s="194"/>
      <c r="Y13" s="194"/>
      <c r="Z13" s="194"/>
      <c r="AA13" s="194"/>
      <c r="AB13" s="196"/>
    </row>
    <row r="14" spans="1:29" ht="18.600000000000001" thickTop="1">
      <c r="F14"/>
    </row>
    <row r="15" spans="1:29">
      <c r="F15"/>
    </row>
    <row r="16" spans="1:29">
      <c r="F16"/>
    </row>
    <row r="17" spans="6:6">
      <c r="F17"/>
    </row>
    <row r="18" spans="6:6">
      <c r="F18"/>
    </row>
    <row r="19" spans="6:6">
      <c r="F19"/>
    </row>
    <row r="20" spans="6:6">
      <c r="F20"/>
    </row>
    <row r="21" spans="6:6">
      <c r="F21"/>
    </row>
    <row r="22" spans="6:6">
      <c r="F22"/>
    </row>
    <row r="23" spans="6:6">
      <c r="F23"/>
    </row>
    <row r="24" spans="6:6">
      <c r="F24"/>
    </row>
    <row r="25" spans="6:6">
      <c r="F25"/>
    </row>
    <row r="26" spans="6:6">
      <c r="F26"/>
    </row>
    <row r="27" spans="6:6">
      <c r="F27"/>
    </row>
    <row r="28" spans="6:6">
      <c r="F28"/>
    </row>
    <row r="29" spans="6:6">
      <c r="F29"/>
    </row>
    <row r="30" spans="6:6">
      <c r="F30"/>
    </row>
  </sheetData>
  <mergeCells count="31">
    <mergeCell ref="X12:X13"/>
    <mergeCell ref="Y12:Y13"/>
    <mergeCell ref="Z12:Z13"/>
    <mergeCell ref="AA12:AA13"/>
    <mergeCell ref="AB12:AB13"/>
    <mergeCell ref="K12:K13"/>
    <mergeCell ref="L12:L13"/>
    <mergeCell ref="M12:M13"/>
    <mergeCell ref="N12:N13"/>
    <mergeCell ref="O12:O13"/>
    <mergeCell ref="A12:A13"/>
    <mergeCell ref="E12:E13"/>
    <mergeCell ref="H12:H13"/>
    <mergeCell ref="I12:I13"/>
    <mergeCell ref="J12:J13"/>
    <mergeCell ref="X10:X11"/>
    <mergeCell ref="Y10:Y11"/>
    <mergeCell ref="Z10:Z11"/>
    <mergeCell ref="AA10:AA11"/>
    <mergeCell ref="AB10:AB11"/>
    <mergeCell ref="Q9:S9"/>
    <mergeCell ref="A10:A11"/>
    <mergeCell ref="E10:E11"/>
    <mergeCell ref="H10:H11"/>
    <mergeCell ref="I10:I11"/>
    <mergeCell ref="J10:J11"/>
    <mergeCell ref="K10:K11"/>
    <mergeCell ref="L10:L11"/>
    <mergeCell ref="M10:M11"/>
    <mergeCell ref="N10:N11"/>
    <mergeCell ref="O10:O1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1AAF9-7C3F-44A6-8B46-40768D2436AB}">
  <sheetPr codeName="在庫有"/>
  <dimension ref="A1:AC996"/>
  <sheetViews>
    <sheetView workbookViewId="0">
      <pane xSplit="7" ySplit="9" topLeftCell="P10" activePane="bottomRight" state="frozen"/>
      <selection pane="topRight" activeCell="J1" sqref="J1"/>
      <selection pane="bottomLeft" activeCell="A10" sqref="A10"/>
      <selection pane="bottomRight" activeCell="P27" sqref="P27"/>
    </sheetView>
  </sheetViews>
  <sheetFormatPr defaultRowHeight="18"/>
  <cols>
    <col min="2" max="2" width="16.296875" bestFit="1" customWidth="1"/>
    <col min="3" max="3" width="12.59765625" bestFit="1" customWidth="1"/>
    <col min="4" max="4" width="7.19921875" bestFit="1" customWidth="1"/>
    <col min="5" max="5" width="5.19921875" customWidth="1"/>
    <col min="6" max="6" width="26.19921875" customWidth="1"/>
    <col min="16" max="16" width="15.3984375" bestFit="1" customWidth="1"/>
    <col min="20" max="20" width="5" bestFit="1" customWidth="1"/>
    <col min="21" max="21" width="8.59765625" bestFit="1" customWidth="1"/>
    <col min="22" max="23" width="13.5" bestFit="1" customWidth="1"/>
    <col min="24" max="25" width="6.796875" bestFit="1" customWidth="1"/>
    <col min="26" max="26" width="9.296875" bestFit="1" customWidth="1"/>
    <col min="27" max="27" width="5" bestFit="1" customWidth="1"/>
    <col min="28" max="28" width="6.796875" bestFit="1" customWidth="1"/>
    <col min="29" max="29" width="9.3984375" bestFit="1"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2"/>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7.100000000000001" customHeight="1" thickBot="1"/>
    <row r="9" spans="1:29" s="9" customFormat="1" ht="17.100000000000001" customHeight="1" thickBot="1">
      <c r="A9" s="4" t="s">
        <v>1</v>
      </c>
      <c r="B9" s="5" t="s">
        <v>2</v>
      </c>
      <c r="C9" s="6" t="s">
        <v>3</v>
      </c>
      <c r="D9" s="5" t="s">
        <v>4</v>
      </c>
      <c r="E9" s="4"/>
      <c r="F9" s="41" t="s">
        <v>5</v>
      </c>
      <c r="G9" s="4" t="s">
        <v>6</v>
      </c>
      <c r="H9" s="5" t="s">
        <v>7</v>
      </c>
      <c r="I9" s="4" t="s">
        <v>8</v>
      </c>
      <c r="J9" s="4" t="s">
        <v>9</v>
      </c>
      <c r="K9" s="4" t="s">
        <v>10</v>
      </c>
      <c r="L9" s="4" t="s">
        <v>11</v>
      </c>
      <c r="M9" s="4" t="s">
        <v>12</v>
      </c>
      <c r="N9" s="4" t="s">
        <v>13</v>
      </c>
      <c r="O9" s="7" t="s">
        <v>21</v>
      </c>
      <c r="P9" s="4" t="s">
        <v>14</v>
      </c>
      <c r="Q9" s="244" t="s">
        <v>15</v>
      </c>
      <c r="R9" s="245"/>
      <c r="S9" s="245"/>
      <c r="T9" s="4" t="s">
        <v>16</v>
      </c>
      <c r="U9" s="8" t="s">
        <v>17</v>
      </c>
      <c r="V9" s="42" t="s">
        <v>18</v>
      </c>
      <c r="W9" s="4" t="s">
        <v>3</v>
      </c>
      <c r="X9" s="4" t="s">
        <v>8</v>
      </c>
      <c r="Y9" s="4" t="s">
        <v>9</v>
      </c>
      <c r="Z9" s="4" t="s">
        <v>11</v>
      </c>
      <c r="AA9" s="4" t="s">
        <v>13</v>
      </c>
      <c r="AB9" s="5" t="s">
        <v>19</v>
      </c>
      <c r="AC9" s="5" t="s">
        <v>0</v>
      </c>
    </row>
    <row r="10" spans="1:29" ht="18.600000000000001" thickTop="1">
      <c r="A10" s="249" t="s">
        <v>129</v>
      </c>
      <c r="B10" s="63">
        <v>36329</v>
      </c>
      <c r="C10" s="64"/>
      <c r="D10" s="64" t="s">
        <v>130</v>
      </c>
      <c r="E10" s="242"/>
      <c r="F10" s="65" t="s">
        <v>131</v>
      </c>
      <c r="G10" s="37"/>
      <c r="H10" s="243"/>
      <c r="I10" s="66">
        <v>430000</v>
      </c>
      <c r="J10" s="66">
        <v>21500</v>
      </c>
      <c r="K10" s="66" t="s">
        <v>132</v>
      </c>
      <c r="L10" s="66" t="s">
        <v>133</v>
      </c>
      <c r="M10" s="66" t="s">
        <v>134</v>
      </c>
      <c r="N10" s="240">
        <v>879965</v>
      </c>
      <c r="O10" s="241">
        <v>20000</v>
      </c>
      <c r="P10" s="67" t="s">
        <v>135</v>
      </c>
      <c r="Q10" s="68" t="s">
        <v>82</v>
      </c>
      <c r="R10" s="69"/>
      <c r="S10" s="70"/>
      <c r="T10" s="71">
        <v>100000</v>
      </c>
      <c r="U10" s="72"/>
      <c r="V10" s="73"/>
      <c r="W10" s="52"/>
      <c r="X10" s="206"/>
      <c r="Y10" s="206">
        <f>X10*0.1</f>
        <v>0</v>
      </c>
      <c r="Z10" s="206"/>
      <c r="AA10" s="206">
        <f>SUM(X10:Z10)</f>
        <v>0</v>
      </c>
      <c r="AB10" s="234"/>
    </row>
    <row r="11" spans="1:29" ht="18.600000000000001" thickBot="1">
      <c r="A11" s="250"/>
      <c r="B11" s="74" t="s">
        <v>136</v>
      </c>
      <c r="C11" s="74"/>
      <c r="D11" s="74" t="s">
        <v>137</v>
      </c>
      <c r="E11" s="200"/>
      <c r="F11" s="43" t="s">
        <v>138</v>
      </c>
      <c r="G11" s="38"/>
      <c r="H11" s="236"/>
      <c r="I11" s="38" t="s">
        <v>139</v>
      </c>
      <c r="J11" s="38" t="s">
        <v>140</v>
      </c>
      <c r="K11" s="38" t="s">
        <v>141</v>
      </c>
      <c r="L11" s="38" t="s">
        <v>142</v>
      </c>
      <c r="M11" s="38"/>
      <c r="N11" s="194"/>
      <c r="O11" s="192"/>
      <c r="P11" s="55" t="s">
        <v>143</v>
      </c>
      <c r="Q11" s="75" t="s">
        <v>86</v>
      </c>
      <c r="R11" s="76"/>
      <c r="S11" s="77"/>
      <c r="T11" s="46"/>
      <c r="U11" s="78"/>
      <c r="V11" s="79"/>
      <c r="W11" s="46"/>
      <c r="X11" s="194"/>
      <c r="Y11" s="194"/>
      <c r="Z11" s="194"/>
      <c r="AA11" s="194"/>
      <c r="AB11" s="220"/>
    </row>
    <row r="12" spans="1:29" ht="18.600000000000001" thickTop="1">
      <c r="A12" s="249" t="s">
        <v>144</v>
      </c>
      <c r="B12" s="26">
        <v>37996</v>
      </c>
      <c r="C12" s="27"/>
      <c r="D12" s="27" t="s">
        <v>145</v>
      </c>
      <c r="E12" s="199"/>
      <c r="F12" s="54" t="s">
        <v>146</v>
      </c>
      <c r="G12" s="37"/>
      <c r="H12" s="205"/>
      <c r="I12" s="80">
        <v>560000</v>
      </c>
      <c r="J12" s="80">
        <v>28000</v>
      </c>
      <c r="K12" s="80"/>
      <c r="L12" s="80"/>
      <c r="M12" s="80">
        <v>4200</v>
      </c>
      <c r="N12" s="193">
        <v>592885</v>
      </c>
      <c r="O12" s="191">
        <v>20000</v>
      </c>
      <c r="P12" s="49" t="s">
        <v>147</v>
      </c>
      <c r="Q12" s="29" t="s">
        <v>82</v>
      </c>
      <c r="R12" s="81"/>
      <c r="S12" s="48"/>
      <c r="T12" s="82">
        <v>354800</v>
      </c>
      <c r="U12" s="30"/>
      <c r="V12" s="83"/>
      <c r="W12" s="52"/>
      <c r="X12" s="193"/>
      <c r="Y12" s="206">
        <f>X12*0.1</f>
        <v>0</v>
      </c>
      <c r="Z12" s="193"/>
      <c r="AA12" s="193">
        <f>SUM(X12:Z12)</f>
        <v>0</v>
      </c>
      <c r="AB12" s="219"/>
    </row>
    <row r="13" spans="1:29" ht="18.600000000000001" thickBot="1">
      <c r="A13" s="250"/>
      <c r="B13" s="31" t="s">
        <v>148</v>
      </c>
      <c r="C13" s="31"/>
      <c r="D13" s="31" t="s">
        <v>149</v>
      </c>
      <c r="E13" s="200"/>
      <c r="F13" s="43" t="s">
        <v>150</v>
      </c>
      <c r="G13" s="38"/>
      <c r="H13" s="236"/>
      <c r="I13" s="46" t="s">
        <v>151</v>
      </c>
      <c r="J13" s="46"/>
      <c r="K13" s="46"/>
      <c r="L13" s="46"/>
      <c r="M13" s="46"/>
      <c r="N13" s="194"/>
      <c r="O13" s="192"/>
      <c r="P13" s="45" t="s">
        <v>152</v>
      </c>
      <c r="Q13" s="33" t="s">
        <v>86</v>
      </c>
      <c r="R13" s="84"/>
      <c r="S13" s="85"/>
      <c r="T13" s="46"/>
      <c r="U13" s="35" t="s">
        <v>153</v>
      </c>
      <c r="V13" s="47"/>
      <c r="W13" s="46"/>
      <c r="X13" s="194"/>
      <c r="Y13" s="194"/>
      <c r="Z13" s="194"/>
      <c r="AA13" s="194"/>
      <c r="AB13" s="220"/>
    </row>
    <row r="14" spans="1:29" ht="18.600000000000001" thickTop="1">
      <c r="A14" s="249" t="s">
        <v>154</v>
      </c>
      <c r="B14" s="63">
        <v>38325</v>
      </c>
      <c r="C14" s="64"/>
      <c r="D14" s="64" t="s">
        <v>155</v>
      </c>
      <c r="E14" s="199"/>
      <c r="F14" s="54" t="s">
        <v>156</v>
      </c>
      <c r="G14" s="86"/>
      <c r="H14" s="205"/>
      <c r="I14" s="87">
        <v>430000</v>
      </c>
      <c r="J14" s="87">
        <v>21500</v>
      </c>
      <c r="K14" s="87">
        <v>11200</v>
      </c>
      <c r="L14" s="87">
        <v>4200</v>
      </c>
      <c r="M14" s="87"/>
      <c r="N14" s="193">
        <v>541900</v>
      </c>
      <c r="O14" s="191">
        <v>20000</v>
      </c>
      <c r="P14" s="88" t="s">
        <v>157</v>
      </c>
      <c r="Q14" s="68" t="s">
        <v>82</v>
      </c>
      <c r="R14" s="89"/>
      <c r="S14" s="90"/>
      <c r="T14" s="82">
        <v>100000</v>
      </c>
      <c r="U14" s="30"/>
      <c r="V14" s="73"/>
      <c r="W14" s="52"/>
      <c r="X14" s="193"/>
      <c r="Y14" s="206">
        <f>X14*0.1</f>
        <v>0</v>
      </c>
      <c r="Z14" s="193"/>
      <c r="AA14" s="193">
        <f>SUM(X14:Z14)</f>
        <v>0</v>
      </c>
      <c r="AB14" s="219"/>
    </row>
    <row r="15" spans="1:29" ht="18.600000000000001" thickBot="1">
      <c r="A15" s="250"/>
      <c r="B15" s="74" t="s">
        <v>148</v>
      </c>
      <c r="C15" s="74"/>
      <c r="D15" s="74" t="s">
        <v>158</v>
      </c>
      <c r="E15" s="200"/>
      <c r="F15" s="43" t="s">
        <v>159</v>
      </c>
      <c r="G15" s="38">
        <v>98100</v>
      </c>
      <c r="H15" s="236"/>
      <c r="I15" s="46" t="s">
        <v>160</v>
      </c>
      <c r="J15" s="46" t="s">
        <v>161</v>
      </c>
      <c r="K15" s="46" t="s">
        <v>162</v>
      </c>
      <c r="L15" s="46" t="s">
        <v>163</v>
      </c>
      <c r="M15" s="46"/>
      <c r="N15" s="194"/>
      <c r="O15" s="192"/>
      <c r="P15" s="91" t="s">
        <v>164</v>
      </c>
      <c r="Q15" s="75" t="s">
        <v>86</v>
      </c>
      <c r="R15" s="92"/>
      <c r="S15" s="93"/>
      <c r="T15" s="46"/>
      <c r="U15" s="35" t="s">
        <v>153</v>
      </c>
      <c r="V15" s="79"/>
      <c r="W15" s="46"/>
      <c r="X15" s="194"/>
      <c r="Y15" s="194"/>
      <c r="Z15" s="194"/>
      <c r="AA15" s="194"/>
      <c r="AB15" s="220"/>
    </row>
    <row r="16" spans="1:29" ht="18.600000000000001" thickTop="1">
      <c r="A16" s="249" t="s">
        <v>165</v>
      </c>
      <c r="B16" s="26">
        <v>38596</v>
      </c>
      <c r="C16" s="27"/>
      <c r="D16" s="27" t="s">
        <v>166</v>
      </c>
      <c r="E16" s="199"/>
      <c r="F16" s="54" t="s">
        <v>167</v>
      </c>
      <c r="G16" s="37"/>
      <c r="H16" s="205"/>
      <c r="I16" s="80">
        <v>1000000</v>
      </c>
      <c r="J16" s="80">
        <v>50000</v>
      </c>
      <c r="K16" s="80"/>
      <c r="L16" s="80"/>
      <c r="M16" s="80">
        <v>21000</v>
      </c>
      <c r="N16" s="193">
        <v>1071850</v>
      </c>
      <c r="O16" s="191">
        <v>20000</v>
      </c>
      <c r="P16" s="49" t="s">
        <v>168</v>
      </c>
      <c r="Q16" s="29" t="s">
        <v>82</v>
      </c>
      <c r="R16" s="89"/>
      <c r="S16" s="90"/>
      <c r="T16" s="82">
        <v>315000</v>
      </c>
      <c r="U16" s="30"/>
      <c r="V16" s="94"/>
      <c r="W16" s="52"/>
      <c r="X16" s="193"/>
      <c r="Y16" s="206">
        <f>X16*0.1</f>
        <v>0</v>
      </c>
      <c r="Z16" s="193"/>
      <c r="AA16" s="193">
        <f>SUM(X16:Z16)</f>
        <v>0</v>
      </c>
      <c r="AB16" s="219"/>
    </row>
    <row r="17" spans="1:28" ht="18.600000000000001" thickBot="1">
      <c r="A17" s="250"/>
      <c r="B17" s="31" t="s">
        <v>169</v>
      </c>
      <c r="C17" s="31"/>
      <c r="D17" s="31" t="s">
        <v>170</v>
      </c>
      <c r="E17" s="200"/>
      <c r="F17" s="43" t="s">
        <v>171</v>
      </c>
      <c r="G17" s="38"/>
      <c r="H17" s="236"/>
      <c r="I17" s="46" t="s">
        <v>172</v>
      </c>
      <c r="J17" s="46"/>
      <c r="K17" s="46"/>
      <c r="L17" s="46"/>
      <c r="M17" s="46"/>
      <c r="N17" s="194"/>
      <c r="O17" s="192"/>
      <c r="P17" s="45" t="s">
        <v>173</v>
      </c>
      <c r="Q17" s="33" t="s">
        <v>86</v>
      </c>
      <c r="R17" s="84"/>
      <c r="S17" s="95"/>
      <c r="T17" s="46"/>
      <c r="U17" s="35" t="s">
        <v>153</v>
      </c>
      <c r="V17" s="47"/>
      <c r="W17" s="46"/>
      <c r="X17" s="194"/>
      <c r="Y17" s="194"/>
      <c r="Z17" s="194"/>
      <c r="AA17" s="194"/>
      <c r="AB17" s="220"/>
    </row>
    <row r="18" spans="1:28" ht="18.600000000000001" thickTop="1">
      <c r="A18" s="249" t="s">
        <v>174</v>
      </c>
      <c r="B18" s="63">
        <v>38768</v>
      </c>
      <c r="C18" s="64"/>
      <c r="D18" s="64" t="s">
        <v>175</v>
      </c>
      <c r="E18" s="199"/>
      <c r="F18" s="54" t="s">
        <v>176</v>
      </c>
      <c r="G18" s="37"/>
      <c r="H18" s="205"/>
      <c r="I18" s="87">
        <v>320000</v>
      </c>
      <c r="J18" s="87">
        <v>16000</v>
      </c>
      <c r="K18" s="87"/>
      <c r="L18" s="87"/>
      <c r="M18" s="87">
        <v>18375</v>
      </c>
      <c r="N18" s="193">
        <v>376110</v>
      </c>
      <c r="O18" s="191">
        <v>20000</v>
      </c>
      <c r="P18" s="88" t="s">
        <v>177</v>
      </c>
      <c r="Q18" s="68" t="s">
        <v>82</v>
      </c>
      <c r="R18" s="89"/>
      <c r="S18" s="90"/>
      <c r="T18" s="50">
        <v>341500</v>
      </c>
      <c r="U18" s="30"/>
      <c r="V18" s="73"/>
      <c r="W18" s="52"/>
      <c r="X18" s="193"/>
      <c r="Y18" s="206">
        <f>X18*0.1</f>
        <v>0</v>
      </c>
      <c r="Z18" s="193"/>
      <c r="AA18" s="193">
        <f>SUM(X18:Z18)</f>
        <v>0</v>
      </c>
      <c r="AB18" s="219"/>
    </row>
    <row r="19" spans="1:28" ht="18.600000000000001" thickBot="1">
      <c r="A19" s="250"/>
      <c r="B19" s="74" t="s">
        <v>178</v>
      </c>
      <c r="C19" s="74"/>
      <c r="D19" s="74" t="s">
        <v>179</v>
      </c>
      <c r="E19" s="200"/>
      <c r="F19" s="43" t="s">
        <v>180</v>
      </c>
      <c r="G19" s="38"/>
      <c r="H19" s="236"/>
      <c r="I19" s="46" t="s">
        <v>181</v>
      </c>
      <c r="J19" s="46" t="s">
        <v>182</v>
      </c>
      <c r="K19" s="87"/>
      <c r="L19" s="87"/>
      <c r="M19" s="87"/>
      <c r="N19" s="194"/>
      <c r="O19" s="192"/>
      <c r="P19" s="91" t="s">
        <v>183</v>
      </c>
      <c r="Q19" s="75" t="s">
        <v>86</v>
      </c>
      <c r="R19" s="92"/>
      <c r="S19" s="96" t="s">
        <v>184</v>
      </c>
      <c r="T19" s="46"/>
      <c r="U19" s="35"/>
      <c r="V19" s="79"/>
      <c r="W19" s="46"/>
      <c r="X19" s="194"/>
      <c r="Y19" s="194"/>
      <c r="Z19" s="194"/>
      <c r="AA19" s="194"/>
      <c r="AB19" s="220"/>
    </row>
    <row r="20" spans="1:28" ht="18.600000000000001" thickTop="1">
      <c r="A20" s="249" t="s">
        <v>185</v>
      </c>
      <c r="B20" s="26">
        <v>38792</v>
      </c>
      <c r="C20" s="27"/>
      <c r="D20" s="27" t="s">
        <v>186</v>
      </c>
      <c r="E20" s="199"/>
      <c r="F20" s="54" t="s">
        <v>187</v>
      </c>
      <c r="G20" s="37"/>
      <c r="H20" s="205"/>
      <c r="I20" s="97">
        <v>710000</v>
      </c>
      <c r="J20" s="97">
        <v>35500</v>
      </c>
      <c r="K20" s="97"/>
      <c r="L20" s="97"/>
      <c r="M20" s="97">
        <v>10500</v>
      </c>
      <c r="N20" s="215">
        <v>788596</v>
      </c>
      <c r="O20" s="191">
        <v>20000</v>
      </c>
      <c r="P20" s="49" t="s">
        <v>188</v>
      </c>
      <c r="Q20" s="29" t="s">
        <v>82</v>
      </c>
      <c r="R20" s="89"/>
      <c r="S20" s="90"/>
      <c r="T20" s="50">
        <v>400000</v>
      </c>
      <c r="U20" s="30"/>
      <c r="V20" s="51"/>
      <c r="W20" s="52"/>
      <c r="X20" s="193"/>
      <c r="Y20" s="206">
        <f>X20*0.1</f>
        <v>0</v>
      </c>
      <c r="Z20" s="193"/>
      <c r="AA20" s="193">
        <f>SUM(X20:Z20)</f>
        <v>0</v>
      </c>
      <c r="AB20" s="219"/>
    </row>
    <row r="21" spans="1:28" ht="18.600000000000001" thickBot="1">
      <c r="A21" s="250"/>
      <c r="B21" s="31" t="s">
        <v>189</v>
      </c>
      <c r="C21" s="31"/>
      <c r="D21" s="31" t="s">
        <v>170</v>
      </c>
      <c r="E21" s="200"/>
      <c r="F21" s="43" t="s">
        <v>190</v>
      </c>
      <c r="G21" s="38"/>
      <c r="H21" s="236"/>
      <c r="I21" s="46" t="s">
        <v>191</v>
      </c>
      <c r="J21" s="98"/>
      <c r="K21" s="55"/>
      <c r="L21" s="237" t="s">
        <v>192</v>
      </c>
      <c r="M21" s="238"/>
      <c r="N21" s="216"/>
      <c r="O21" s="192"/>
      <c r="P21" s="91" t="s">
        <v>193</v>
      </c>
      <c r="Q21" s="75" t="s">
        <v>86</v>
      </c>
      <c r="R21" s="99"/>
      <c r="S21" s="100" t="s">
        <v>194</v>
      </c>
      <c r="T21" s="46"/>
      <c r="U21" s="35" t="s">
        <v>153</v>
      </c>
      <c r="V21" s="79"/>
      <c r="W21" s="46"/>
      <c r="X21" s="194"/>
      <c r="Y21" s="194"/>
      <c r="Z21" s="194"/>
      <c r="AA21" s="194"/>
      <c r="AB21" s="220"/>
    </row>
    <row r="22" spans="1:28" ht="18.600000000000001" thickTop="1">
      <c r="A22" s="249" t="s">
        <v>195</v>
      </c>
      <c r="B22" s="26">
        <v>38920</v>
      </c>
      <c r="C22" s="27"/>
      <c r="D22" s="27" t="s">
        <v>186</v>
      </c>
      <c r="E22" s="199"/>
      <c r="F22" s="54" t="s">
        <v>196</v>
      </c>
      <c r="G22" s="37"/>
      <c r="H22" s="205"/>
      <c r="I22" s="80">
        <v>795000</v>
      </c>
      <c r="J22" s="80">
        <v>39750</v>
      </c>
      <c r="K22" s="80"/>
      <c r="L22" s="80"/>
      <c r="M22" s="80">
        <v>8610</v>
      </c>
      <c r="N22" s="193">
        <v>886785</v>
      </c>
      <c r="O22" s="191">
        <v>20000</v>
      </c>
      <c r="P22" s="49" t="s">
        <v>197</v>
      </c>
      <c r="Q22" s="29" t="s">
        <v>82</v>
      </c>
      <c r="R22" s="89"/>
      <c r="S22" s="90"/>
      <c r="T22" s="50">
        <v>147000</v>
      </c>
      <c r="U22" s="30"/>
      <c r="V22" s="51"/>
      <c r="W22" s="52"/>
      <c r="X22" s="193"/>
      <c r="Y22" s="206">
        <f>X22*0.1</f>
        <v>0</v>
      </c>
      <c r="Z22" s="193"/>
      <c r="AA22" s="193">
        <f>SUM(X22:Z22)</f>
        <v>0</v>
      </c>
      <c r="AB22" s="219"/>
    </row>
    <row r="23" spans="1:28" ht="18.600000000000001" thickBot="1">
      <c r="A23" s="250"/>
      <c r="B23" s="31" t="s">
        <v>148</v>
      </c>
      <c r="C23" s="31"/>
      <c r="D23" s="31" t="s">
        <v>198</v>
      </c>
      <c r="E23" s="200"/>
      <c r="F23" s="43" t="s">
        <v>199</v>
      </c>
      <c r="G23" s="38"/>
      <c r="H23" s="236"/>
      <c r="I23" s="46" t="s">
        <v>200</v>
      </c>
      <c r="J23" s="46" t="s">
        <v>201</v>
      </c>
      <c r="K23" s="46"/>
      <c r="L23" s="46"/>
      <c r="M23" s="46"/>
      <c r="N23" s="194"/>
      <c r="O23" s="192"/>
      <c r="P23" s="45" t="s">
        <v>202</v>
      </c>
      <c r="Q23" s="33" t="s">
        <v>86</v>
      </c>
      <c r="R23" s="101"/>
      <c r="S23" s="85"/>
      <c r="T23" s="46"/>
      <c r="U23" s="35"/>
      <c r="V23" s="47"/>
      <c r="W23" s="46"/>
      <c r="X23" s="194"/>
      <c r="Y23" s="194"/>
      <c r="Z23" s="194"/>
      <c r="AA23" s="194"/>
      <c r="AB23" s="220"/>
    </row>
    <row r="24" spans="1:28" ht="18.600000000000001" thickTop="1">
      <c r="A24" s="249" t="s">
        <v>203</v>
      </c>
      <c r="B24" s="26">
        <v>39366</v>
      </c>
      <c r="C24" s="27"/>
      <c r="D24" s="27" t="s">
        <v>155</v>
      </c>
      <c r="E24" s="199"/>
      <c r="F24" s="54" t="s">
        <v>204</v>
      </c>
      <c r="G24" s="37"/>
      <c r="H24" s="205"/>
      <c r="I24" s="102">
        <v>400000</v>
      </c>
      <c r="J24" s="102"/>
      <c r="K24" s="102"/>
      <c r="L24" s="102"/>
      <c r="M24" s="102"/>
      <c r="N24" s="193">
        <f>SUM(I24:M24)</f>
        <v>400000</v>
      </c>
      <c r="O24" s="191">
        <v>20000</v>
      </c>
      <c r="P24" s="49" t="s">
        <v>205</v>
      </c>
      <c r="Q24" s="29" t="s">
        <v>82</v>
      </c>
      <c r="R24" s="89"/>
      <c r="S24" s="90"/>
      <c r="T24" s="50">
        <v>105000</v>
      </c>
      <c r="U24" s="30"/>
      <c r="V24" s="51"/>
      <c r="W24" s="52"/>
      <c r="X24" s="193"/>
      <c r="Y24" s="206">
        <f>X24*0.1</f>
        <v>0</v>
      </c>
      <c r="Z24" s="193"/>
      <c r="AA24" s="193">
        <f>SUM(X24:Z24)</f>
        <v>0</v>
      </c>
      <c r="AB24" s="219"/>
    </row>
    <row r="25" spans="1:28" ht="18.600000000000001" thickBot="1">
      <c r="A25" s="250"/>
      <c r="B25" s="31" t="s">
        <v>206</v>
      </c>
      <c r="C25" s="31"/>
      <c r="D25" s="31"/>
      <c r="E25" s="200"/>
      <c r="F25" s="43" t="s">
        <v>207</v>
      </c>
      <c r="G25" s="38"/>
      <c r="H25" s="236"/>
      <c r="I25" s="32"/>
      <c r="J25" s="32"/>
      <c r="K25" s="32"/>
      <c r="L25" s="32"/>
      <c r="M25" s="32"/>
      <c r="N25" s="194"/>
      <c r="O25" s="192"/>
      <c r="P25" s="45" t="s">
        <v>208</v>
      </c>
      <c r="Q25" s="33" t="s">
        <v>86</v>
      </c>
      <c r="R25" s="101"/>
      <c r="S25" s="85"/>
      <c r="T25" s="46"/>
      <c r="U25" s="35" t="s">
        <v>153</v>
      </c>
      <c r="V25" s="47"/>
      <c r="W25" s="46"/>
      <c r="X25" s="194"/>
      <c r="Y25" s="194"/>
      <c r="Z25" s="194"/>
      <c r="AA25" s="194"/>
      <c r="AB25" s="220"/>
    </row>
    <row r="26" spans="1:28" ht="18.600000000000001" thickTop="1">
      <c r="A26" s="249" t="s">
        <v>209</v>
      </c>
      <c r="B26" s="26">
        <v>39576</v>
      </c>
      <c r="C26" s="27"/>
      <c r="D26" s="27" t="s">
        <v>166</v>
      </c>
      <c r="E26" s="199"/>
      <c r="F26" s="54" t="s">
        <v>210</v>
      </c>
      <c r="G26" s="37"/>
      <c r="H26" s="205"/>
      <c r="I26" s="97">
        <v>383000</v>
      </c>
      <c r="J26" s="97">
        <v>19150</v>
      </c>
      <c r="K26" s="97">
        <v>37500</v>
      </c>
      <c r="L26" s="97">
        <v>19140</v>
      </c>
      <c r="M26" s="97">
        <v>19425</v>
      </c>
      <c r="N26" s="193">
        <v>491445</v>
      </c>
      <c r="O26" s="191">
        <v>20000</v>
      </c>
      <c r="P26" s="49" t="s">
        <v>211</v>
      </c>
      <c r="Q26" s="29" t="s">
        <v>82</v>
      </c>
      <c r="R26" s="89"/>
      <c r="S26" s="90"/>
      <c r="T26" s="50">
        <v>458790</v>
      </c>
      <c r="U26" s="30"/>
      <c r="V26" s="51"/>
      <c r="W26" s="52"/>
      <c r="X26" s="193"/>
      <c r="Y26" s="206">
        <f>X26*0.1</f>
        <v>0</v>
      </c>
      <c r="Z26" s="193"/>
      <c r="AA26" s="193">
        <f>SUM(X26:Z26)</f>
        <v>0</v>
      </c>
      <c r="AB26" s="219"/>
    </row>
    <row r="27" spans="1:28" ht="18.600000000000001" thickBot="1">
      <c r="A27" s="250"/>
      <c r="B27" s="31" t="s">
        <v>212</v>
      </c>
      <c r="C27" s="31"/>
      <c r="D27" s="31"/>
      <c r="E27" s="200"/>
      <c r="F27" s="43" t="s">
        <v>213</v>
      </c>
      <c r="G27" s="38"/>
      <c r="H27" s="236"/>
      <c r="I27" s="103" t="s">
        <v>214</v>
      </c>
      <c r="J27" s="104"/>
      <c r="K27" s="32"/>
      <c r="L27" s="32"/>
      <c r="M27" s="32"/>
      <c r="N27" s="194"/>
      <c r="O27" s="192"/>
      <c r="P27" s="91" t="s">
        <v>215</v>
      </c>
      <c r="Q27" s="75" t="s">
        <v>86</v>
      </c>
      <c r="R27" s="99"/>
      <c r="S27" s="105"/>
      <c r="T27" s="46"/>
      <c r="U27" s="35" t="s">
        <v>216</v>
      </c>
      <c r="V27" s="47"/>
      <c r="W27" s="46"/>
      <c r="X27" s="194"/>
      <c r="Y27" s="194"/>
      <c r="Z27" s="194"/>
      <c r="AA27" s="194"/>
      <c r="AB27" s="220"/>
    </row>
    <row r="28" spans="1:28" ht="18.600000000000001" thickTop="1">
      <c r="A28" s="249" t="s">
        <v>217</v>
      </c>
      <c r="B28" s="26">
        <v>39872</v>
      </c>
      <c r="C28" s="27"/>
      <c r="D28" s="27" t="s">
        <v>218</v>
      </c>
      <c r="E28" s="199"/>
      <c r="F28" s="54" t="s">
        <v>219</v>
      </c>
      <c r="G28" s="37"/>
      <c r="H28" s="205"/>
      <c r="I28" s="80">
        <v>295000</v>
      </c>
      <c r="J28" s="80">
        <v>14750</v>
      </c>
      <c r="K28" s="80">
        <v>3200</v>
      </c>
      <c r="L28" s="80">
        <v>18050</v>
      </c>
      <c r="M28" s="80">
        <v>4305</v>
      </c>
      <c r="N28" s="193">
        <v>346330</v>
      </c>
      <c r="O28" s="191">
        <v>20000</v>
      </c>
      <c r="P28" s="49" t="s">
        <v>220</v>
      </c>
      <c r="Q28" s="29" t="s">
        <v>82</v>
      </c>
      <c r="R28" s="89"/>
      <c r="S28" s="90"/>
      <c r="T28" s="50">
        <v>313000</v>
      </c>
      <c r="U28" s="30"/>
      <c r="V28" s="51"/>
      <c r="W28" s="52"/>
      <c r="X28" s="193"/>
      <c r="Y28" s="206">
        <f>X28*0.1</f>
        <v>0</v>
      </c>
      <c r="Z28" s="193"/>
      <c r="AA28" s="193">
        <f>SUM(X28:Z28)</f>
        <v>0</v>
      </c>
      <c r="AB28" s="219"/>
    </row>
    <row r="29" spans="1:28" ht="18.600000000000001" thickBot="1">
      <c r="A29" s="250"/>
      <c r="B29" s="31" t="s">
        <v>148</v>
      </c>
      <c r="C29" s="31"/>
      <c r="D29" s="31" t="s">
        <v>221</v>
      </c>
      <c r="E29" s="200"/>
      <c r="F29" s="43" t="s">
        <v>222</v>
      </c>
      <c r="G29" s="38"/>
      <c r="H29" s="236"/>
      <c r="I29" s="46" t="s">
        <v>223</v>
      </c>
      <c r="J29" s="32"/>
      <c r="K29" s="32"/>
      <c r="L29" s="32"/>
      <c r="M29" s="32"/>
      <c r="N29" s="194"/>
      <c r="O29" s="192"/>
      <c r="P29" s="45" t="s">
        <v>224</v>
      </c>
      <c r="Q29" s="33" t="s">
        <v>86</v>
      </c>
      <c r="R29" s="101"/>
      <c r="S29" s="95" t="s">
        <v>184</v>
      </c>
      <c r="T29" s="46"/>
      <c r="U29" s="35" t="s">
        <v>153</v>
      </c>
      <c r="V29" s="47"/>
      <c r="W29" s="46"/>
      <c r="X29" s="194"/>
      <c r="Y29" s="194"/>
      <c r="Z29" s="194"/>
      <c r="AA29" s="194"/>
      <c r="AB29" s="220"/>
    </row>
    <row r="30" spans="1:28" ht="18.600000000000001" thickTop="1">
      <c r="A30" s="249" t="s">
        <v>225</v>
      </c>
      <c r="B30" s="63">
        <v>39963</v>
      </c>
      <c r="C30" s="64"/>
      <c r="D30" s="64" t="s">
        <v>226</v>
      </c>
      <c r="E30" s="199"/>
      <c r="F30" s="54" t="s">
        <v>227</v>
      </c>
      <c r="G30" s="37"/>
      <c r="H30" s="205"/>
      <c r="I30" s="87">
        <v>745000</v>
      </c>
      <c r="J30" s="87">
        <v>37250</v>
      </c>
      <c r="K30" s="87"/>
      <c r="L30" s="87">
        <v>19660</v>
      </c>
      <c r="M30" s="87">
        <v>4305</v>
      </c>
      <c r="N30" s="193">
        <f>SUM(I30:M30)</f>
        <v>806215</v>
      </c>
      <c r="O30" s="191">
        <v>20000</v>
      </c>
      <c r="P30" s="88" t="s">
        <v>228</v>
      </c>
      <c r="Q30" s="68" t="s">
        <v>82</v>
      </c>
      <c r="R30" s="89"/>
      <c r="S30" s="90"/>
      <c r="T30" s="50"/>
      <c r="U30" s="30"/>
      <c r="V30" s="51"/>
      <c r="W30" s="52"/>
      <c r="X30" s="193"/>
      <c r="Y30" s="206">
        <f>X30*0.1</f>
        <v>0</v>
      </c>
      <c r="Z30" s="193"/>
      <c r="AA30" s="193">
        <f>SUM(X30:Z30)</f>
        <v>0</v>
      </c>
      <c r="AB30" s="219"/>
    </row>
    <row r="31" spans="1:28" ht="18.600000000000001" thickBot="1">
      <c r="A31" s="250"/>
      <c r="B31" s="74" t="s">
        <v>148</v>
      </c>
      <c r="C31" s="74"/>
      <c r="D31" s="74" t="s">
        <v>229</v>
      </c>
      <c r="E31" s="200"/>
      <c r="F31" s="43" t="s">
        <v>230</v>
      </c>
      <c r="G31" s="38">
        <v>50901</v>
      </c>
      <c r="H31" s="236"/>
      <c r="I31" s="32"/>
      <c r="J31" s="32"/>
      <c r="K31" s="32"/>
      <c r="L31" s="32"/>
      <c r="M31" s="32"/>
      <c r="N31" s="194"/>
      <c r="O31" s="192"/>
      <c r="P31" s="91" t="s">
        <v>231</v>
      </c>
      <c r="Q31" s="75" t="s">
        <v>86</v>
      </c>
      <c r="R31" s="106"/>
      <c r="S31" s="93"/>
      <c r="T31" s="46"/>
      <c r="U31" s="35"/>
      <c r="V31" s="47"/>
      <c r="W31" s="46"/>
      <c r="X31" s="194"/>
      <c r="Y31" s="194"/>
      <c r="Z31" s="194"/>
      <c r="AA31" s="194"/>
      <c r="AB31" s="220"/>
    </row>
    <row r="32" spans="1:28" ht="18.600000000000001" thickTop="1">
      <c r="A32" s="249" t="s">
        <v>232</v>
      </c>
      <c r="B32" s="26">
        <v>40026</v>
      </c>
      <c r="C32" s="27" t="s">
        <v>233</v>
      </c>
      <c r="D32" s="27" t="s">
        <v>234</v>
      </c>
      <c r="E32" s="199"/>
      <c r="F32" s="54" t="s">
        <v>235</v>
      </c>
      <c r="G32" s="37"/>
      <c r="H32" s="205"/>
      <c r="I32" s="97">
        <v>725000</v>
      </c>
      <c r="J32" s="97">
        <v>36250</v>
      </c>
      <c r="K32" s="97"/>
      <c r="L32" s="97">
        <v>19350</v>
      </c>
      <c r="M32" s="97">
        <v>4305</v>
      </c>
      <c r="N32" s="193">
        <f>SUM(I32:M32)</f>
        <v>784905</v>
      </c>
      <c r="O32" s="191">
        <v>20000</v>
      </c>
      <c r="P32" s="49" t="s">
        <v>236</v>
      </c>
      <c r="Q32" s="29" t="s">
        <v>82</v>
      </c>
      <c r="R32" s="89"/>
      <c r="S32" s="90"/>
      <c r="T32" s="50"/>
      <c r="U32" s="30"/>
      <c r="V32" s="51"/>
      <c r="W32" s="52"/>
      <c r="X32" s="193"/>
      <c r="Y32" s="206">
        <f>X32*0.1</f>
        <v>0</v>
      </c>
      <c r="Z32" s="193"/>
      <c r="AA32" s="193">
        <f>SUM(X32:Z32)</f>
        <v>0</v>
      </c>
      <c r="AB32" s="219"/>
    </row>
    <row r="33" spans="1:28" ht="18.600000000000001" thickBot="1">
      <c r="A33" s="250"/>
      <c r="B33" s="31" t="s">
        <v>148</v>
      </c>
      <c r="C33" s="31">
        <v>80273</v>
      </c>
      <c r="D33" s="31" t="s">
        <v>170</v>
      </c>
      <c r="E33" s="200"/>
      <c r="F33" s="43" t="s">
        <v>237</v>
      </c>
      <c r="G33" s="38">
        <v>50901</v>
      </c>
      <c r="H33" s="236"/>
      <c r="I33" s="32"/>
      <c r="J33" s="32"/>
      <c r="K33" s="32"/>
      <c r="L33" s="32"/>
      <c r="M33" s="32"/>
      <c r="N33" s="194"/>
      <c r="O33" s="192"/>
      <c r="P33" s="107" t="s">
        <v>238</v>
      </c>
      <c r="Q33" s="33" t="s">
        <v>86</v>
      </c>
      <c r="R33" s="99"/>
      <c r="S33" s="100" t="s">
        <v>239</v>
      </c>
      <c r="T33" s="46"/>
      <c r="U33" s="35"/>
      <c r="V33" s="47"/>
      <c r="W33" s="46"/>
      <c r="X33" s="194"/>
      <c r="Y33" s="194"/>
      <c r="Z33" s="194"/>
      <c r="AA33" s="194"/>
      <c r="AB33" s="220"/>
    </row>
    <row r="34" spans="1:28" ht="18.600000000000001" thickTop="1">
      <c r="A34" s="249" t="s">
        <v>240</v>
      </c>
      <c r="B34" s="26">
        <v>40575</v>
      </c>
      <c r="C34" s="27" t="s">
        <v>241</v>
      </c>
      <c r="D34" s="27" t="s">
        <v>218</v>
      </c>
      <c r="E34" s="199"/>
      <c r="F34" s="54" t="s">
        <v>242</v>
      </c>
      <c r="G34" s="108"/>
      <c r="H34" s="205"/>
      <c r="I34" s="80">
        <v>842000</v>
      </c>
      <c r="J34" s="80">
        <v>42100</v>
      </c>
      <c r="K34" s="80">
        <v>3200</v>
      </c>
      <c r="L34" s="80">
        <v>16040</v>
      </c>
      <c r="M34" s="80">
        <v>19420</v>
      </c>
      <c r="N34" s="193">
        <v>923390</v>
      </c>
      <c r="O34" s="191">
        <v>70000</v>
      </c>
      <c r="P34" s="88" t="s">
        <v>243</v>
      </c>
      <c r="Q34" s="68" t="s">
        <v>82</v>
      </c>
      <c r="R34" s="89"/>
      <c r="S34" s="90"/>
      <c r="T34" s="86"/>
      <c r="U34" s="30"/>
      <c r="V34" s="51"/>
      <c r="W34" s="52"/>
      <c r="X34" s="193"/>
      <c r="Y34" s="206">
        <f>X34*0.1</f>
        <v>0</v>
      </c>
      <c r="Z34" s="193"/>
      <c r="AA34" s="193">
        <f>SUM(X34:Z34)</f>
        <v>0</v>
      </c>
      <c r="AB34" s="219"/>
    </row>
    <row r="35" spans="1:28" ht="18.600000000000001" thickBot="1">
      <c r="A35" s="250"/>
      <c r="B35" s="31" t="s">
        <v>100</v>
      </c>
      <c r="C35" s="31">
        <v>70861</v>
      </c>
      <c r="D35" s="31" t="s">
        <v>244</v>
      </c>
      <c r="E35" s="200"/>
      <c r="F35" s="43" t="s">
        <v>245</v>
      </c>
      <c r="G35" s="38"/>
      <c r="H35" s="236"/>
      <c r="I35" s="46" t="s">
        <v>246</v>
      </c>
      <c r="J35" s="32"/>
      <c r="K35" s="32"/>
      <c r="L35" s="32"/>
      <c r="M35" s="32"/>
      <c r="N35" s="194"/>
      <c r="O35" s="192"/>
      <c r="P35" s="91" t="s">
        <v>247</v>
      </c>
      <c r="Q35" s="75" t="s">
        <v>86</v>
      </c>
      <c r="R35" s="106"/>
      <c r="S35" s="93"/>
      <c r="T35" s="46"/>
      <c r="U35" s="35" t="s">
        <v>216</v>
      </c>
      <c r="V35" s="47"/>
      <c r="W35" s="46"/>
      <c r="X35" s="194"/>
      <c r="Y35" s="194"/>
      <c r="Z35" s="194"/>
      <c r="AA35" s="194"/>
      <c r="AB35" s="220"/>
    </row>
    <row r="36" spans="1:28" ht="18.600000000000001" thickTop="1">
      <c r="A36" s="249" t="s">
        <v>248</v>
      </c>
      <c r="B36" s="63">
        <v>40778</v>
      </c>
      <c r="C36" s="64" t="s">
        <v>249</v>
      </c>
      <c r="D36" s="64" t="s">
        <v>250</v>
      </c>
      <c r="E36" s="239"/>
      <c r="F36" s="54" t="s">
        <v>251</v>
      </c>
      <c r="G36" s="37"/>
      <c r="H36" s="235"/>
      <c r="I36" s="87">
        <v>1235000</v>
      </c>
      <c r="J36" s="87">
        <v>61750</v>
      </c>
      <c r="K36" s="87">
        <v>51300</v>
      </c>
      <c r="L36" s="87">
        <v>20550</v>
      </c>
      <c r="M36" s="87">
        <v>10550</v>
      </c>
      <c r="N36" s="193">
        <f>SUM(I36:M36)</f>
        <v>1379150</v>
      </c>
      <c r="O36" s="191">
        <v>100000</v>
      </c>
      <c r="P36" s="88" t="s">
        <v>252</v>
      </c>
      <c r="Q36" s="68" t="s">
        <v>82</v>
      </c>
      <c r="R36" s="109"/>
      <c r="S36" s="110"/>
      <c r="T36" s="50"/>
      <c r="U36" s="30"/>
      <c r="V36" s="51"/>
      <c r="W36" s="52"/>
      <c r="X36" s="193"/>
      <c r="Y36" s="206">
        <f>X36*0.1</f>
        <v>0</v>
      </c>
      <c r="Z36" s="193"/>
      <c r="AA36" s="193">
        <f>SUM(X36:Z36)</f>
        <v>0</v>
      </c>
      <c r="AB36" s="219"/>
    </row>
    <row r="37" spans="1:28" ht="18.600000000000001" thickBot="1">
      <c r="A37" s="250"/>
      <c r="B37" s="74" t="s">
        <v>100</v>
      </c>
      <c r="C37" s="74">
        <v>70169</v>
      </c>
      <c r="D37" s="74" t="s">
        <v>170</v>
      </c>
      <c r="E37" s="200"/>
      <c r="F37" s="43" t="s">
        <v>253</v>
      </c>
      <c r="G37" s="38">
        <v>45564</v>
      </c>
      <c r="H37" s="236"/>
      <c r="I37" s="32"/>
      <c r="J37" s="32"/>
      <c r="K37" s="32"/>
      <c r="L37" s="32"/>
      <c r="M37" s="32"/>
      <c r="N37" s="194"/>
      <c r="O37" s="192"/>
      <c r="P37" s="91" t="s">
        <v>254</v>
      </c>
      <c r="Q37" s="75" t="s">
        <v>86</v>
      </c>
      <c r="R37" s="106"/>
      <c r="S37" s="96" t="s">
        <v>255</v>
      </c>
      <c r="T37" s="46"/>
      <c r="U37" s="35"/>
      <c r="V37" s="47"/>
      <c r="W37" s="46"/>
      <c r="X37" s="194"/>
      <c r="Y37" s="194"/>
      <c r="Z37" s="194"/>
      <c r="AA37" s="194"/>
      <c r="AB37" s="220"/>
    </row>
    <row r="38" spans="1:28" ht="18.600000000000001" thickTop="1">
      <c r="A38" s="249" t="s">
        <v>256</v>
      </c>
      <c r="B38" s="26">
        <v>40854</v>
      </c>
      <c r="C38" s="27" t="s">
        <v>257</v>
      </c>
      <c r="D38" s="27" t="s">
        <v>258</v>
      </c>
      <c r="E38" s="199"/>
      <c r="F38" s="54" t="s">
        <v>259</v>
      </c>
      <c r="G38" s="37"/>
      <c r="H38" s="205"/>
      <c r="I38" s="80">
        <v>1065000</v>
      </c>
      <c r="J38" s="80">
        <v>53250</v>
      </c>
      <c r="K38" s="80"/>
      <c r="L38" s="80">
        <v>18630</v>
      </c>
      <c r="M38" s="80">
        <v>10500</v>
      </c>
      <c r="N38" s="193">
        <v>1217205</v>
      </c>
      <c r="O38" s="191">
        <v>150000</v>
      </c>
      <c r="P38" s="49" t="s">
        <v>260</v>
      </c>
      <c r="Q38" s="29" t="s">
        <v>82</v>
      </c>
      <c r="R38" s="89"/>
      <c r="S38" s="90"/>
      <c r="T38" s="50"/>
      <c r="U38" s="30"/>
      <c r="V38" s="51"/>
      <c r="W38" s="52"/>
      <c r="X38" s="193"/>
      <c r="Y38" s="206">
        <f>X38*0.1</f>
        <v>0</v>
      </c>
      <c r="Z38" s="193"/>
      <c r="AA38" s="193">
        <f>SUM(X38:Z38)</f>
        <v>0</v>
      </c>
      <c r="AB38" s="219"/>
    </row>
    <row r="39" spans="1:28" ht="18.600000000000001" thickBot="1">
      <c r="A39" s="250"/>
      <c r="B39" s="31" t="s">
        <v>261</v>
      </c>
      <c r="C39" s="31">
        <v>70185</v>
      </c>
      <c r="D39" s="31" t="s">
        <v>262</v>
      </c>
      <c r="E39" s="200"/>
      <c r="F39" s="43" t="s">
        <v>263</v>
      </c>
      <c r="G39" s="38"/>
      <c r="H39" s="236"/>
      <c r="I39" s="237" t="s">
        <v>264</v>
      </c>
      <c r="J39" s="238"/>
      <c r="K39" s="32"/>
      <c r="L39" s="32"/>
      <c r="M39" s="32"/>
      <c r="N39" s="194"/>
      <c r="O39" s="192"/>
      <c r="P39" s="45" t="s">
        <v>265</v>
      </c>
      <c r="Q39" s="33" t="s">
        <v>86</v>
      </c>
      <c r="R39" s="101"/>
      <c r="S39" s="85"/>
      <c r="T39" s="46"/>
      <c r="U39" s="35"/>
      <c r="V39" s="47"/>
      <c r="W39" s="46"/>
      <c r="X39" s="194"/>
      <c r="Y39" s="194"/>
      <c r="Z39" s="194"/>
      <c r="AA39" s="194"/>
      <c r="AB39" s="220"/>
    </row>
    <row r="40" spans="1:28" ht="18.600000000000001" thickTop="1">
      <c r="A40" s="249" t="s">
        <v>266</v>
      </c>
      <c r="B40" s="63">
        <v>40870</v>
      </c>
      <c r="C40" s="64" t="s">
        <v>267</v>
      </c>
      <c r="D40" s="64" t="s">
        <v>226</v>
      </c>
      <c r="E40" s="199"/>
      <c r="F40" s="54" t="s">
        <v>268</v>
      </c>
      <c r="G40" s="37"/>
      <c r="H40" s="205"/>
      <c r="I40" s="87">
        <v>1150000</v>
      </c>
      <c r="J40" s="87">
        <v>57500</v>
      </c>
      <c r="K40" s="87">
        <v>20400</v>
      </c>
      <c r="L40" s="87">
        <v>12600</v>
      </c>
      <c r="M40" s="87">
        <v>19240</v>
      </c>
      <c r="N40" s="193">
        <f>SUM(I40:M40)</f>
        <v>1259740</v>
      </c>
      <c r="O40" s="191">
        <v>100000</v>
      </c>
      <c r="P40" s="88" t="s">
        <v>269</v>
      </c>
      <c r="Q40" s="68" t="s">
        <v>82</v>
      </c>
      <c r="R40" s="89"/>
      <c r="S40" s="90"/>
      <c r="T40" s="50"/>
      <c r="U40" s="30"/>
      <c r="V40" s="51"/>
      <c r="W40" s="52"/>
      <c r="X40" s="193"/>
      <c r="Y40" s="206">
        <f>X40*0.1</f>
        <v>0</v>
      </c>
      <c r="Z40" s="193"/>
      <c r="AA40" s="193">
        <f>SUM(X40:Z40)</f>
        <v>0</v>
      </c>
      <c r="AB40" s="219"/>
    </row>
    <row r="41" spans="1:28" ht="18.600000000000001" thickBot="1">
      <c r="A41" s="250"/>
      <c r="B41" s="74" t="s">
        <v>178</v>
      </c>
      <c r="C41" s="74">
        <v>30056</v>
      </c>
      <c r="D41" s="74" t="s">
        <v>170</v>
      </c>
      <c r="E41" s="200"/>
      <c r="F41" s="43" t="s">
        <v>270</v>
      </c>
      <c r="G41" s="38">
        <v>59357</v>
      </c>
      <c r="H41" s="236"/>
      <c r="I41" s="32"/>
      <c r="J41" s="32"/>
      <c r="K41" s="32"/>
      <c r="L41" s="32"/>
      <c r="M41" s="32"/>
      <c r="N41" s="194"/>
      <c r="O41" s="192"/>
      <c r="P41" s="91" t="s">
        <v>271</v>
      </c>
      <c r="Q41" s="75" t="s">
        <v>86</v>
      </c>
      <c r="R41" s="106"/>
      <c r="S41" s="96" t="s">
        <v>272</v>
      </c>
      <c r="T41" s="46"/>
      <c r="U41" s="35"/>
      <c r="V41" s="47"/>
      <c r="W41" s="46"/>
      <c r="X41" s="194"/>
      <c r="Y41" s="194"/>
      <c r="Z41" s="194"/>
      <c r="AA41" s="194"/>
      <c r="AB41" s="220"/>
    </row>
    <row r="42" spans="1:28" ht="18.600000000000001" thickTop="1">
      <c r="A42" s="249" t="s">
        <v>273</v>
      </c>
      <c r="B42" s="26">
        <v>40969</v>
      </c>
      <c r="C42" s="27" t="s">
        <v>274</v>
      </c>
      <c r="D42" s="27"/>
      <c r="E42" s="199"/>
      <c r="F42" s="54" t="s">
        <v>275</v>
      </c>
      <c r="G42" s="37"/>
      <c r="H42" s="205"/>
      <c r="I42" s="97">
        <v>965000</v>
      </c>
      <c r="J42" s="97">
        <v>48250</v>
      </c>
      <c r="K42" s="97"/>
      <c r="L42" s="97">
        <v>22250</v>
      </c>
      <c r="M42" s="97">
        <v>10500</v>
      </c>
      <c r="N42" s="193">
        <v>1046630</v>
      </c>
      <c r="O42" s="191">
        <v>100000</v>
      </c>
      <c r="P42" s="49" t="s">
        <v>276</v>
      </c>
      <c r="Q42" s="29" t="s">
        <v>82</v>
      </c>
      <c r="R42" s="109"/>
      <c r="S42" s="110"/>
      <c r="T42" s="50"/>
      <c r="U42" s="30"/>
      <c r="V42" s="51"/>
      <c r="W42" s="52"/>
      <c r="X42" s="193"/>
      <c r="Y42" s="206">
        <f>X42*0.1</f>
        <v>0</v>
      </c>
      <c r="Z42" s="193"/>
      <c r="AA42" s="193">
        <f>SUM(X42:Z42)</f>
        <v>0</v>
      </c>
      <c r="AB42" s="219"/>
    </row>
    <row r="43" spans="1:28" ht="18.600000000000001" thickBot="1">
      <c r="A43" s="250"/>
      <c r="B43" s="31" t="s">
        <v>169</v>
      </c>
      <c r="C43" s="31">
        <v>570</v>
      </c>
      <c r="D43" s="31"/>
      <c r="E43" s="200"/>
      <c r="F43" s="43" t="s">
        <v>277</v>
      </c>
      <c r="G43" s="38"/>
      <c r="H43" s="236"/>
      <c r="I43" s="46" t="s">
        <v>246</v>
      </c>
      <c r="J43" s="32"/>
      <c r="K43" s="32"/>
      <c r="L43" s="32"/>
      <c r="M43" s="32"/>
      <c r="N43" s="194"/>
      <c r="O43" s="192"/>
      <c r="P43" s="91" t="s">
        <v>278</v>
      </c>
      <c r="Q43" s="75" t="s">
        <v>86</v>
      </c>
      <c r="R43" s="99"/>
      <c r="S43" s="100" t="s">
        <v>279</v>
      </c>
      <c r="T43" s="46"/>
      <c r="U43" s="35"/>
      <c r="V43" s="47"/>
      <c r="W43" s="46"/>
      <c r="X43" s="194"/>
      <c r="Y43" s="194"/>
      <c r="Z43" s="194"/>
      <c r="AA43" s="194"/>
      <c r="AB43" s="220"/>
    </row>
    <row r="44" spans="1:28" ht="18.600000000000001" thickTop="1">
      <c r="A44" s="249" t="s">
        <v>280</v>
      </c>
      <c r="B44" s="26">
        <v>41123</v>
      </c>
      <c r="C44" s="27"/>
      <c r="D44" s="111" t="s">
        <v>281</v>
      </c>
      <c r="E44" s="199" t="s">
        <v>282</v>
      </c>
      <c r="F44" s="54" t="s">
        <v>283</v>
      </c>
      <c r="G44" s="108"/>
      <c r="H44" s="205"/>
      <c r="I44" s="193">
        <v>2150000</v>
      </c>
      <c r="J44" s="193">
        <v>107500</v>
      </c>
      <c r="K44" s="193">
        <v>29700</v>
      </c>
      <c r="L44" s="193">
        <v>18510</v>
      </c>
      <c r="M44" s="193">
        <v>11550</v>
      </c>
      <c r="N44" s="193">
        <f>SUM(I44:M44)</f>
        <v>2317260</v>
      </c>
      <c r="O44" s="191"/>
      <c r="P44" s="49" t="s">
        <v>284</v>
      </c>
      <c r="Q44" s="29" t="s">
        <v>82</v>
      </c>
      <c r="R44" s="89"/>
      <c r="S44" s="90"/>
      <c r="T44" s="50"/>
      <c r="U44" s="30"/>
      <c r="V44" s="51"/>
      <c r="W44" s="52"/>
      <c r="X44" s="193"/>
      <c r="Y44" s="206">
        <f>X44*0.1</f>
        <v>0</v>
      </c>
      <c r="Z44" s="193"/>
      <c r="AA44" s="193">
        <f>SUM(X44:Z44)</f>
        <v>0</v>
      </c>
      <c r="AB44" s="219"/>
    </row>
    <row r="45" spans="1:28" ht="18.600000000000001" thickBot="1">
      <c r="A45" s="250"/>
      <c r="B45" s="74" t="s">
        <v>261</v>
      </c>
      <c r="C45" s="74"/>
      <c r="D45" s="31" t="s">
        <v>198</v>
      </c>
      <c r="E45" s="200"/>
      <c r="F45" s="43" t="s">
        <v>285</v>
      </c>
      <c r="G45" s="112"/>
      <c r="H45" s="235"/>
      <c r="I45" s="194"/>
      <c r="J45" s="194"/>
      <c r="K45" s="194"/>
      <c r="L45" s="194"/>
      <c r="M45" s="194"/>
      <c r="N45" s="194"/>
      <c r="O45" s="222"/>
      <c r="P45" s="91" t="s">
        <v>286</v>
      </c>
      <c r="Q45" s="75" t="s">
        <v>86</v>
      </c>
      <c r="R45" s="106"/>
      <c r="S45" s="96" t="s">
        <v>287</v>
      </c>
      <c r="T45" s="46"/>
      <c r="U45" s="35"/>
      <c r="V45" s="79"/>
      <c r="W45" s="46"/>
      <c r="X45" s="206"/>
      <c r="Y45" s="194"/>
      <c r="Z45" s="206"/>
      <c r="AA45" s="206"/>
      <c r="AB45" s="234"/>
    </row>
    <row r="46" spans="1:28" ht="18.600000000000001" thickTop="1">
      <c r="A46" s="249" t="s">
        <v>288</v>
      </c>
      <c r="B46" s="26">
        <v>41424</v>
      </c>
      <c r="C46" s="27" t="s">
        <v>289</v>
      </c>
      <c r="D46" s="28" t="s">
        <v>290</v>
      </c>
      <c r="E46" s="199"/>
      <c r="F46" s="40" t="s">
        <v>291</v>
      </c>
      <c r="G46" s="37"/>
      <c r="H46" s="201"/>
      <c r="I46" s="193">
        <v>688000</v>
      </c>
      <c r="J46" s="193">
        <v>34400</v>
      </c>
      <c r="K46" s="193"/>
      <c r="L46" s="193">
        <v>15890</v>
      </c>
      <c r="M46" s="193">
        <v>13125</v>
      </c>
      <c r="N46" s="193">
        <f>SUM(I46:M46)</f>
        <v>751415</v>
      </c>
      <c r="O46" s="191">
        <v>20000</v>
      </c>
      <c r="P46" s="60" t="s">
        <v>292</v>
      </c>
      <c r="Q46" s="29" t="s">
        <v>82</v>
      </c>
      <c r="R46" s="89"/>
      <c r="S46" s="90"/>
      <c r="T46" s="50"/>
      <c r="U46" s="30"/>
      <c r="V46" s="51"/>
      <c r="W46" s="52"/>
      <c r="X46" s="193"/>
      <c r="Y46" s="206">
        <f>X46*0.1</f>
        <v>0</v>
      </c>
      <c r="Z46" s="193"/>
      <c r="AA46" s="193">
        <f>SUM(X46:Z46)</f>
        <v>0</v>
      </c>
      <c r="AB46" s="219"/>
    </row>
    <row r="47" spans="1:28" ht="18.600000000000001" thickBot="1">
      <c r="A47" s="250"/>
      <c r="B47" s="31" t="s">
        <v>293</v>
      </c>
      <c r="C47" s="31">
        <v>5002</v>
      </c>
      <c r="D47" s="32" t="s">
        <v>170</v>
      </c>
      <c r="E47" s="200"/>
      <c r="F47" s="43" t="s">
        <v>294</v>
      </c>
      <c r="G47" s="38">
        <v>58677</v>
      </c>
      <c r="H47" s="202"/>
      <c r="I47" s="194"/>
      <c r="J47" s="194"/>
      <c r="K47" s="194"/>
      <c r="L47" s="194"/>
      <c r="M47" s="194"/>
      <c r="N47" s="194"/>
      <c r="O47" s="192"/>
      <c r="P47" s="45" t="s">
        <v>295</v>
      </c>
      <c r="Q47" s="33" t="s">
        <v>86</v>
      </c>
      <c r="R47" s="113"/>
      <c r="S47" s="77"/>
      <c r="T47" s="46"/>
      <c r="U47" s="35"/>
      <c r="V47" s="47"/>
      <c r="W47" s="46"/>
      <c r="X47" s="194"/>
      <c r="Y47" s="194"/>
      <c r="Z47" s="194"/>
      <c r="AA47" s="194"/>
      <c r="AB47" s="220"/>
    </row>
    <row r="48" spans="1:28" ht="18.600000000000001" thickTop="1">
      <c r="A48" s="249" t="s">
        <v>296</v>
      </c>
      <c r="B48" s="26">
        <v>41706</v>
      </c>
      <c r="C48" s="27" t="s">
        <v>297</v>
      </c>
      <c r="D48" s="28" t="s">
        <v>298</v>
      </c>
      <c r="E48" s="199"/>
      <c r="F48" s="40" t="s">
        <v>299</v>
      </c>
      <c r="G48" s="37"/>
      <c r="H48" s="201"/>
      <c r="I48" s="193">
        <v>1095000</v>
      </c>
      <c r="J48" s="193">
        <v>54750</v>
      </c>
      <c r="K48" s="193">
        <v>0</v>
      </c>
      <c r="L48" s="193">
        <v>16190</v>
      </c>
      <c r="M48" s="193">
        <v>10500</v>
      </c>
      <c r="N48" s="193">
        <f>SUM(I48:M48)</f>
        <v>1176440</v>
      </c>
      <c r="O48" s="191">
        <v>200000</v>
      </c>
      <c r="P48" s="60" t="s">
        <v>300</v>
      </c>
      <c r="Q48" s="29" t="s">
        <v>82</v>
      </c>
      <c r="R48" s="89"/>
      <c r="S48" s="90"/>
      <c r="T48" s="50"/>
      <c r="U48" s="30"/>
      <c r="V48" s="51"/>
      <c r="W48" s="52"/>
      <c r="X48" s="193"/>
      <c r="Y48" s="206">
        <f>X48*0.1</f>
        <v>0</v>
      </c>
      <c r="Z48" s="193"/>
      <c r="AA48" s="193">
        <f>SUM(X48:Z48)</f>
        <v>0</v>
      </c>
      <c r="AB48" s="219"/>
    </row>
    <row r="49" spans="1:28" ht="18.600000000000001" thickBot="1">
      <c r="A49" s="250"/>
      <c r="B49" s="31" t="s">
        <v>148</v>
      </c>
      <c r="C49" s="31">
        <v>81186</v>
      </c>
      <c r="D49" s="32" t="s">
        <v>170</v>
      </c>
      <c r="E49" s="200"/>
      <c r="F49" s="43" t="s">
        <v>301</v>
      </c>
      <c r="G49" s="38"/>
      <c r="H49" s="202"/>
      <c r="I49" s="194"/>
      <c r="J49" s="194"/>
      <c r="K49" s="194"/>
      <c r="L49" s="194"/>
      <c r="M49" s="194"/>
      <c r="N49" s="194"/>
      <c r="O49" s="192"/>
      <c r="P49" s="45" t="s">
        <v>302</v>
      </c>
      <c r="Q49" s="33" t="s">
        <v>86</v>
      </c>
      <c r="R49" s="113"/>
      <c r="S49" s="44" t="s">
        <v>102</v>
      </c>
      <c r="T49" s="46" t="s">
        <v>303</v>
      </c>
      <c r="U49" s="35"/>
      <c r="V49" s="47"/>
      <c r="W49" s="46"/>
      <c r="X49" s="194"/>
      <c r="Y49" s="194"/>
      <c r="Z49" s="194"/>
      <c r="AA49" s="194"/>
      <c r="AB49" s="220"/>
    </row>
    <row r="50" spans="1:28" ht="18.600000000000001" thickTop="1">
      <c r="A50" s="249" t="s">
        <v>304</v>
      </c>
      <c r="B50" s="26">
        <v>41787</v>
      </c>
      <c r="C50" s="27" t="s">
        <v>305</v>
      </c>
      <c r="D50" s="28" t="s">
        <v>306</v>
      </c>
      <c r="E50" s="199"/>
      <c r="F50" s="40" t="s">
        <v>299</v>
      </c>
      <c r="G50" s="37" t="s">
        <v>307</v>
      </c>
      <c r="H50" s="201"/>
      <c r="I50" s="193">
        <v>559000</v>
      </c>
      <c r="J50" s="193">
        <v>44720</v>
      </c>
      <c r="K50" s="193">
        <v>32900</v>
      </c>
      <c r="L50" s="193">
        <v>15790</v>
      </c>
      <c r="M50" s="193">
        <v>12960</v>
      </c>
      <c r="N50" s="193">
        <f>SUM(I50:M50)</f>
        <v>665370</v>
      </c>
      <c r="O50" s="191">
        <v>20000</v>
      </c>
      <c r="P50" s="60" t="s">
        <v>308</v>
      </c>
      <c r="Q50" s="29" t="s">
        <v>82</v>
      </c>
      <c r="R50" s="89"/>
      <c r="S50" s="90"/>
      <c r="T50" s="50"/>
      <c r="U50" s="30"/>
      <c r="V50" s="51"/>
      <c r="W50" s="52"/>
      <c r="X50" s="193"/>
      <c r="Y50" s="206">
        <f>X50*0.1</f>
        <v>0</v>
      </c>
      <c r="Z50" s="193"/>
      <c r="AA50" s="193">
        <f>SUM(X50:Z50)</f>
        <v>0</v>
      </c>
      <c r="AB50" s="219"/>
    </row>
    <row r="51" spans="1:28" ht="18.600000000000001" thickBot="1">
      <c r="A51" s="250"/>
      <c r="B51" s="31" t="s">
        <v>309</v>
      </c>
      <c r="C51" s="31">
        <v>80078</v>
      </c>
      <c r="D51" s="32" t="s">
        <v>310</v>
      </c>
      <c r="E51" s="200"/>
      <c r="F51" s="43" t="s">
        <v>311</v>
      </c>
      <c r="G51" s="38">
        <v>43453</v>
      </c>
      <c r="H51" s="202"/>
      <c r="I51" s="194"/>
      <c r="J51" s="194"/>
      <c r="K51" s="194"/>
      <c r="L51" s="194"/>
      <c r="M51" s="194"/>
      <c r="N51" s="194"/>
      <c r="O51" s="192"/>
      <c r="P51" s="45" t="s">
        <v>312</v>
      </c>
      <c r="Q51" s="33" t="s">
        <v>86</v>
      </c>
      <c r="R51" s="113"/>
      <c r="S51" s="44"/>
      <c r="T51" s="46"/>
      <c r="U51" s="35"/>
      <c r="V51" s="47"/>
      <c r="W51" s="46"/>
      <c r="X51" s="194"/>
      <c r="Y51" s="194"/>
      <c r="Z51" s="194"/>
      <c r="AA51" s="194"/>
      <c r="AB51" s="220"/>
    </row>
    <row r="52" spans="1:28" ht="18.600000000000001" thickTop="1">
      <c r="A52" s="249" t="s">
        <v>313</v>
      </c>
      <c r="B52" s="26">
        <v>41790</v>
      </c>
      <c r="C52" s="27" t="s">
        <v>314</v>
      </c>
      <c r="D52" s="28" t="s">
        <v>315</v>
      </c>
      <c r="E52" s="199"/>
      <c r="F52" s="40" t="s">
        <v>299</v>
      </c>
      <c r="G52" s="37"/>
      <c r="H52" s="201"/>
      <c r="I52" s="193">
        <v>1135000</v>
      </c>
      <c r="J52" s="193">
        <v>90800</v>
      </c>
      <c r="K52" s="193"/>
      <c r="L52" s="193">
        <v>16090</v>
      </c>
      <c r="M52" s="193">
        <v>10900</v>
      </c>
      <c r="N52" s="193">
        <f>SUM(I52:M52)</f>
        <v>1252790</v>
      </c>
      <c r="O52" s="191">
        <v>200000</v>
      </c>
      <c r="P52" s="60" t="s">
        <v>316</v>
      </c>
      <c r="Q52" s="29" t="s">
        <v>82</v>
      </c>
      <c r="R52" s="89"/>
      <c r="S52" s="90"/>
      <c r="T52" s="50"/>
      <c r="U52" s="30"/>
      <c r="V52" s="51"/>
      <c r="W52" s="52"/>
      <c r="X52" s="193"/>
      <c r="Y52" s="206">
        <f>X52*0.1</f>
        <v>0</v>
      </c>
      <c r="Z52" s="193"/>
      <c r="AA52" s="193">
        <f>SUM(X52:Z52)</f>
        <v>0</v>
      </c>
      <c r="AB52" s="219"/>
    </row>
    <row r="53" spans="1:28" ht="18.600000000000001" thickBot="1">
      <c r="A53" s="250"/>
      <c r="B53" s="31" t="s">
        <v>148</v>
      </c>
      <c r="C53" s="31">
        <v>80436</v>
      </c>
      <c r="D53" s="32" t="s">
        <v>317</v>
      </c>
      <c r="E53" s="200"/>
      <c r="F53" s="43" t="s">
        <v>318</v>
      </c>
      <c r="G53" s="38">
        <v>43478</v>
      </c>
      <c r="H53" s="202"/>
      <c r="I53" s="194"/>
      <c r="J53" s="194"/>
      <c r="K53" s="194"/>
      <c r="L53" s="194"/>
      <c r="M53" s="194"/>
      <c r="N53" s="194"/>
      <c r="O53" s="192"/>
      <c r="P53" s="45" t="s">
        <v>319</v>
      </c>
      <c r="Q53" s="33" t="s">
        <v>86</v>
      </c>
      <c r="R53" s="113"/>
      <c r="S53" s="44" t="s">
        <v>102</v>
      </c>
      <c r="T53" s="46"/>
      <c r="U53" s="35"/>
      <c r="V53" s="47"/>
      <c r="W53" s="46"/>
      <c r="X53" s="194"/>
      <c r="Y53" s="194"/>
      <c r="Z53" s="194"/>
      <c r="AA53" s="194"/>
      <c r="AB53" s="220"/>
    </row>
    <row r="54" spans="1:28" ht="18.600000000000001" thickTop="1">
      <c r="A54" s="249" t="s">
        <v>320</v>
      </c>
      <c r="B54" s="26">
        <v>41873</v>
      </c>
      <c r="C54" s="27" t="s">
        <v>321</v>
      </c>
      <c r="D54" s="28" t="s">
        <v>322</v>
      </c>
      <c r="E54" s="199"/>
      <c r="F54" s="40" t="s">
        <v>323</v>
      </c>
      <c r="G54" s="37"/>
      <c r="H54" s="201"/>
      <c r="I54" s="193">
        <v>365000</v>
      </c>
      <c r="J54" s="193">
        <v>29200</v>
      </c>
      <c r="K54" s="193"/>
      <c r="L54" s="193">
        <v>10520</v>
      </c>
      <c r="M54" s="193">
        <v>11880</v>
      </c>
      <c r="N54" s="193">
        <f>SUM(I54:M54)</f>
        <v>416600</v>
      </c>
      <c r="O54" s="191">
        <v>70000</v>
      </c>
      <c r="P54" s="60" t="s">
        <v>324</v>
      </c>
      <c r="Q54" s="29" t="s">
        <v>82</v>
      </c>
      <c r="R54" s="89"/>
      <c r="S54" s="90"/>
      <c r="T54" s="50"/>
      <c r="U54" s="30"/>
      <c r="V54" s="51"/>
      <c r="W54" s="52"/>
      <c r="X54" s="193"/>
      <c r="Y54" s="206">
        <f>X54*0.1</f>
        <v>0</v>
      </c>
      <c r="Z54" s="193"/>
      <c r="AA54" s="193">
        <f>SUM(X54:Z54)</f>
        <v>0</v>
      </c>
      <c r="AB54" s="219"/>
    </row>
    <row r="55" spans="1:28" ht="18.600000000000001" thickBot="1">
      <c r="A55" s="250"/>
      <c r="B55" s="31" t="s">
        <v>120</v>
      </c>
      <c r="C55" s="31">
        <v>25030</v>
      </c>
      <c r="D55" s="32" t="s">
        <v>325</v>
      </c>
      <c r="E55" s="200"/>
      <c r="F55" s="43" t="s">
        <v>326</v>
      </c>
      <c r="G55" s="38">
        <v>49850</v>
      </c>
      <c r="H55" s="202"/>
      <c r="I55" s="194"/>
      <c r="J55" s="194"/>
      <c r="K55" s="194"/>
      <c r="L55" s="194"/>
      <c r="M55" s="194"/>
      <c r="N55" s="194"/>
      <c r="O55" s="192"/>
      <c r="P55" s="45" t="s">
        <v>327</v>
      </c>
      <c r="Q55" s="33" t="s">
        <v>86</v>
      </c>
      <c r="R55" s="113"/>
      <c r="S55" s="77"/>
      <c r="T55" s="46"/>
      <c r="U55" s="35"/>
      <c r="V55" s="47"/>
      <c r="W55" s="46"/>
      <c r="X55" s="194"/>
      <c r="Y55" s="194"/>
      <c r="Z55" s="194"/>
      <c r="AA55" s="194"/>
      <c r="AB55" s="220"/>
    </row>
    <row r="56" spans="1:28" ht="18.600000000000001" thickTop="1">
      <c r="A56" s="249" t="s">
        <v>328</v>
      </c>
      <c r="B56" s="26">
        <v>41895</v>
      </c>
      <c r="C56" s="27" t="s">
        <v>329</v>
      </c>
      <c r="D56" s="28" t="s">
        <v>330</v>
      </c>
      <c r="E56" s="199"/>
      <c r="F56" s="40" t="s">
        <v>331</v>
      </c>
      <c r="G56" s="37" t="s">
        <v>332</v>
      </c>
      <c r="H56" s="201"/>
      <c r="I56" s="193">
        <v>655000</v>
      </c>
      <c r="J56" s="193">
        <v>52400</v>
      </c>
      <c r="K56" s="193">
        <v>25500</v>
      </c>
      <c r="L56" s="193">
        <v>19800</v>
      </c>
      <c r="M56" s="193">
        <v>10800</v>
      </c>
      <c r="N56" s="193">
        <f>SUM(I56:M56)</f>
        <v>763500</v>
      </c>
      <c r="O56" s="191">
        <v>100000</v>
      </c>
      <c r="P56" s="60" t="s">
        <v>333</v>
      </c>
      <c r="Q56" s="29" t="s">
        <v>82</v>
      </c>
      <c r="R56" s="89"/>
      <c r="S56" s="90"/>
      <c r="T56" s="50"/>
      <c r="U56" s="30"/>
      <c r="V56" s="51"/>
      <c r="W56" s="52"/>
      <c r="X56" s="193"/>
      <c r="Y56" s="206">
        <f>X56*0.1</f>
        <v>0</v>
      </c>
      <c r="Z56" s="193"/>
      <c r="AA56" s="193">
        <f>SUM(X56:Z56)</f>
        <v>0</v>
      </c>
      <c r="AB56" s="219"/>
    </row>
    <row r="57" spans="1:28" ht="18.600000000000001" thickBot="1">
      <c r="A57" s="250"/>
      <c r="B57" s="31" t="s">
        <v>148</v>
      </c>
      <c r="C57" s="31">
        <v>80003</v>
      </c>
      <c r="D57" s="32" t="s">
        <v>262</v>
      </c>
      <c r="E57" s="200"/>
      <c r="F57" s="43" t="s">
        <v>334</v>
      </c>
      <c r="G57" s="38">
        <v>48520</v>
      </c>
      <c r="H57" s="202"/>
      <c r="I57" s="194"/>
      <c r="J57" s="194"/>
      <c r="K57" s="194"/>
      <c r="L57" s="194"/>
      <c r="M57" s="194"/>
      <c r="N57" s="194"/>
      <c r="O57" s="192"/>
      <c r="P57" s="45" t="s">
        <v>335</v>
      </c>
      <c r="Q57" s="33" t="s">
        <v>86</v>
      </c>
      <c r="R57" s="113"/>
      <c r="S57" s="44" t="s">
        <v>336</v>
      </c>
      <c r="T57" s="46"/>
      <c r="U57" s="35" t="s">
        <v>153</v>
      </c>
      <c r="V57" s="47"/>
      <c r="W57" s="46"/>
      <c r="X57" s="194"/>
      <c r="Y57" s="194"/>
      <c r="Z57" s="194"/>
      <c r="AA57" s="194"/>
      <c r="AB57" s="220"/>
    </row>
    <row r="58" spans="1:28" ht="18.600000000000001" thickTop="1">
      <c r="A58" s="249" t="s">
        <v>337</v>
      </c>
      <c r="B58" s="26">
        <v>41979</v>
      </c>
      <c r="C58" s="27" t="s">
        <v>338</v>
      </c>
      <c r="D58" s="28" t="s">
        <v>339</v>
      </c>
      <c r="E58" s="199"/>
      <c r="F58" s="40" t="s">
        <v>340</v>
      </c>
      <c r="G58" s="37"/>
      <c r="H58" s="201"/>
      <c r="I58" s="193">
        <v>325000</v>
      </c>
      <c r="J58" s="193">
        <v>26000</v>
      </c>
      <c r="K58" s="193"/>
      <c r="L58" s="193">
        <v>5520</v>
      </c>
      <c r="M58" s="193">
        <v>9180</v>
      </c>
      <c r="N58" s="193">
        <f>SUM(I58:M58)</f>
        <v>365700</v>
      </c>
      <c r="O58" s="191">
        <v>100000</v>
      </c>
      <c r="P58" s="60" t="s">
        <v>341</v>
      </c>
      <c r="Q58" s="29" t="s">
        <v>82</v>
      </c>
      <c r="R58" s="89"/>
      <c r="S58" s="90"/>
      <c r="T58" s="50"/>
      <c r="U58" s="30"/>
      <c r="V58" s="51"/>
      <c r="W58" s="52"/>
      <c r="X58" s="193"/>
      <c r="Y58" s="206">
        <f>X58*0.1</f>
        <v>0</v>
      </c>
      <c r="Z58" s="193"/>
      <c r="AA58" s="193">
        <f>SUM(X58:Z58)</f>
        <v>0</v>
      </c>
      <c r="AB58" s="219"/>
    </row>
    <row r="59" spans="1:28" ht="18.600000000000001" thickBot="1">
      <c r="A59" s="250"/>
      <c r="B59" s="31" t="s">
        <v>148</v>
      </c>
      <c r="C59" s="31">
        <v>33259</v>
      </c>
      <c r="D59" s="32" t="s">
        <v>101</v>
      </c>
      <c r="E59" s="200"/>
      <c r="F59" s="43" t="s">
        <v>342</v>
      </c>
      <c r="G59" s="38">
        <v>11283</v>
      </c>
      <c r="H59" s="202"/>
      <c r="I59" s="194"/>
      <c r="J59" s="194"/>
      <c r="K59" s="194"/>
      <c r="L59" s="194"/>
      <c r="M59" s="194"/>
      <c r="N59" s="194"/>
      <c r="O59" s="192"/>
      <c r="P59" s="45" t="s">
        <v>343</v>
      </c>
      <c r="Q59" s="33" t="s">
        <v>86</v>
      </c>
      <c r="R59" s="113"/>
      <c r="S59" s="77"/>
      <c r="T59" s="46"/>
      <c r="U59" s="35"/>
      <c r="V59" s="47"/>
      <c r="W59" s="46"/>
      <c r="X59" s="194"/>
      <c r="Y59" s="194"/>
      <c r="Z59" s="194"/>
      <c r="AA59" s="194"/>
      <c r="AB59" s="220"/>
    </row>
    <row r="60" spans="1:28" ht="18.600000000000001" thickTop="1">
      <c r="A60" s="249" t="s">
        <v>344</v>
      </c>
      <c r="B60" s="26">
        <v>42017</v>
      </c>
      <c r="C60" s="27" t="s">
        <v>345</v>
      </c>
      <c r="D60" s="28" t="s">
        <v>346</v>
      </c>
      <c r="E60" s="199"/>
      <c r="F60" s="40" t="s">
        <v>347</v>
      </c>
      <c r="G60" s="37"/>
      <c r="H60" s="201"/>
      <c r="I60" s="193">
        <v>620000</v>
      </c>
      <c r="J60" s="193">
        <v>49600</v>
      </c>
      <c r="K60" s="193"/>
      <c r="L60" s="193">
        <v>16090</v>
      </c>
      <c r="M60" s="193">
        <v>11880</v>
      </c>
      <c r="N60" s="193">
        <f>SUM(I60:M60)</f>
        <v>697570</v>
      </c>
      <c r="O60" s="191">
        <v>20000</v>
      </c>
      <c r="P60" s="60" t="s">
        <v>348</v>
      </c>
      <c r="Q60" s="29" t="s">
        <v>82</v>
      </c>
      <c r="R60" s="89"/>
      <c r="S60" s="90"/>
      <c r="T60" s="50"/>
      <c r="U60" s="30"/>
      <c r="V60" s="51"/>
      <c r="W60" s="52"/>
      <c r="X60" s="193"/>
      <c r="Y60" s="206">
        <f>X60*0.1</f>
        <v>0</v>
      </c>
      <c r="Z60" s="193"/>
      <c r="AA60" s="193">
        <f>SUM(X60:Z60)</f>
        <v>0</v>
      </c>
      <c r="AB60" s="219"/>
    </row>
    <row r="61" spans="1:28" ht="18.600000000000001" thickBot="1">
      <c r="A61" s="250"/>
      <c r="B61" s="31" t="s">
        <v>100</v>
      </c>
      <c r="C61" s="31">
        <v>70264</v>
      </c>
      <c r="D61" s="32" t="s">
        <v>158</v>
      </c>
      <c r="E61" s="200"/>
      <c r="F61" s="43" t="s">
        <v>349</v>
      </c>
      <c r="G61" s="38">
        <v>56245</v>
      </c>
      <c r="H61" s="202"/>
      <c r="I61" s="194"/>
      <c r="J61" s="194"/>
      <c r="K61" s="194"/>
      <c r="L61" s="194"/>
      <c r="M61" s="194"/>
      <c r="N61" s="194"/>
      <c r="O61" s="192"/>
      <c r="P61" s="45" t="s">
        <v>350</v>
      </c>
      <c r="Q61" s="33" t="s">
        <v>86</v>
      </c>
      <c r="R61" s="113"/>
      <c r="S61" s="44" t="s">
        <v>102</v>
      </c>
      <c r="T61" s="46"/>
      <c r="U61" s="35"/>
      <c r="V61" s="47"/>
      <c r="W61" s="46"/>
      <c r="X61" s="194"/>
      <c r="Y61" s="194"/>
      <c r="Z61" s="194"/>
      <c r="AA61" s="194"/>
      <c r="AB61" s="220"/>
    </row>
    <row r="62" spans="1:28" ht="18.600000000000001" thickTop="1">
      <c r="A62" s="249" t="s">
        <v>351</v>
      </c>
      <c r="B62" s="26">
        <v>42059</v>
      </c>
      <c r="C62" s="27" t="s">
        <v>352</v>
      </c>
      <c r="D62" s="28" t="s">
        <v>353</v>
      </c>
      <c r="E62" s="199"/>
      <c r="F62" s="40" t="s">
        <v>354</v>
      </c>
      <c r="G62" s="37"/>
      <c r="H62" s="201"/>
      <c r="I62" s="193">
        <v>980000</v>
      </c>
      <c r="J62" s="193">
        <v>78400</v>
      </c>
      <c r="K62" s="193"/>
      <c r="L62" s="193">
        <v>23340</v>
      </c>
      <c r="M62" s="193">
        <v>11880</v>
      </c>
      <c r="N62" s="193">
        <f>SUM(I62:M62)</f>
        <v>1093620</v>
      </c>
      <c r="O62" s="191">
        <v>100000</v>
      </c>
      <c r="P62" s="60" t="s">
        <v>355</v>
      </c>
      <c r="Q62" s="29" t="s">
        <v>82</v>
      </c>
      <c r="R62" s="89"/>
      <c r="S62" s="90"/>
      <c r="T62" s="50"/>
      <c r="U62" s="30"/>
      <c r="V62" s="51"/>
      <c r="W62" s="52"/>
      <c r="X62" s="193"/>
      <c r="Y62" s="206">
        <f>X62*0.1</f>
        <v>0</v>
      </c>
      <c r="Z62" s="193"/>
      <c r="AA62" s="193">
        <f>SUM(X62:Z62)</f>
        <v>0</v>
      </c>
      <c r="AB62" s="219"/>
    </row>
    <row r="63" spans="1:28" ht="18.600000000000001" thickBot="1">
      <c r="A63" s="250"/>
      <c r="B63" s="31" t="s">
        <v>100</v>
      </c>
      <c r="C63" s="31">
        <v>70716</v>
      </c>
      <c r="D63" s="32" t="s">
        <v>170</v>
      </c>
      <c r="E63" s="200"/>
      <c r="F63" s="43" t="s">
        <v>356</v>
      </c>
      <c r="G63" s="38">
        <v>56276</v>
      </c>
      <c r="H63" s="202"/>
      <c r="I63" s="194"/>
      <c r="J63" s="194"/>
      <c r="K63" s="194"/>
      <c r="L63" s="194"/>
      <c r="M63" s="194"/>
      <c r="N63" s="194"/>
      <c r="O63" s="192"/>
      <c r="P63" s="45" t="s">
        <v>357</v>
      </c>
      <c r="Q63" s="33" t="s">
        <v>86</v>
      </c>
      <c r="R63" s="114"/>
      <c r="S63" s="44" t="s">
        <v>358</v>
      </c>
      <c r="T63" s="46"/>
      <c r="U63" s="35"/>
      <c r="V63" s="47"/>
      <c r="W63" s="46"/>
      <c r="X63" s="194"/>
      <c r="Y63" s="194"/>
      <c r="Z63" s="194"/>
      <c r="AA63" s="194"/>
      <c r="AB63" s="220"/>
    </row>
    <row r="64" spans="1:28" ht="18.600000000000001" thickTop="1">
      <c r="A64" s="249" t="s">
        <v>359</v>
      </c>
      <c r="B64" s="26">
        <v>42120</v>
      </c>
      <c r="C64" s="27" t="s">
        <v>360</v>
      </c>
      <c r="D64" s="28" t="s">
        <v>361</v>
      </c>
      <c r="E64" s="199"/>
      <c r="F64" s="40" t="s">
        <v>362</v>
      </c>
      <c r="G64" s="37"/>
      <c r="H64" s="201"/>
      <c r="I64" s="193">
        <v>520000</v>
      </c>
      <c r="J64" s="193">
        <v>41600</v>
      </c>
      <c r="K64" s="193"/>
      <c r="L64" s="193">
        <v>16420</v>
      </c>
      <c r="M64" s="193">
        <v>12960</v>
      </c>
      <c r="N64" s="193">
        <f>SUM(I64:M64)</f>
        <v>590980</v>
      </c>
      <c r="O64" s="191">
        <v>100000</v>
      </c>
      <c r="P64" s="60" t="s">
        <v>363</v>
      </c>
      <c r="Q64" s="29" t="s">
        <v>82</v>
      </c>
      <c r="R64" s="115"/>
      <c r="S64" s="61"/>
      <c r="T64" s="50"/>
      <c r="U64" s="30"/>
      <c r="V64" s="51"/>
      <c r="W64" s="52"/>
      <c r="X64" s="193"/>
      <c r="Y64" s="206">
        <f>X64*0.1</f>
        <v>0</v>
      </c>
      <c r="Z64" s="193"/>
      <c r="AA64" s="193">
        <f>SUM(X64:Z64)</f>
        <v>0</v>
      </c>
      <c r="AB64" s="219"/>
    </row>
    <row r="65" spans="1:28" ht="18.600000000000001" thickBot="1">
      <c r="A65" s="250"/>
      <c r="B65" s="31" t="s">
        <v>364</v>
      </c>
      <c r="C65" s="31">
        <v>3712</v>
      </c>
      <c r="D65" s="32" t="s">
        <v>170</v>
      </c>
      <c r="E65" s="200"/>
      <c r="F65" s="43" t="s">
        <v>365</v>
      </c>
      <c r="G65" s="38">
        <v>45619</v>
      </c>
      <c r="H65" s="202"/>
      <c r="I65" s="194"/>
      <c r="J65" s="194"/>
      <c r="K65" s="194"/>
      <c r="L65" s="194"/>
      <c r="M65" s="194"/>
      <c r="N65" s="194"/>
      <c r="O65" s="192"/>
      <c r="P65" s="45" t="s">
        <v>366</v>
      </c>
      <c r="Q65" s="33" t="s">
        <v>86</v>
      </c>
      <c r="R65" s="114"/>
      <c r="S65" s="44" t="s">
        <v>367</v>
      </c>
      <c r="T65" s="46"/>
      <c r="U65" s="35"/>
      <c r="V65" s="47"/>
      <c r="W65" s="46"/>
      <c r="X65" s="194"/>
      <c r="Y65" s="194"/>
      <c r="Z65" s="194"/>
      <c r="AA65" s="194"/>
      <c r="AB65" s="220"/>
    </row>
    <row r="66" spans="1:28" ht="18.600000000000001" thickTop="1">
      <c r="A66" s="249" t="s">
        <v>368</v>
      </c>
      <c r="B66" s="26">
        <v>42180</v>
      </c>
      <c r="C66" s="27" t="s">
        <v>369</v>
      </c>
      <c r="D66" s="28" t="s">
        <v>370</v>
      </c>
      <c r="E66" s="199"/>
      <c r="F66" s="40" t="s">
        <v>371</v>
      </c>
      <c r="G66" s="37" t="s">
        <v>113</v>
      </c>
      <c r="H66" s="201"/>
      <c r="I66" s="193">
        <v>615000</v>
      </c>
      <c r="J66" s="193">
        <v>49200</v>
      </c>
      <c r="K66" s="193">
        <v>43500</v>
      </c>
      <c r="L66" s="193">
        <v>20150</v>
      </c>
      <c r="M66" s="193">
        <v>11880</v>
      </c>
      <c r="N66" s="193">
        <f>SUM(I66:M66)</f>
        <v>739730</v>
      </c>
      <c r="O66" s="191">
        <v>200000</v>
      </c>
      <c r="P66" s="60" t="s">
        <v>372</v>
      </c>
      <c r="Q66" s="29" t="s">
        <v>82</v>
      </c>
      <c r="R66" s="115"/>
      <c r="S66" s="61"/>
      <c r="T66" s="50"/>
      <c r="U66" s="30"/>
      <c r="V66" s="51"/>
      <c r="W66" s="52"/>
      <c r="X66" s="193"/>
      <c r="Y66" s="206">
        <f>X66*0.1</f>
        <v>0</v>
      </c>
      <c r="Z66" s="193"/>
      <c r="AA66" s="193">
        <f>SUM(X66:Z66)</f>
        <v>0</v>
      </c>
      <c r="AB66" s="219"/>
    </row>
    <row r="67" spans="1:28" ht="18.600000000000001" thickBot="1">
      <c r="A67" s="250"/>
      <c r="B67" s="31" t="s">
        <v>373</v>
      </c>
      <c r="C67" s="31">
        <v>522</v>
      </c>
      <c r="D67" s="32" t="s">
        <v>101</v>
      </c>
      <c r="E67" s="200"/>
      <c r="F67" s="43" t="s">
        <v>374</v>
      </c>
      <c r="G67" s="38">
        <v>41397</v>
      </c>
      <c r="H67" s="202"/>
      <c r="I67" s="194"/>
      <c r="J67" s="194"/>
      <c r="K67" s="194"/>
      <c r="L67" s="194"/>
      <c r="M67" s="194"/>
      <c r="N67" s="194"/>
      <c r="O67" s="192"/>
      <c r="P67" s="45" t="s">
        <v>278</v>
      </c>
      <c r="Q67" s="33" t="s">
        <v>86</v>
      </c>
      <c r="R67" s="114"/>
      <c r="S67" s="44" t="s">
        <v>375</v>
      </c>
      <c r="T67" s="46"/>
      <c r="U67" s="35"/>
      <c r="V67" s="47"/>
      <c r="W67" s="46"/>
      <c r="X67" s="194"/>
      <c r="Y67" s="194"/>
      <c r="Z67" s="194"/>
      <c r="AA67" s="194"/>
      <c r="AB67" s="220"/>
    </row>
    <row r="68" spans="1:28" ht="18.600000000000001" thickTop="1">
      <c r="A68" s="249" t="s">
        <v>376</v>
      </c>
      <c r="B68" s="26">
        <v>42193</v>
      </c>
      <c r="C68" s="27" t="s">
        <v>377</v>
      </c>
      <c r="D68" s="28" t="s">
        <v>378</v>
      </c>
      <c r="E68" s="199"/>
      <c r="F68" s="40" t="s">
        <v>379</v>
      </c>
      <c r="G68" s="37" t="s">
        <v>113</v>
      </c>
      <c r="H68" s="201"/>
      <c r="I68" s="193">
        <v>2895000</v>
      </c>
      <c r="J68" s="193">
        <v>231600</v>
      </c>
      <c r="K68" s="193">
        <v>58600</v>
      </c>
      <c r="L68" s="193">
        <v>25670</v>
      </c>
      <c r="M68" s="193">
        <v>12960</v>
      </c>
      <c r="N68" s="193">
        <f>SUM(I68:M68)</f>
        <v>3223830</v>
      </c>
      <c r="O68" s="191">
        <v>100000</v>
      </c>
      <c r="P68" s="60" t="s">
        <v>380</v>
      </c>
      <c r="Q68" s="29" t="s">
        <v>82</v>
      </c>
      <c r="R68" s="115"/>
      <c r="S68" s="61"/>
      <c r="T68" s="50"/>
      <c r="U68" s="30"/>
      <c r="V68" s="51"/>
      <c r="W68" s="52"/>
      <c r="X68" s="193"/>
      <c r="Y68" s="206">
        <f>X68*0.1</f>
        <v>0</v>
      </c>
      <c r="Z68" s="193"/>
      <c r="AA68" s="193">
        <f>SUM(X68:Z68)</f>
        <v>0</v>
      </c>
      <c r="AB68" s="219"/>
    </row>
    <row r="69" spans="1:28" ht="18.600000000000001" thickBot="1">
      <c r="A69" s="250"/>
      <c r="B69" s="31" t="s">
        <v>381</v>
      </c>
      <c r="C69" s="31">
        <v>4021</v>
      </c>
      <c r="D69" s="32" t="s">
        <v>170</v>
      </c>
      <c r="E69" s="200"/>
      <c r="F69" s="43" t="s">
        <v>382</v>
      </c>
      <c r="G69" s="38">
        <v>33407</v>
      </c>
      <c r="H69" s="202"/>
      <c r="I69" s="194"/>
      <c r="J69" s="194"/>
      <c r="K69" s="194"/>
      <c r="L69" s="194"/>
      <c r="M69" s="194"/>
      <c r="N69" s="194"/>
      <c r="O69" s="192"/>
      <c r="P69" s="45" t="s">
        <v>383</v>
      </c>
      <c r="Q69" s="33" t="s">
        <v>86</v>
      </c>
      <c r="R69" s="114"/>
      <c r="S69" s="44" t="s">
        <v>102</v>
      </c>
      <c r="T69" s="46"/>
      <c r="U69" s="35" t="s">
        <v>153</v>
      </c>
      <c r="V69" s="47"/>
      <c r="W69" s="46"/>
      <c r="X69" s="194"/>
      <c r="Y69" s="194"/>
      <c r="Z69" s="194"/>
      <c r="AA69" s="194"/>
      <c r="AB69" s="220"/>
    </row>
    <row r="70" spans="1:28" ht="18.600000000000001" thickTop="1">
      <c r="A70" s="249" t="s">
        <v>384</v>
      </c>
      <c r="B70" s="26">
        <v>42234</v>
      </c>
      <c r="C70" s="27" t="s">
        <v>385</v>
      </c>
      <c r="D70" s="28" t="s">
        <v>386</v>
      </c>
      <c r="E70" s="199"/>
      <c r="F70" s="40" t="s">
        <v>387</v>
      </c>
      <c r="G70" s="37" t="s">
        <v>80</v>
      </c>
      <c r="H70" s="201"/>
      <c r="I70" s="193">
        <v>1695000</v>
      </c>
      <c r="J70" s="193">
        <v>135600</v>
      </c>
      <c r="K70" s="193">
        <v>26200</v>
      </c>
      <c r="L70" s="193">
        <v>21580</v>
      </c>
      <c r="M70" s="193">
        <v>12960</v>
      </c>
      <c r="N70" s="193">
        <f>SUM(I70:M70)</f>
        <v>1891340</v>
      </c>
      <c r="O70" s="191">
        <v>100000</v>
      </c>
      <c r="P70" s="60" t="s">
        <v>388</v>
      </c>
      <c r="Q70" s="29" t="s">
        <v>82</v>
      </c>
      <c r="R70" s="115"/>
      <c r="S70" s="61"/>
      <c r="T70" s="50"/>
      <c r="U70" s="30"/>
      <c r="V70" s="51"/>
      <c r="W70" s="52"/>
      <c r="X70" s="193"/>
      <c r="Y70" s="206">
        <f>X70*0.1</f>
        <v>0</v>
      </c>
      <c r="Z70" s="193"/>
      <c r="AA70" s="193">
        <f>SUM(X70:Z70)</f>
        <v>0</v>
      </c>
      <c r="AB70" s="219"/>
    </row>
    <row r="71" spans="1:28" ht="18.600000000000001" thickBot="1">
      <c r="A71" s="250"/>
      <c r="B71" s="31" t="s">
        <v>100</v>
      </c>
      <c r="C71" s="31">
        <v>75018</v>
      </c>
      <c r="D71" s="32" t="s">
        <v>91</v>
      </c>
      <c r="E71" s="200"/>
      <c r="F71" s="43" t="s">
        <v>389</v>
      </c>
      <c r="G71" s="38">
        <v>36328</v>
      </c>
      <c r="H71" s="202"/>
      <c r="I71" s="194"/>
      <c r="J71" s="194"/>
      <c r="K71" s="194"/>
      <c r="L71" s="194"/>
      <c r="M71" s="194"/>
      <c r="N71" s="194"/>
      <c r="O71" s="192"/>
      <c r="P71" s="45" t="s">
        <v>390</v>
      </c>
      <c r="Q71" s="33" t="s">
        <v>86</v>
      </c>
      <c r="R71" s="114"/>
      <c r="S71" s="44" t="s">
        <v>391</v>
      </c>
      <c r="T71" s="46"/>
      <c r="U71" s="35" t="s">
        <v>153</v>
      </c>
      <c r="V71" s="47"/>
      <c r="W71" s="46"/>
      <c r="X71" s="194"/>
      <c r="Y71" s="194"/>
      <c r="Z71" s="194"/>
      <c r="AA71" s="194"/>
      <c r="AB71" s="220"/>
    </row>
    <row r="72" spans="1:28" ht="18.600000000000001" thickTop="1">
      <c r="A72" s="249" t="s">
        <v>392</v>
      </c>
      <c r="B72" s="26">
        <v>42461</v>
      </c>
      <c r="C72" s="116"/>
      <c r="D72" s="28" t="s">
        <v>393</v>
      </c>
      <c r="E72" s="199" t="s">
        <v>282</v>
      </c>
      <c r="F72" s="40" t="s">
        <v>394</v>
      </c>
      <c r="G72" s="117" t="s">
        <v>395</v>
      </c>
      <c r="H72" s="201"/>
      <c r="I72" s="193">
        <v>6000000</v>
      </c>
      <c r="J72" s="193"/>
      <c r="K72" s="193"/>
      <c r="L72" s="193"/>
      <c r="M72" s="193"/>
      <c r="N72" s="193">
        <f>SUM(I72:M73)</f>
        <v>6000000</v>
      </c>
      <c r="O72" s="191"/>
      <c r="P72" s="53" t="s">
        <v>396</v>
      </c>
      <c r="Q72" s="29" t="s">
        <v>82</v>
      </c>
      <c r="R72" s="115"/>
      <c r="S72" s="61"/>
      <c r="T72" s="49"/>
      <c r="U72" s="30" t="s">
        <v>397</v>
      </c>
      <c r="V72" s="51"/>
      <c r="W72" s="52"/>
      <c r="X72" s="193"/>
      <c r="Y72" s="206">
        <f>X72*0.1</f>
        <v>0</v>
      </c>
      <c r="Z72" s="193"/>
      <c r="AA72" s="193">
        <f>SUM(X72:Z72)</f>
        <v>0</v>
      </c>
      <c r="AB72" s="219"/>
    </row>
    <row r="73" spans="1:28" ht="18.600000000000001" thickBot="1">
      <c r="A73" s="250"/>
      <c r="B73" s="31" t="s">
        <v>398</v>
      </c>
      <c r="C73" s="31"/>
      <c r="D73" s="32" t="s">
        <v>399</v>
      </c>
      <c r="E73" s="200"/>
      <c r="F73" s="43" t="s">
        <v>400</v>
      </c>
      <c r="G73" s="112"/>
      <c r="H73" s="202"/>
      <c r="I73" s="194"/>
      <c r="J73" s="194"/>
      <c r="K73" s="194"/>
      <c r="L73" s="194"/>
      <c r="M73" s="194"/>
      <c r="N73" s="194"/>
      <c r="O73" s="192"/>
      <c r="P73" s="31" t="s">
        <v>401</v>
      </c>
      <c r="Q73" s="33" t="s">
        <v>86</v>
      </c>
      <c r="R73" s="114"/>
      <c r="S73" s="44"/>
      <c r="T73" s="45"/>
      <c r="U73" s="118"/>
      <c r="V73" s="47"/>
      <c r="W73" s="31"/>
      <c r="X73" s="194"/>
      <c r="Y73" s="194"/>
      <c r="Z73" s="194"/>
      <c r="AA73" s="194"/>
      <c r="AB73" s="220"/>
    </row>
    <row r="74" spans="1:28" ht="18.600000000000001" thickTop="1">
      <c r="A74" s="249" t="s">
        <v>402</v>
      </c>
      <c r="B74" s="26">
        <v>42411</v>
      </c>
      <c r="C74" s="27" t="s">
        <v>403</v>
      </c>
      <c r="D74" s="28" t="s">
        <v>99</v>
      </c>
      <c r="E74" s="199"/>
      <c r="F74" s="40" t="s">
        <v>404</v>
      </c>
      <c r="G74" s="37"/>
      <c r="H74" s="201"/>
      <c r="I74" s="193">
        <v>597000</v>
      </c>
      <c r="J74" s="193">
        <v>47760</v>
      </c>
      <c r="K74" s="193"/>
      <c r="L74" s="193">
        <v>16090</v>
      </c>
      <c r="M74" s="193">
        <v>4320</v>
      </c>
      <c r="N74" s="193">
        <f>SUM(I74:M74)</f>
        <v>665170</v>
      </c>
      <c r="O74" s="191">
        <v>200000</v>
      </c>
      <c r="P74" s="60" t="s">
        <v>405</v>
      </c>
      <c r="Q74" s="29" t="s">
        <v>82</v>
      </c>
      <c r="R74" s="115"/>
      <c r="S74" s="61"/>
      <c r="T74" s="50"/>
      <c r="U74" s="30"/>
      <c r="V74" s="51"/>
      <c r="W74" s="52"/>
      <c r="X74" s="193"/>
      <c r="Y74" s="206">
        <f>X74*0.1</f>
        <v>0</v>
      </c>
      <c r="Z74" s="193"/>
      <c r="AA74" s="193">
        <f>SUM(X74:Z74)</f>
        <v>0</v>
      </c>
      <c r="AB74" s="219"/>
    </row>
    <row r="75" spans="1:28" ht="18.600000000000001" thickBot="1">
      <c r="A75" s="250"/>
      <c r="B75" s="31" t="s">
        <v>406</v>
      </c>
      <c r="C75" s="31">
        <v>30016</v>
      </c>
      <c r="D75" s="32" t="s">
        <v>101</v>
      </c>
      <c r="E75" s="200"/>
      <c r="F75" s="43" t="s">
        <v>407</v>
      </c>
      <c r="G75" s="38">
        <v>86558</v>
      </c>
      <c r="H75" s="202"/>
      <c r="I75" s="194"/>
      <c r="J75" s="194"/>
      <c r="K75" s="194"/>
      <c r="L75" s="194"/>
      <c r="M75" s="194"/>
      <c r="N75" s="194"/>
      <c r="O75" s="192"/>
      <c r="P75" s="45" t="s">
        <v>408</v>
      </c>
      <c r="Q75" s="33" t="s">
        <v>86</v>
      </c>
      <c r="R75" s="114"/>
      <c r="S75" s="44" t="s">
        <v>409</v>
      </c>
      <c r="T75" s="46"/>
      <c r="U75" s="35"/>
      <c r="V75" s="47"/>
      <c r="W75" s="46"/>
      <c r="X75" s="194"/>
      <c r="Y75" s="194"/>
      <c r="Z75" s="194"/>
      <c r="AA75" s="194"/>
      <c r="AB75" s="220"/>
    </row>
    <row r="76" spans="1:28" ht="18.600000000000001" thickTop="1">
      <c r="A76" s="249" t="s">
        <v>410</v>
      </c>
      <c r="B76" s="26">
        <v>42429</v>
      </c>
      <c r="C76" s="27" t="s">
        <v>411</v>
      </c>
      <c r="D76" s="28" t="s">
        <v>412</v>
      </c>
      <c r="E76" s="199"/>
      <c r="F76" s="40" t="s">
        <v>413</v>
      </c>
      <c r="G76" s="37"/>
      <c r="H76" s="201"/>
      <c r="I76" s="193">
        <v>1715000</v>
      </c>
      <c r="J76" s="193">
        <v>137200</v>
      </c>
      <c r="K76" s="193"/>
      <c r="L76" s="193">
        <v>18770</v>
      </c>
      <c r="M76" s="193">
        <v>10800</v>
      </c>
      <c r="N76" s="193">
        <f>SUM(I76:M76)</f>
        <v>1881770</v>
      </c>
      <c r="O76" s="191">
        <v>500000</v>
      </c>
      <c r="P76" s="60" t="s">
        <v>414</v>
      </c>
      <c r="Q76" s="29" t="s">
        <v>82</v>
      </c>
      <c r="R76" s="119"/>
      <c r="S76" s="120" t="s">
        <v>415</v>
      </c>
      <c r="T76" s="50"/>
      <c r="U76" s="30"/>
      <c r="V76" s="51"/>
      <c r="W76" s="52"/>
      <c r="X76" s="193"/>
      <c r="Y76" s="206">
        <f>X76*0.1</f>
        <v>0</v>
      </c>
      <c r="Z76" s="193"/>
      <c r="AA76" s="193">
        <f>SUM(X76:Z76)</f>
        <v>0</v>
      </c>
      <c r="AB76" s="219"/>
    </row>
    <row r="77" spans="1:28" ht="18.600000000000001" thickBot="1">
      <c r="A77" s="250"/>
      <c r="B77" s="31" t="s">
        <v>189</v>
      </c>
      <c r="C77" s="31">
        <v>35518</v>
      </c>
      <c r="D77" s="32" t="s">
        <v>48</v>
      </c>
      <c r="E77" s="200"/>
      <c r="F77" s="43" t="s">
        <v>416</v>
      </c>
      <c r="G77" s="38">
        <v>31008</v>
      </c>
      <c r="H77" s="202"/>
      <c r="I77" s="194"/>
      <c r="J77" s="194"/>
      <c r="K77" s="194"/>
      <c r="L77" s="194"/>
      <c r="M77" s="194"/>
      <c r="N77" s="194"/>
      <c r="O77" s="192"/>
      <c r="P77" s="45" t="s">
        <v>417</v>
      </c>
      <c r="Q77" s="33" t="s">
        <v>86</v>
      </c>
      <c r="R77" s="114"/>
      <c r="S77" s="44" t="s">
        <v>409</v>
      </c>
      <c r="T77" s="46"/>
      <c r="U77" s="35"/>
      <c r="V77" s="47"/>
      <c r="W77" s="46"/>
      <c r="X77" s="194"/>
      <c r="Y77" s="194"/>
      <c r="Z77" s="194"/>
      <c r="AA77" s="194"/>
      <c r="AB77" s="220"/>
    </row>
    <row r="78" spans="1:28" ht="18.600000000000001" thickTop="1">
      <c r="A78" s="249" t="s">
        <v>418</v>
      </c>
      <c r="B78" s="26">
        <v>42453</v>
      </c>
      <c r="C78" s="27" t="s">
        <v>419</v>
      </c>
      <c r="D78" s="28" t="s">
        <v>420</v>
      </c>
      <c r="E78" s="199"/>
      <c r="F78" s="40" t="s">
        <v>421</v>
      </c>
      <c r="G78" s="37"/>
      <c r="H78" s="201"/>
      <c r="I78" s="193">
        <v>820000</v>
      </c>
      <c r="J78" s="193">
        <v>65600</v>
      </c>
      <c r="K78" s="193"/>
      <c r="L78" s="193">
        <v>16190</v>
      </c>
      <c r="M78" s="193">
        <v>12960</v>
      </c>
      <c r="N78" s="193">
        <f>SUM(I78:M78)</f>
        <v>914750</v>
      </c>
      <c r="O78" s="191">
        <v>200000</v>
      </c>
      <c r="P78" s="60" t="s">
        <v>422</v>
      </c>
      <c r="Q78" s="29" t="s">
        <v>82</v>
      </c>
      <c r="R78" s="115"/>
      <c r="S78" s="61"/>
      <c r="T78" s="50"/>
      <c r="U78" s="30"/>
      <c r="V78" s="51"/>
      <c r="W78" s="52"/>
      <c r="X78" s="193"/>
      <c r="Y78" s="206">
        <f>X78*0.1</f>
        <v>0</v>
      </c>
      <c r="Z78" s="193"/>
      <c r="AA78" s="193">
        <f>SUM(X78:Z78)</f>
        <v>0</v>
      </c>
      <c r="AB78" s="219"/>
    </row>
    <row r="79" spans="1:28" ht="18.600000000000001" thickBot="1">
      <c r="A79" s="250"/>
      <c r="B79" s="31" t="s">
        <v>261</v>
      </c>
      <c r="C79" s="31">
        <v>70730</v>
      </c>
      <c r="D79" s="32" t="s">
        <v>325</v>
      </c>
      <c r="E79" s="200"/>
      <c r="F79" s="43" t="s">
        <v>423</v>
      </c>
      <c r="G79" s="38">
        <v>46600</v>
      </c>
      <c r="H79" s="202"/>
      <c r="I79" s="194"/>
      <c r="J79" s="194"/>
      <c r="K79" s="194"/>
      <c r="L79" s="194"/>
      <c r="M79" s="194"/>
      <c r="N79" s="194"/>
      <c r="O79" s="192"/>
      <c r="P79" s="45" t="s">
        <v>424</v>
      </c>
      <c r="Q79" s="33" t="s">
        <v>86</v>
      </c>
      <c r="R79" s="114"/>
      <c r="S79" s="44" t="s">
        <v>409</v>
      </c>
      <c r="T79" s="46"/>
      <c r="U79" s="35"/>
      <c r="V79" s="47"/>
      <c r="W79" s="46"/>
      <c r="X79" s="194"/>
      <c r="Y79" s="194"/>
      <c r="Z79" s="194"/>
      <c r="AA79" s="194"/>
      <c r="AB79" s="220"/>
    </row>
    <row r="80" spans="1:28" ht="18.600000000000001" thickTop="1">
      <c r="A80" s="249" t="s">
        <v>425</v>
      </c>
      <c r="B80" s="26">
        <v>42516</v>
      </c>
      <c r="C80" s="27" t="s">
        <v>426</v>
      </c>
      <c r="D80" s="28" t="s">
        <v>427</v>
      </c>
      <c r="E80" s="199"/>
      <c r="F80" s="40" t="s">
        <v>428</v>
      </c>
      <c r="G80" s="37"/>
      <c r="H80" s="201"/>
      <c r="I80" s="193">
        <v>1705000</v>
      </c>
      <c r="J80" s="193">
        <v>136400</v>
      </c>
      <c r="K80" s="193"/>
      <c r="L80" s="193">
        <v>19810</v>
      </c>
      <c r="M80" s="193">
        <v>12960</v>
      </c>
      <c r="N80" s="193">
        <f>SUM(I80:M80)</f>
        <v>1874170</v>
      </c>
      <c r="O80" s="191">
        <v>200000</v>
      </c>
      <c r="P80" s="60" t="s">
        <v>429</v>
      </c>
      <c r="Q80" s="29" t="s">
        <v>82</v>
      </c>
      <c r="R80" s="115"/>
      <c r="S80" s="61"/>
      <c r="T80" s="50"/>
      <c r="U80" s="30"/>
      <c r="V80" s="51"/>
      <c r="W80" s="52"/>
      <c r="X80" s="193"/>
      <c r="Y80" s="206">
        <f>X80*0.1</f>
        <v>0</v>
      </c>
      <c r="Z80" s="193"/>
      <c r="AA80" s="193">
        <f>SUM(X80:Z80)</f>
        <v>0</v>
      </c>
      <c r="AB80" s="219"/>
    </row>
    <row r="81" spans="1:28" ht="18.600000000000001" thickBot="1">
      <c r="A81" s="250"/>
      <c r="B81" s="31" t="s">
        <v>373</v>
      </c>
      <c r="C81" s="31">
        <v>3</v>
      </c>
      <c r="D81" s="32" t="s">
        <v>85</v>
      </c>
      <c r="E81" s="200"/>
      <c r="F81" s="43" t="s">
        <v>430</v>
      </c>
      <c r="G81" s="38">
        <v>49995</v>
      </c>
      <c r="H81" s="202"/>
      <c r="I81" s="194"/>
      <c r="J81" s="194"/>
      <c r="K81" s="194"/>
      <c r="L81" s="194"/>
      <c r="M81" s="194"/>
      <c r="N81" s="194"/>
      <c r="O81" s="192"/>
      <c r="P81" s="45" t="s">
        <v>278</v>
      </c>
      <c r="Q81" s="33" t="s">
        <v>86</v>
      </c>
      <c r="R81" s="114"/>
      <c r="S81" s="44" t="s">
        <v>431</v>
      </c>
      <c r="T81" s="46"/>
      <c r="U81" s="35"/>
      <c r="V81" s="47"/>
      <c r="W81" s="46"/>
      <c r="X81" s="194"/>
      <c r="Y81" s="194"/>
      <c r="Z81" s="194"/>
      <c r="AA81" s="194"/>
      <c r="AB81" s="220"/>
    </row>
    <row r="82" spans="1:28" ht="18.600000000000001" thickTop="1">
      <c r="A82" s="249" t="s">
        <v>432</v>
      </c>
      <c r="B82" s="26">
        <v>42524</v>
      </c>
      <c r="C82" s="27" t="s">
        <v>433</v>
      </c>
      <c r="D82" s="28" t="s">
        <v>434</v>
      </c>
      <c r="E82" s="199"/>
      <c r="F82" s="40" t="s">
        <v>435</v>
      </c>
      <c r="G82" s="37" t="s">
        <v>436</v>
      </c>
      <c r="H82" s="201"/>
      <c r="I82" s="193">
        <v>958000</v>
      </c>
      <c r="J82" s="193">
        <v>76640</v>
      </c>
      <c r="K82" s="193">
        <v>29600</v>
      </c>
      <c r="L82" s="193">
        <v>18990</v>
      </c>
      <c r="M82" s="193">
        <v>12960</v>
      </c>
      <c r="N82" s="193">
        <f>SUM(I82:M82)</f>
        <v>1096190</v>
      </c>
      <c r="O82" s="191">
        <v>250000</v>
      </c>
      <c r="P82" s="60" t="s">
        <v>437</v>
      </c>
      <c r="Q82" s="29" t="s">
        <v>82</v>
      </c>
      <c r="R82" s="115"/>
      <c r="S82" s="61"/>
      <c r="T82" s="50"/>
      <c r="U82" s="30"/>
      <c r="V82" s="51"/>
      <c r="W82" s="52"/>
      <c r="X82" s="193"/>
      <c r="Y82" s="206">
        <f>X82*0.1</f>
        <v>0</v>
      </c>
      <c r="Z82" s="193"/>
      <c r="AA82" s="193">
        <f>SUM(X82:Z82)</f>
        <v>0</v>
      </c>
      <c r="AB82" s="219"/>
    </row>
    <row r="83" spans="1:28" ht="18.600000000000001" thickBot="1">
      <c r="A83" s="250"/>
      <c r="B83" s="31" t="s">
        <v>120</v>
      </c>
      <c r="C83" s="31">
        <v>20851</v>
      </c>
      <c r="D83" s="32" t="s">
        <v>170</v>
      </c>
      <c r="E83" s="200"/>
      <c r="F83" s="43" t="s">
        <v>438</v>
      </c>
      <c r="G83" s="38">
        <v>58387</v>
      </c>
      <c r="H83" s="202"/>
      <c r="I83" s="194"/>
      <c r="J83" s="194"/>
      <c r="K83" s="194"/>
      <c r="L83" s="194"/>
      <c r="M83" s="194"/>
      <c r="N83" s="194"/>
      <c r="O83" s="192"/>
      <c r="P83" s="45" t="s">
        <v>439</v>
      </c>
      <c r="Q83" s="33" t="s">
        <v>86</v>
      </c>
      <c r="R83" s="114"/>
      <c r="S83" s="44"/>
      <c r="T83" s="46"/>
      <c r="U83" s="35" t="s">
        <v>153</v>
      </c>
      <c r="V83" s="47"/>
      <c r="W83" s="46"/>
      <c r="X83" s="194"/>
      <c r="Y83" s="194"/>
      <c r="Z83" s="194"/>
      <c r="AA83" s="194"/>
      <c r="AB83" s="220"/>
    </row>
    <row r="84" spans="1:28" ht="18.600000000000001" thickTop="1">
      <c r="A84" s="249" t="s">
        <v>440</v>
      </c>
      <c r="B84" s="26">
        <v>42532</v>
      </c>
      <c r="C84" s="27" t="s">
        <v>441</v>
      </c>
      <c r="D84" s="28" t="s">
        <v>361</v>
      </c>
      <c r="E84" s="199"/>
      <c r="F84" s="40" t="s">
        <v>442</v>
      </c>
      <c r="G84" s="37" t="s">
        <v>443</v>
      </c>
      <c r="H84" s="201"/>
      <c r="I84" s="193">
        <v>174000</v>
      </c>
      <c r="J84" s="193">
        <v>13920</v>
      </c>
      <c r="K84" s="193">
        <v>49800</v>
      </c>
      <c r="L84" s="193">
        <v>15590</v>
      </c>
      <c r="M84" s="193">
        <v>11880</v>
      </c>
      <c r="N84" s="193">
        <f>SUM(I84:M84)</f>
        <v>265190</v>
      </c>
      <c r="O84" s="191"/>
      <c r="P84" s="60" t="s">
        <v>444</v>
      </c>
      <c r="Q84" s="29" t="s">
        <v>82</v>
      </c>
      <c r="R84" s="115"/>
      <c r="S84" s="61"/>
      <c r="T84" s="50"/>
      <c r="U84" s="30"/>
      <c r="V84" s="51"/>
      <c r="W84" s="52"/>
      <c r="X84" s="193"/>
      <c r="Y84" s="206">
        <f>X84*0.1</f>
        <v>0</v>
      </c>
      <c r="Z84" s="193"/>
      <c r="AA84" s="193">
        <f>SUM(X84:Z84)</f>
        <v>0</v>
      </c>
      <c r="AB84" s="219"/>
    </row>
    <row r="85" spans="1:28" ht="18.600000000000001" thickBot="1">
      <c r="A85" s="250"/>
      <c r="B85" s="31" t="s">
        <v>148</v>
      </c>
      <c r="C85" s="31">
        <v>10284</v>
      </c>
      <c r="D85" s="32" t="s">
        <v>170</v>
      </c>
      <c r="E85" s="200"/>
      <c r="F85" s="43" t="s">
        <v>445</v>
      </c>
      <c r="G85" s="38">
        <v>67839</v>
      </c>
      <c r="H85" s="202"/>
      <c r="I85" s="194"/>
      <c r="J85" s="194"/>
      <c r="K85" s="194"/>
      <c r="L85" s="194"/>
      <c r="M85" s="194"/>
      <c r="N85" s="194"/>
      <c r="O85" s="192"/>
      <c r="P85" s="45" t="s">
        <v>446</v>
      </c>
      <c r="Q85" s="33" t="s">
        <v>86</v>
      </c>
      <c r="R85" s="114"/>
      <c r="S85" s="44" t="s">
        <v>409</v>
      </c>
      <c r="T85" s="46"/>
      <c r="U85" s="35" t="s">
        <v>153</v>
      </c>
      <c r="V85" s="47"/>
      <c r="W85" s="46"/>
      <c r="X85" s="194"/>
      <c r="Y85" s="194"/>
      <c r="Z85" s="194"/>
      <c r="AA85" s="194"/>
      <c r="AB85" s="220"/>
    </row>
    <row r="86" spans="1:28" ht="18.600000000000001" thickTop="1">
      <c r="A86" s="249" t="s">
        <v>447</v>
      </c>
      <c r="B86" s="26">
        <v>42578</v>
      </c>
      <c r="C86" s="27" t="s">
        <v>448</v>
      </c>
      <c r="D86" s="28" t="s">
        <v>449</v>
      </c>
      <c r="E86" s="199"/>
      <c r="F86" s="40" t="s">
        <v>450</v>
      </c>
      <c r="G86" s="37" t="s">
        <v>451</v>
      </c>
      <c r="H86" s="201"/>
      <c r="I86" s="193">
        <v>1643000</v>
      </c>
      <c r="J86" s="193">
        <v>131440</v>
      </c>
      <c r="K86" s="193">
        <v>26300</v>
      </c>
      <c r="L86" s="193">
        <v>18870</v>
      </c>
      <c r="M86" s="193">
        <v>13500</v>
      </c>
      <c r="N86" s="193">
        <f>SUM(I86:M86)</f>
        <v>1833110</v>
      </c>
      <c r="O86" s="191">
        <v>500000</v>
      </c>
      <c r="P86" s="60" t="s">
        <v>452</v>
      </c>
      <c r="Q86" s="29" t="s">
        <v>82</v>
      </c>
      <c r="R86" s="115"/>
      <c r="S86" s="61"/>
      <c r="T86" s="50"/>
      <c r="U86" s="30"/>
      <c r="V86" s="51"/>
      <c r="W86" s="52"/>
      <c r="X86" s="193"/>
      <c r="Y86" s="206">
        <f>X86*0.1</f>
        <v>0</v>
      </c>
      <c r="Z86" s="193"/>
      <c r="AA86" s="193">
        <f>SUM(X86:Z86)</f>
        <v>0</v>
      </c>
      <c r="AB86" s="219"/>
    </row>
    <row r="87" spans="1:28" ht="18.600000000000001" thickBot="1">
      <c r="A87" s="250"/>
      <c r="B87" s="31" t="s">
        <v>453</v>
      </c>
      <c r="C87" s="31">
        <v>7175</v>
      </c>
      <c r="D87" s="32" t="s">
        <v>454</v>
      </c>
      <c r="E87" s="200"/>
      <c r="F87" s="43" t="s">
        <v>455</v>
      </c>
      <c r="G87" s="38">
        <v>46424</v>
      </c>
      <c r="H87" s="202"/>
      <c r="I87" s="194"/>
      <c r="J87" s="194"/>
      <c r="K87" s="194"/>
      <c r="L87" s="194"/>
      <c r="M87" s="194"/>
      <c r="N87" s="194"/>
      <c r="O87" s="192"/>
      <c r="P87" s="45" t="s">
        <v>456</v>
      </c>
      <c r="Q87" s="33" t="s">
        <v>86</v>
      </c>
      <c r="R87" s="114"/>
      <c r="S87" s="44" t="s">
        <v>102</v>
      </c>
      <c r="T87" s="46"/>
      <c r="U87" s="35"/>
      <c r="V87" s="47"/>
      <c r="W87" s="46"/>
      <c r="X87" s="194"/>
      <c r="Y87" s="194"/>
      <c r="Z87" s="194"/>
      <c r="AA87" s="194"/>
      <c r="AB87" s="220"/>
    </row>
    <row r="88" spans="1:28" ht="18.600000000000001" thickTop="1">
      <c r="A88" s="249" t="s">
        <v>457</v>
      </c>
      <c r="B88" s="26">
        <v>42581</v>
      </c>
      <c r="C88" s="27" t="s">
        <v>458</v>
      </c>
      <c r="D88" s="28" t="s">
        <v>459</v>
      </c>
      <c r="E88" s="199"/>
      <c r="F88" s="40" t="s">
        <v>404</v>
      </c>
      <c r="G88" s="37" t="s">
        <v>460</v>
      </c>
      <c r="H88" s="201"/>
      <c r="I88" s="193">
        <v>460000</v>
      </c>
      <c r="J88" s="193">
        <v>36800</v>
      </c>
      <c r="K88" s="193">
        <v>26300</v>
      </c>
      <c r="L88" s="193">
        <v>15890</v>
      </c>
      <c r="M88" s="193">
        <v>23760</v>
      </c>
      <c r="N88" s="193">
        <f>SUM(I88:M88)</f>
        <v>562750</v>
      </c>
      <c r="O88" s="191">
        <v>50000</v>
      </c>
      <c r="P88" s="60" t="s">
        <v>461</v>
      </c>
      <c r="Q88" s="29" t="s">
        <v>82</v>
      </c>
      <c r="R88" s="115"/>
      <c r="S88" s="61"/>
      <c r="T88" s="50"/>
      <c r="U88" s="30"/>
      <c r="V88" s="51"/>
      <c r="W88" s="52"/>
      <c r="X88" s="193"/>
      <c r="Y88" s="206">
        <f>X88*0.1</f>
        <v>0</v>
      </c>
      <c r="Z88" s="193"/>
      <c r="AA88" s="193">
        <f>SUM(X88:Z88)</f>
        <v>0</v>
      </c>
      <c r="AB88" s="219"/>
    </row>
    <row r="89" spans="1:28" ht="18.600000000000001" thickBot="1">
      <c r="A89" s="250"/>
      <c r="B89" s="31" t="s">
        <v>462</v>
      </c>
      <c r="C89" s="31">
        <v>5506</v>
      </c>
      <c r="D89" s="32" t="s">
        <v>170</v>
      </c>
      <c r="E89" s="200"/>
      <c r="F89" s="43" t="s">
        <v>463</v>
      </c>
      <c r="G89" s="38">
        <v>47436</v>
      </c>
      <c r="H89" s="202"/>
      <c r="I89" s="194"/>
      <c r="J89" s="194"/>
      <c r="K89" s="194"/>
      <c r="L89" s="194"/>
      <c r="M89" s="194"/>
      <c r="N89" s="194"/>
      <c r="O89" s="192"/>
      <c r="P89" s="45" t="s">
        <v>464</v>
      </c>
      <c r="Q89" s="33" t="s">
        <v>86</v>
      </c>
      <c r="R89" s="114"/>
      <c r="S89" s="44" t="s">
        <v>409</v>
      </c>
      <c r="T89" s="46"/>
      <c r="U89" s="35"/>
      <c r="V89" s="47"/>
      <c r="W89" s="46"/>
      <c r="X89" s="194"/>
      <c r="Y89" s="194"/>
      <c r="Z89" s="194"/>
      <c r="AA89" s="194"/>
      <c r="AB89" s="220"/>
    </row>
    <row r="90" spans="1:28" ht="18.600000000000001" thickTop="1">
      <c r="A90" s="249" t="s">
        <v>465</v>
      </c>
      <c r="B90" s="26">
        <v>42619</v>
      </c>
      <c r="C90" s="27" t="s">
        <v>466</v>
      </c>
      <c r="D90" s="28" t="s">
        <v>467</v>
      </c>
      <c r="E90" s="199"/>
      <c r="F90" s="40" t="s">
        <v>468</v>
      </c>
      <c r="G90" s="37"/>
      <c r="H90" s="201"/>
      <c r="I90" s="193">
        <v>987000</v>
      </c>
      <c r="J90" s="193">
        <v>78960</v>
      </c>
      <c r="K90" s="193"/>
      <c r="L90" s="193">
        <v>23900</v>
      </c>
      <c r="M90" s="193">
        <v>9720</v>
      </c>
      <c r="N90" s="193">
        <f>SUM(I90:M90)</f>
        <v>1099580</v>
      </c>
      <c r="O90" s="191">
        <v>500000</v>
      </c>
      <c r="P90" s="60" t="s">
        <v>469</v>
      </c>
      <c r="Q90" s="29" t="s">
        <v>82</v>
      </c>
      <c r="R90" s="81"/>
      <c r="S90" s="48"/>
      <c r="T90" s="50"/>
      <c r="U90" s="30"/>
      <c r="V90" s="51"/>
      <c r="W90" s="52"/>
      <c r="X90" s="193"/>
      <c r="Y90" s="206">
        <f>X90*0.1</f>
        <v>0</v>
      </c>
      <c r="Z90" s="193"/>
      <c r="AA90" s="193">
        <f>SUM(X90:Z90)</f>
        <v>0</v>
      </c>
      <c r="AB90" s="219"/>
    </row>
    <row r="91" spans="1:28" ht="18.600000000000001" thickBot="1">
      <c r="A91" s="250"/>
      <c r="B91" s="31" t="s">
        <v>470</v>
      </c>
      <c r="C91" s="31">
        <v>5005</v>
      </c>
      <c r="D91" s="32" t="s">
        <v>170</v>
      </c>
      <c r="E91" s="200"/>
      <c r="F91" s="43" t="s">
        <v>471</v>
      </c>
      <c r="G91" s="38">
        <v>36892</v>
      </c>
      <c r="H91" s="202"/>
      <c r="I91" s="194"/>
      <c r="J91" s="194"/>
      <c r="K91" s="194"/>
      <c r="L91" s="194"/>
      <c r="M91" s="194"/>
      <c r="N91" s="194"/>
      <c r="O91" s="192"/>
      <c r="P91" s="45" t="s">
        <v>472</v>
      </c>
      <c r="Q91" s="33" t="s">
        <v>86</v>
      </c>
      <c r="R91" s="34"/>
      <c r="S91" s="44"/>
      <c r="T91" s="46"/>
      <c r="U91" s="35"/>
      <c r="V91" s="47"/>
      <c r="W91" s="46"/>
      <c r="X91" s="194"/>
      <c r="Y91" s="194"/>
      <c r="Z91" s="194"/>
      <c r="AA91" s="194"/>
      <c r="AB91" s="220"/>
    </row>
    <row r="92" spans="1:28" ht="18.600000000000001" thickTop="1">
      <c r="A92" s="249" t="s">
        <v>473</v>
      </c>
      <c r="B92" s="26">
        <v>42621</v>
      </c>
      <c r="C92" s="27"/>
      <c r="D92" s="28" t="s">
        <v>474</v>
      </c>
      <c r="E92" s="199"/>
      <c r="F92" s="40" t="s">
        <v>475</v>
      </c>
      <c r="G92" s="37" t="s">
        <v>443</v>
      </c>
      <c r="H92" s="201"/>
      <c r="I92" s="193">
        <v>2230000</v>
      </c>
      <c r="J92" s="193"/>
      <c r="K92" s="193"/>
      <c r="L92" s="193"/>
      <c r="M92" s="193">
        <v>648</v>
      </c>
      <c r="N92" s="193">
        <f>SUM(I92:M92)</f>
        <v>2230648</v>
      </c>
      <c r="O92" s="191">
        <v>500000</v>
      </c>
      <c r="P92" s="60" t="s">
        <v>476</v>
      </c>
      <c r="Q92" s="29" t="s">
        <v>82</v>
      </c>
      <c r="R92" s="115"/>
      <c r="S92" s="61"/>
      <c r="T92" s="50"/>
      <c r="U92" s="30"/>
      <c r="V92" s="51"/>
      <c r="W92" s="52"/>
      <c r="X92" s="193"/>
      <c r="Y92" s="206">
        <f>X92*0.1</f>
        <v>0</v>
      </c>
      <c r="Z92" s="193"/>
      <c r="AA92" s="193">
        <f>SUM(X92:Z92)</f>
        <v>0</v>
      </c>
      <c r="AB92" s="219"/>
    </row>
    <row r="93" spans="1:28" ht="18.600000000000001" thickBot="1">
      <c r="A93" s="250"/>
      <c r="B93" s="31" t="s">
        <v>477</v>
      </c>
      <c r="C93" s="31"/>
      <c r="D93" s="32" t="s">
        <v>478</v>
      </c>
      <c r="E93" s="200"/>
      <c r="F93" s="43">
        <v>227012252</v>
      </c>
      <c r="G93" s="38"/>
      <c r="H93" s="202"/>
      <c r="I93" s="194"/>
      <c r="J93" s="194"/>
      <c r="K93" s="194"/>
      <c r="L93" s="194"/>
      <c r="M93" s="194"/>
      <c r="N93" s="194"/>
      <c r="O93" s="192"/>
      <c r="P93" s="45" t="s">
        <v>479</v>
      </c>
      <c r="Q93" s="33" t="s">
        <v>86</v>
      </c>
      <c r="R93" s="114"/>
      <c r="S93" s="44"/>
      <c r="T93" s="46"/>
      <c r="U93" s="35" t="s">
        <v>153</v>
      </c>
      <c r="V93" s="47"/>
      <c r="W93" s="46"/>
      <c r="X93" s="194"/>
      <c r="Y93" s="194"/>
      <c r="Z93" s="194"/>
      <c r="AA93" s="194"/>
      <c r="AB93" s="220"/>
    </row>
    <row r="94" spans="1:28" ht="18.600000000000001" thickTop="1">
      <c r="A94" s="249" t="s">
        <v>480</v>
      </c>
      <c r="B94" s="26">
        <v>42637</v>
      </c>
      <c r="C94" s="27" t="s">
        <v>481</v>
      </c>
      <c r="D94" s="28" t="s">
        <v>482</v>
      </c>
      <c r="E94" s="199"/>
      <c r="F94" s="40" t="s">
        <v>483</v>
      </c>
      <c r="G94" s="37"/>
      <c r="H94" s="201"/>
      <c r="I94" s="193">
        <v>472000</v>
      </c>
      <c r="J94" s="193">
        <v>37760</v>
      </c>
      <c r="K94" s="193"/>
      <c r="L94" s="193">
        <v>15590</v>
      </c>
      <c r="M94" s="193">
        <v>14580</v>
      </c>
      <c r="N94" s="193">
        <f>SUM(I94:M94)</f>
        <v>539930</v>
      </c>
      <c r="O94" s="191">
        <v>300000</v>
      </c>
      <c r="P94" s="60" t="s">
        <v>484</v>
      </c>
      <c r="Q94" s="29" t="s">
        <v>82</v>
      </c>
      <c r="R94" s="115"/>
      <c r="S94" s="61"/>
      <c r="T94" s="50"/>
      <c r="U94" s="30"/>
      <c r="V94" s="51"/>
      <c r="W94" s="52"/>
      <c r="X94" s="193"/>
      <c r="Y94" s="206">
        <f>X94*0.1</f>
        <v>0</v>
      </c>
      <c r="Z94" s="193"/>
      <c r="AA94" s="193">
        <f>SUM(X94:Z94)</f>
        <v>0</v>
      </c>
      <c r="AB94" s="219"/>
    </row>
    <row r="95" spans="1:28" ht="18.600000000000001" thickBot="1">
      <c r="A95" s="250"/>
      <c r="B95" s="31" t="s">
        <v>485</v>
      </c>
      <c r="C95" s="31">
        <v>5049</v>
      </c>
      <c r="D95" s="32" t="s">
        <v>170</v>
      </c>
      <c r="E95" s="200"/>
      <c r="F95" s="43" t="s">
        <v>486</v>
      </c>
      <c r="G95" s="38">
        <v>30492</v>
      </c>
      <c r="H95" s="202"/>
      <c r="I95" s="194"/>
      <c r="J95" s="194"/>
      <c r="K95" s="194"/>
      <c r="L95" s="194"/>
      <c r="M95" s="194"/>
      <c r="N95" s="194"/>
      <c r="O95" s="192"/>
      <c r="P95" s="45" t="s">
        <v>487</v>
      </c>
      <c r="Q95" s="33" t="s">
        <v>86</v>
      </c>
      <c r="R95" s="114"/>
      <c r="S95" s="44"/>
      <c r="T95" s="46"/>
      <c r="U95" s="35"/>
      <c r="V95" s="47"/>
      <c r="W95" s="46"/>
      <c r="X95" s="194"/>
      <c r="Y95" s="194"/>
      <c r="Z95" s="194"/>
      <c r="AA95" s="194"/>
      <c r="AB95" s="220"/>
    </row>
    <row r="96" spans="1:28" ht="18.600000000000001" thickTop="1">
      <c r="A96" s="249" t="s">
        <v>488</v>
      </c>
      <c r="B96" s="26">
        <v>42650</v>
      </c>
      <c r="C96" s="27" t="s">
        <v>489</v>
      </c>
      <c r="D96" s="28" t="s">
        <v>490</v>
      </c>
      <c r="E96" s="199"/>
      <c r="F96" s="40" t="s">
        <v>491</v>
      </c>
      <c r="G96" s="37" t="s">
        <v>492</v>
      </c>
      <c r="H96" s="201"/>
      <c r="I96" s="193">
        <v>560000</v>
      </c>
      <c r="J96" s="193">
        <v>44800</v>
      </c>
      <c r="K96" s="193">
        <v>18900</v>
      </c>
      <c r="L96" s="193">
        <v>10890</v>
      </c>
      <c r="M96" s="193">
        <v>12960</v>
      </c>
      <c r="N96" s="193">
        <f>SUM(I96:M96)</f>
        <v>647550</v>
      </c>
      <c r="O96" s="191">
        <v>200000</v>
      </c>
      <c r="P96" s="60" t="s">
        <v>493</v>
      </c>
      <c r="Q96" s="29" t="s">
        <v>82</v>
      </c>
      <c r="R96" s="115"/>
      <c r="S96" s="61"/>
      <c r="T96" s="50"/>
      <c r="U96" s="30"/>
      <c r="V96" s="51"/>
      <c r="W96" s="52"/>
      <c r="X96" s="193"/>
      <c r="Y96" s="206">
        <f>X96*0.1</f>
        <v>0</v>
      </c>
      <c r="Z96" s="193"/>
      <c r="AA96" s="193">
        <f>SUM(X96:Z96)</f>
        <v>0</v>
      </c>
      <c r="AB96" s="219"/>
    </row>
    <row r="97" spans="1:28" ht="18.600000000000001" thickBot="1">
      <c r="A97" s="250"/>
      <c r="B97" s="31" t="s">
        <v>120</v>
      </c>
      <c r="C97" s="31">
        <v>58027</v>
      </c>
      <c r="D97" s="32" t="s">
        <v>198</v>
      </c>
      <c r="E97" s="200"/>
      <c r="F97" s="43" t="s">
        <v>494</v>
      </c>
      <c r="G97" s="38">
        <v>78705</v>
      </c>
      <c r="H97" s="202"/>
      <c r="I97" s="194"/>
      <c r="J97" s="194"/>
      <c r="K97" s="194"/>
      <c r="L97" s="194"/>
      <c r="M97" s="194"/>
      <c r="N97" s="194"/>
      <c r="O97" s="192"/>
      <c r="P97" s="45" t="s">
        <v>495</v>
      </c>
      <c r="Q97" s="33" t="s">
        <v>86</v>
      </c>
      <c r="R97" s="114"/>
      <c r="S97" s="44" t="s">
        <v>496</v>
      </c>
      <c r="T97" s="46"/>
      <c r="U97" s="35" t="s">
        <v>153</v>
      </c>
      <c r="V97" s="47"/>
      <c r="W97" s="46"/>
      <c r="X97" s="194"/>
      <c r="Y97" s="194"/>
      <c r="Z97" s="194"/>
      <c r="AA97" s="194"/>
      <c r="AB97" s="220"/>
    </row>
    <row r="98" spans="1:28" ht="18.600000000000001" thickTop="1">
      <c r="A98" s="249" t="s">
        <v>497</v>
      </c>
      <c r="B98" s="26">
        <v>42672</v>
      </c>
      <c r="C98" s="27" t="s">
        <v>498</v>
      </c>
      <c r="D98" s="28" t="s">
        <v>499</v>
      </c>
      <c r="E98" s="199"/>
      <c r="F98" s="40" t="s">
        <v>500</v>
      </c>
      <c r="G98" s="37" t="s">
        <v>443</v>
      </c>
      <c r="H98" s="201"/>
      <c r="I98" s="193">
        <v>645000</v>
      </c>
      <c r="J98" s="193">
        <v>51600</v>
      </c>
      <c r="K98" s="193">
        <v>15000</v>
      </c>
      <c r="L98" s="193">
        <v>5070</v>
      </c>
      <c r="M98" s="193">
        <v>9720</v>
      </c>
      <c r="N98" s="193">
        <f>SUM(I98:M98)</f>
        <v>726390</v>
      </c>
      <c r="O98" s="191">
        <v>350000</v>
      </c>
      <c r="P98" s="60" t="s">
        <v>501</v>
      </c>
      <c r="Q98" s="29" t="s">
        <v>82</v>
      </c>
      <c r="R98" s="115"/>
      <c r="S98" s="61"/>
      <c r="T98" s="50"/>
      <c r="U98" s="30"/>
      <c r="V98" s="51"/>
      <c r="W98" s="52"/>
      <c r="X98" s="193"/>
      <c r="Y98" s="206">
        <f>X98*0.1</f>
        <v>0</v>
      </c>
      <c r="Z98" s="193"/>
      <c r="AA98" s="193">
        <f>SUM(X98:Z98)</f>
        <v>0</v>
      </c>
      <c r="AB98" s="219"/>
    </row>
    <row r="99" spans="1:28" ht="18.600000000000001" thickBot="1">
      <c r="A99" s="250"/>
      <c r="B99" s="31" t="s">
        <v>148</v>
      </c>
      <c r="C99" s="31">
        <v>33081</v>
      </c>
      <c r="D99" s="32" t="s">
        <v>101</v>
      </c>
      <c r="E99" s="200"/>
      <c r="F99" s="43" t="s">
        <v>502</v>
      </c>
      <c r="G99" s="38">
        <v>45980</v>
      </c>
      <c r="H99" s="202"/>
      <c r="I99" s="194"/>
      <c r="J99" s="194"/>
      <c r="K99" s="194"/>
      <c r="L99" s="194"/>
      <c r="M99" s="194"/>
      <c r="N99" s="194"/>
      <c r="O99" s="192"/>
      <c r="P99" s="45" t="s">
        <v>503</v>
      </c>
      <c r="Q99" s="33" t="s">
        <v>86</v>
      </c>
      <c r="R99" s="114"/>
      <c r="S99" s="44" t="s">
        <v>102</v>
      </c>
      <c r="T99" s="46"/>
      <c r="U99" s="35"/>
      <c r="V99" s="47"/>
      <c r="W99" s="46"/>
      <c r="X99" s="194"/>
      <c r="Y99" s="194"/>
      <c r="Z99" s="194"/>
      <c r="AA99" s="194"/>
      <c r="AB99" s="220"/>
    </row>
    <row r="100" spans="1:28" ht="18.600000000000001" thickTop="1">
      <c r="A100" s="249" t="s">
        <v>504</v>
      </c>
      <c r="B100" s="26">
        <v>42693</v>
      </c>
      <c r="C100" s="27" t="s">
        <v>505</v>
      </c>
      <c r="D100" s="28" t="s">
        <v>506</v>
      </c>
      <c r="E100" s="199"/>
      <c r="F100" s="40" t="s">
        <v>507</v>
      </c>
      <c r="G100" s="37"/>
      <c r="H100" s="201"/>
      <c r="I100" s="193">
        <v>230000</v>
      </c>
      <c r="J100" s="193">
        <v>18400</v>
      </c>
      <c r="K100" s="193"/>
      <c r="L100" s="193">
        <v>8400</v>
      </c>
      <c r="M100" s="193">
        <v>9720</v>
      </c>
      <c r="N100" s="193">
        <f>SUM(I100:M100)</f>
        <v>266520</v>
      </c>
      <c r="O100" s="191">
        <v>40000</v>
      </c>
      <c r="P100" s="60" t="s">
        <v>508</v>
      </c>
      <c r="Q100" s="29" t="s">
        <v>82</v>
      </c>
      <c r="R100" s="115"/>
      <c r="S100" s="61"/>
      <c r="T100" s="50" t="s">
        <v>509</v>
      </c>
      <c r="U100" s="30"/>
      <c r="V100" s="51"/>
      <c r="W100" s="52"/>
      <c r="X100" s="193"/>
      <c r="Y100" s="206">
        <f>X100*0.1</f>
        <v>0</v>
      </c>
      <c r="Z100" s="193"/>
      <c r="AA100" s="193">
        <f>SUM(X100:Z100)</f>
        <v>0</v>
      </c>
      <c r="AB100" s="219"/>
    </row>
    <row r="101" spans="1:28" ht="18.600000000000001" thickBot="1">
      <c r="A101" s="250"/>
      <c r="B101" s="31" t="s">
        <v>148</v>
      </c>
      <c r="C101" s="31">
        <v>33131</v>
      </c>
      <c r="D101" s="32" t="s">
        <v>510</v>
      </c>
      <c r="E101" s="200"/>
      <c r="F101" s="43" t="s">
        <v>511</v>
      </c>
      <c r="G101" s="38">
        <v>31808</v>
      </c>
      <c r="H101" s="202"/>
      <c r="I101" s="194"/>
      <c r="J101" s="194"/>
      <c r="K101" s="194"/>
      <c r="L101" s="194"/>
      <c r="M101" s="194"/>
      <c r="N101" s="194"/>
      <c r="O101" s="192"/>
      <c r="P101" s="45" t="s">
        <v>512</v>
      </c>
      <c r="Q101" s="33" t="s">
        <v>86</v>
      </c>
      <c r="R101" s="114"/>
      <c r="S101" s="44"/>
      <c r="T101" s="46"/>
      <c r="U101" s="35"/>
      <c r="V101" s="47"/>
      <c r="W101" s="46"/>
      <c r="X101" s="194"/>
      <c r="Y101" s="194"/>
      <c r="Z101" s="194"/>
      <c r="AA101" s="194"/>
      <c r="AB101" s="220"/>
    </row>
    <row r="102" spans="1:28" ht="18.600000000000001" thickTop="1">
      <c r="A102" s="249" t="s">
        <v>522</v>
      </c>
      <c r="B102" s="121">
        <v>42768</v>
      </c>
      <c r="C102" s="122"/>
      <c r="D102" s="123" t="s">
        <v>523</v>
      </c>
      <c r="E102" s="199" t="s">
        <v>282</v>
      </c>
      <c r="F102" s="124" t="s">
        <v>524</v>
      </c>
      <c r="G102" s="125" t="s">
        <v>525</v>
      </c>
      <c r="H102" s="201"/>
      <c r="I102" s="193">
        <v>10600000</v>
      </c>
      <c r="J102" s="193"/>
      <c r="K102" s="193"/>
      <c r="L102" s="193"/>
      <c r="M102" s="193"/>
      <c r="N102" s="193">
        <f>SUM(I102:M103)</f>
        <v>10600000</v>
      </c>
      <c r="O102" s="191"/>
      <c r="P102" s="53" t="s">
        <v>526</v>
      </c>
      <c r="Q102" s="29" t="s">
        <v>82</v>
      </c>
      <c r="R102" s="115"/>
      <c r="S102" s="61"/>
      <c r="T102" s="49" t="s">
        <v>527</v>
      </c>
      <c r="U102" s="30" t="s">
        <v>528</v>
      </c>
      <c r="V102" s="51"/>
      <c r="W102" s="52"/>
      <c r="X102" s="193"/>
      <c r="Y102" s="206">
        <f>X102*0.1</f>
        <v>0</v>
      </c>
      <c r="Z102" s="193"/>
      <c r="AA102" s="193">
        <f>SUM(X102:Z102)</f>
        <v>0</v>
      </c>
      <c r="AB102" s="219"/>
    </row>
    <row r="103" spans="1:28" ht="18.600000000000001" thickBot="1">
      <c r="A103" s="250"/>
      <c r="B103" s="126" t="s">
        <v>529</v>
      </c>
      <c r="C103" s="126"/>
      <c r="D103" s="126" t="s">
        <v>101</v>
      </c>
      <c r="E103" s="200"/>
      <c r="F103" s="127" t="s">
        <v>530</v>
      </c>
      <c r="G103" s="128"/>
      <c r="H103" s="202"/>
      <c r="I103" s="194"/>
      <c r="J103" s="194"/>
      <c r="K103" s="194"/>
      <c r="L103" s="194"/>
      <c r="M103" s="194"/>
      <c r="N103" s="194"/>
      <c r="O103" s="192"/>
      <c r="P103" s="126" t="s">
        <v>531</v>
      </c>
      <c r="Q103" s="33" t="s">
        <v>86</v>
      </c>
      <c r="R103" s="114"/>
      <c r="S103" s="44"/>
      <c r="T103" s="45"/>
      <c r="U103" s="118"/>
      <c r="V103" s="47"/>
      <c r="W103" s="31"/>
      <c r="X103" s="194"/>
      <c r="Y103" s="194"/>
      <c r="Z103" s="194"/>
      <c r="AA103" s="194"/>
      <c r="AB103" s="220"/>
    </row>
    <row r="104" spans="1:28" ht="18.600000000000001" thickTop="1">
      <c r="A104" s="249" t="s">
        <v>532</v>
      </c>
      <c r="B104" s="26">
        <v>42775</v>
      </c>
      <c r="C104" s="27" t="s">
        <v>533</v>
      </c>
      <c r="D104" s="28" t="s">
        <v>534</v>
      </c>
      <c r="E104" s="199"/>
      <c r="F104" s="40" t="s">
        <v>535</v>
      </c>
      <c r="G104" s="37" t="s">
        <v>516</v>
      </c>
      <c r="H104" s="201"/>
      <c r="I104" s="193">
        <v>515000</v>
      </c>
      <c r="J104" s="193">
        <v>41200</v>
      </c>
      <c r="K104" s="193">
        <v>5500</v>
      </c>
      <c r="L104" s="193">
        <v>15590</v>
      </c>
      <c r="M104" s="193">
        <v>12960</v>
      </c>
      <c r="N104" s="193">
        <f>SUM(I104:M104)</f>
        <v>590250</v>
      </c>
      <c r="O104" s="191">
        <v>300000</v>
      </c>
      <c r="P104" s="60" t="s">
        <v>536</v>
      </c>
      <c r="Q104" s="29" t="s">
        <v>82</v>
      </c>
      <c r="R104" s="115"/>
      <c r="S104" s="61"/>
      <c r="T104" s="50"/>
      <c r="U104" s="30"/>
      <c r="V104" s="51"/>
      <c r="W104" s="52"/>
      <c r="X104" s="193"/>
      <c r="Y104" s="206">
        <f>X104*0.1</f>
        <v>0</v>
      </c>
      <c r="Z104" s="193"/>
      <c r="AA104" s="193">
        <f>SUM(X104:Z104)</f>
        <v>0</v>
      </c>
      <c r="AB104" s="219"/>
    </row>
    <row r="105" spans="1:28" ht="18.600000000000001" thickBot="1">
      <c r="A105" s="250"/>
      <c r="B105" s="31" t="s">
        <v>261</v>
      </c>
      <c r="C105" s="31">
        <v>75182</v>
      </c>
      <c r="D105" s="32" t="s">
        <v>170</v>
      </c>
      <c r="E105" s="200"/>
      <c r="F105" s="43" t="s">
        <v>537</v>
      </c>
      <c r="G105" s="38">
        <v>52324</v>
      </c>
      <c r="H105" s="202"/>
      <c r="I105" s="194"/>
      <c r="J105" s="194"/>
      <c r="K105" s="194"/>
      <c r="L105" s="194"/>
      <c r="M105" s="194"/>
      <c r="N105" s="194"/>
      <c r="O105" s="192"/>
      <c r="P105" s="45" t="s">
        <v>538</v>
      </c>
      <c r="Q105" s="33" t="s">
        <v>86</v>
      </c>
      <c r="R105" s="114"/>
      <c r="S105" s="44" t="s">
        <v>539</v>
      </c>
      <c r="T105" s="46"/>
      <c r="U105" s="35" t="s">
        <v>153</v>
      </c>
      <c r="V105" s="47"/>
      <c r="W105" s="46"/>
      <c r="X105" s="194"/>
      <c r="Y105" s="194"/>
      <c r="Z105" s="194"/>
      <c r="AA105" s="194"/>
      <c r="AB105" s="220"/>
    </row>
    <row r="106" spans="1:28" ht="18.600000000000001" thickTop="1">
      <c r="A106" s="249" t="s">
        <v>540</v>
      </c>
      <c r="B106" s="26">
        <v>42777</v>
      </c>
      <c r="C106" s="27" t="s">
        <v>448</v>
      </c>
      <c r="D106" s="28" t="s">
        <v>541</v>
      </c>
      <c r="E106" s="199"/>
      <c r="F106" s="40" t="s">
        <v>535</v>
      </c>
      <c r="G106" s="37" t="s">
        <v>542</v>
      </c>
      <c r="H106" s="201"/>
      <c r="I106" s="193">
        <v>365000</v>
      </c>
      <c r="J106" s="193">
        <v>29200</v>
      </c>
      <c r="K106" s="193">
        <v>5500</v>
      </c>
      <c r="L106" s="193">
        <v>15590</v>
      </c>
      <c r="M106" s="193">
        <v>11880</v>
      </c>
      <c r="N106" s="193">
        <f>SUM(I106:M106)</f>
        <v>427170</v>
      </c>
      <c r="O106" s="191">
        <v>400000</v>
      </c>
      <c r="P106" s="60" t="s">
        <v>543</v>
      </c>
      <c r="Q106" s="29" t="s">
        <v>82</v>
      </c>
      <c r="R106" s="115"/>
      <c r="S106" s="61"/>
      <c r="T106" s="50"/>
      <c r="U106" s="30"/>
      <c r="V106" s="51"/>
      <c r="W106" s="52"/>
      <c r="X106" s="193"/>
      <c r="Y106" s="206">
        <f>X106*0.1</f>
        <v>0</v>
      </c>
      <c r="Z106" s="193"/>
      <c r="AA106" s="193">
        <f>SUM(X106:Z106)</f>
        <v>0</v>
      </c>
      <c r="AB106" s="219"/>
    </row>
    <row r="107" spans="1:28" ht="18.600000000000001" thickBot="1">
      <c r="A107" s="250"/>
      <c r="B107" s="31" t="s">
        <v>148</v>
      </c>
      <c r="C107" s="31">
        <v>84076</v>
      </c>
      <c r="D107" s="32" t="s">
        <v>170</v>
      </c>
      <c r="E107" s="200"/>
      <c r="F107" s="43" t="s">
        <v>544</v>
      </c>
      <c r="G107" s="38">
        <v>60616</v>
      </c>
      <c r="H107" s="202"/>
      <c r="I107" s="194"/>
      <c r="J107" s="194"/>
      <c r="K107" s="194"/>
      <c r="L107" s="194"/>
      <c r="M107" s="194"/>
      <c r="N107" s="194"/>
      <c r="O107" s="192"/>
      <c r="P107" s="45" t="s">
        <v>545</v>
      </c>
      <c r="Q107" s="33" t="s">
        <v>86</v>
      </c>
      <c r="R107" s="114"/>
      <c r="S107" s="44" t="s">
        <v>546</v>
      </c>
      <c r="T107" s="46"/>
      <c r="U107" s="35" t="s">
        <v>153</v>
      </c>
      <c r="V107" s="47"/>
      <c r="W107" s="46"/>
      <c r="X107" s="194"/>
      <c r="Y107" s="194"/>
      <c r="Z107" s="194"/>
      <c r="AA107" s="194"/>
      <c r="AB107" s="220"/>
    </row>
    <row r="108" spans="1:28" ht="18.600000000000001" thickTop="1">
      <c r="A108" s="249" t="s">
        <v>547</v>
      </c>
      <c r="B108" s="26">
        <v>42796</v>
      </c>
      <c r="C108" s="27" t="s">
        <v>548</v>
      </c>
      <c r="D108" s="28" t="s">
        <v>549</v>
      </c>
      <c r="E108" s="199"/>
      <c r="F108" s="40" t="s">
        <v>550</v>
      </c>
      <c r="G108" s="37"/>
      <c r="H108" s="201"/>
      <c r="I108" s="193">
        <v>1206000</v>
      </c>
      <c r="J108" s="193">
        <v>96480</v>
      </c>
      <c r="K108" s="193"/>
      <c r="L108" s="193">
        <v>15600</v>
      </c>
      <c r="M108" s="193">
        <v>14040</v>
      </c>
      <c r="N108" s="193">
        <f>SUM(I108:M108)</f>
        <v>1332120</v>
      </c>
      <c r="O108" s="191">
        <v>600000</v>
      </c>
      <c r="P108" s="60" t="s">
        <v>551</v>
      </c>
      <c r="Q108" s="29" t="s">
        <v>82</v>
      </c>
      <c r="R108" s="115"/>
      <c r="S108" s="61"/>
      <c r="T108" s="50"/>
      <c r="U108" s="30"/>
      <c r="V108" s="51"/>
      <c r="W108" s="52"/>
      <c r="X108" s="193"/>
      <c r="Y108" s="206">
        <f>X108*0.1</f>
        <v>0</v>
      </c>
      <c r="Z108" s="193"/>
      <c r="AA108" s="193">
        <f>SUM(X108:Z108)</f>
        <v>0</v>
      </c>
      <c r="AB108" s="219"/>
    </row>
    <row r="109" spans="1:28" ht="18.600000000000001" thickBot="1">
      <c r="A109" s="250"/>
      <c r="B109" s="31" t="s">
        <v>364</v>
      </c>
      <c r="C109" s="31">
        <v>80110</v>
      </c>
      <c r="D109" s="32" t="s">
        <v>310</v>
      </c>
      <c r="E109" s="200"/>
      <c r="F109" s="43" t="s">
        <v>552</v>
      </c>
      <c r="G109" s="38">
        <v>46500</v>
      </c>
      <c r="H109" s="202"/>
      <c r="I109" s="194"/>
      <c r="J109" s="194"/>
      <c r="K109" s="194"/>
      <c r="L109" s="194"/>
      <c r="M109" s="194"/>
      <c r="N109" s="194"/>
      <c r="O109" s="192"/>
      <c r="P109" s="45" t="s">
        <v>553</v>
      </c>
      <c r="Q109" s="33" t="s">
        <v>86</v>
      </c>
      <c r="R109" s="114"/>
      <c r="S109" s="44" t="s">
        <v>102</v>
      </c>
      <c r="T109" s="46"/>
      <c r="U109" s="35"/>
      <c r="V109" s="47"/>
      <c r="W109" s="46"/>
      <c r="X109" s="194"/>
      <c r="Y109" s="194"/>
      <c r="Z109" s="194"/>
      <c r="AA109" s="194"/>
      <c r="AB109" s="220"/>
    </row>
    <row r="110" spans="1:28" ht="18.600000000000001" thickTop="1">
      <c r="A110" s="249" t="s">
        <v>554</v>
      </c>
      <c r="B110" s="26">
        <v>42804</v>
      </c>
      <c r="C110" s="27" t="s">
        <v>555</v>
      </c>
      <c r="D110" s="28" t="s">
        <v>556</v>
      </c>
      <c r="E110" s="199"/>
      <c r="F110" s="40" t="s">
        <v>557</v>
      </c>
      <c r="G110" s="37"/>
      <c r="H110" s="201"/>
      <c r="I110" s="193">
        <v>1245000</v>
      </c>
      <c r="J110" s="193">
        <v>99600</v>
      </c>
      <c r="K110" s="193"/>
      <c r="L110" s="193">
        <v>18990</v>
      </c>
      <c r="M110" s="193">
        <v>12960</v>
      </c>
      <c r="N110" s="193">
        <f>SUM(I110:M110)</f>
        <v>1376550</v>
      </c>
      <c r="O110" s="191">
        <v>400000</v>
      </c>
      <c r="P110" s="60" t="s">
        <v>558</v>
      </c>
      <c r="Q110" s="29" t="s">
        <v>82</v>
      </c>
      <c r="R110" s="115"/>
      <c r="S110" s="61"/>
      <c r="T110" s="50"/>
      <c r="U110" s="30"/>
      <c r="V110" s="51"/>
      <c r="W110" s="52"/>
      <c r="X110" s="193"/>
      <c r="Y110" s="206">
        <f>X110*0.1</f>
        <v>0</v>
      </c>
      <c r="Z110" s="193"/>
      <c r="AA110" s="193">
        <f>SUM(X110:Z110)</f>
        <v>0</v>
      </c>
      <c r="AB110" s="219"/>
    </row>
    <row r="111" spans="1:28" ht="18.600000000000001" thickBot="1">
      <c r="A111" s="250"/>
      <c r="B111" s="31" t="s">
        <v>120</v>
      </c>
      <c r="C111" s="31">
        <v>58328</v>
      </c>
      <c r="D111" s="32" t="s">
        <v>170</v>
      </c>
      <c r="E111" s="200"/>
      <c r="F111" s="43" t="s">
        <v>559</v>
      </c>
      <c r="G111" s="38">
        <v>49734</v>
      </c>
      <c r="H111" s="202"/>
      <c r="I111" s="194"/>
      <c r="J111" s="194"/>
      <c r="K111" s="194"/>
      <c r="L111" s="194"/>
      <c r="M111" s="194"/>
      <c r="N111" s="194"/>
      <c r="O111" s="192"/>
      <c r="P111" s="45" t="s">
        <v>560</v>
      </c>
      <c r="Q111" s="33" t="s">
        <v>86</v>
      </c>
      <c r="R111" s="114"/>
      <c r="S111" s="44" t="s">
        <v>561</v>
      </c>
      <c r="T111" s="46"/>
      <c r="U111" s="35"/>
      <c r="V111" s="47"/>
      <c r="W111" s="46"/>
      <c r="X111" s="194"/>
      <c r="Y111" s="194"/>
      <c r="Z111" s="194"/>
      <c r="AA111" s="194"/>
      <c r="AB111" s="220"/>
    </row>
    <row r="112" spans="1:28" ht="18.600000000000001" thickTop="1">
      <c r="A112" s="249" t="s">
        <v>562</v>
      </c>
      <c r="B112" s="26">
        <v>42817</v>
      </c>
      <c r="C112" s="116" t="s">
        <v>563</v>
      </c>
      <c r="D112" s="28" t="s">
        <v>330</v>
      </c>
      <c r="E112" s="199"/>
      <c r="F112" s="54" t="s">
        <v>564</v>
      </c>
      <c r="G112" s="37"/>
      <c r="H112" s="201"/>
      <c r="I112" s="193">
        <v>353000</v>
      </c>
      <c r="J112" s="193">
        <v>28240</v>
      </c>
      <c r="K112" s="193"/>
      <c r="L112" s="193">
        <v>16040</v>
      </c>
      <c r="M112" s="193">
        <v>15120</v>
      </c>
      <c r="N112" s="193">
        <f>SUM(I112:M112)</f>
        <v>412400</v>
      </c>
      <c r="O112" s="191">
        <v>100000</v>
      </c>
      <c r="P112" s="60" t="s">
        <v>565</v>
      </c>
      <c r="Q112" s="29" t="s">
        <v>82</v>
      </c>
      <c r="R112" s="115"/>
      <c r="S112" s="61"/>
      <c r="T112" s="50"/>
      <c r="U112" s="30"/>
      <c r="V112" s="51"/>
      <c r="W112" s="52"/>
      <c r="X112" s="193"/>
      <c r="Y112" s="206">
        <f>X112*0.1</f>
        <v>0</v>
      </c>
      <c r="Z112" s="193"/>
      <c r="AA112" s="193">
        <f>SUM(X112:Z112)</f>
        <v>0</v>
      </c>
      <c r="AB112" s="219"/>
    </row>
    <row r="113" spans="1:28" ht="18.600000000000001" thickBot="1">
      <c r="A113" s="250"/>
      <c r="B113" s="31" t="s">
        <v>364</v>
      </c>
      <c r="C113" s="31">
        <v>80094</v>
      </c>
      <c r="D113" s="32" t="s">
        <v>566</v>
      </c>
      <c r="E113" s="200"/>
      <c r="F113" s="43" t="s">
        <v>567</v>
      </c>
      <c r="G113" s="38">
        <v>40859</v>
      </c>
      <c r="H113" s="202"/>
      <c r="I113" s="194"/>
      <c r="J113" s="194"/>
      <c r="K113" s="194"/>
      <c r="L113" s="194"/>
      <c r="M113" s="194"/>
      <c r="N113" s="194"/>
      <c r="O113" s="192"/>
      <c r="P113" s="45" t="s">
        <v>568</v>
      </c>
      <c r="Q113" s="33" t="s">
        <v>86</v>
      </c>
      <c r="R113" s="114"/>
      <c r="S113" s="44" t="s">
        <v>409</v>
      </c>
      <c r="T113" s="46"/>
      <c r="U113" s="35"/>
      <c r="V113" s="47"/>
      <c r="W113" s="46"/>
      <c r="X113" s="194"/>
      <c r="Y113" s="194"/>
      <c r="Z113" s="194"/>
      <c r="AA113" s="194"/>
      <c r="AB113" s="220"/>
    </row>
    <row r="114" spans="1:28" ht="18.600000000000001" thickTop="1">
      <c r="A114" s="249" t="s">
        <v>569</v>
      </c>
      <c r="B114" s="26">
        <v>42865</v>
      </c>
      <c r="C114" s="27" t="s">
        <v>570</v>
      </c>
      <c r="D114" s="28" t="s">
        <v>571</v>
      </c>
      <c r="E114" s="199"/>
      <c r="F114" s="54" t="s">
        <v>572</v>
      </c>
      <c r="G114" s="37" t="s">
        <v>573</v>
      </c>
      <c r="H114" s="201">
        <v>3</v>
      </c>
      <c r="I114" s="193">
        <v>516000</v>
      </c>
      <c r="J114" s="193">
        <v>41280</v>
      </c>
      <c r="K114" s="193">
        <v>28000</v>
      </c>
      <c r="L114" s="193">
        <v>4450</v>
      </c>
      <c r="M114" s="193">
        <v>10800</v>
      </c>
      <c r="N114" s="193">
        <f>SUM(I114:M114)</f>
        <v>600530</v>
      </c>
      <c r="O114" s="191">
        <v>300000</v>
      </c>
      <c r="P114" s="60" t="s">
        <v>574</v>
      </c>
      <c r="Q114" s="29" t="s">
        <v>82</v>
      </c>
      <c r="R114" s="115"/>
      <c r="S114" s="61"/>
      <c r="T114" s="50"/>
      <c r="U114" s="30"/>
      <c r="V114" s="51"/>
      <c r="W114" s="52"/>
      <c r="X114" s="193"/>
      <c r="Y114" s="206">
        <f>X114*0.1</f>
        <v>0</v>
      </c>
      <c r="Z114" s="193"/>
      <c r="AA114" s="193">
        <f>SUM(X114:Z114)</f>
        <v>0</v>
      </c>
      <c r="AB114" s="219"/>
    </row>
    <row r="115" spans="1:28" ht="18.600000000000001" thickBot="1">
      <c r="A115" s="250"/>
      <c r="B115" s="31" t="s">
        <v>575</v>
      </c>
      <c r="C115" s="31">
        <v>7257</v>
      </c>
      <c r="D115" s="32" t="s">
        <v>221</v>
      </c>
      <c r="E115" s="200"/>
      <c r="F115" s="43" t="s">
        <v>576</v>
      </c>
      <c r="G115" s="38">
        <v>37973</v>
      </c>
      <c r="H115" s="202"/>
      <c r="I115" s="194"/>
      <c r="J115" s="194"/>
      <c r="K115" s="194"/>
      <c r="L115" s="194"/>
      <c r="M115" s="194"/>
      <c r="N115" s="194"/>
      <c r="O115" s="192"/>
      <c r="P115" s="45" t="s">
        <v>577</v>
      </c>
      <c r="Q115" s="33" t="s">
        <v>86</v>
      </c>
      <c r="R115" s="39"/>
      <c r="S115" s="44" t="s">
        <v>578</v>
      </c>
      <c r="T115" s="46"/>
      <c r="U115" s="35"/>
      <c r="V115" s="47"/>
      <c r="W115" s="46"/>
      <c r="X115" s="194"/>
      <c r="Y115" s="194"/>
      <c r="Z115" s="194"/>
      <c r="AA115" s="194"/>
      <c r="AB115" s="220"/>
    </row>
    <row r="116" spans="1:28" ht="18.600000000000001" thickTop="1">
      <c r="A116" s="249" t="s">
        <v>579</v>
      </c>
      <c r="B116" s="26">
        <v>42875</v>
      </c>
      <c r="C116" s="27" t="s">
        <v>580</v>
      </c>
      <c r="D116" s="28" t="s">
        <v>581</v>
      </c>
      <c r="E116" s="199"/>
      <c r="F116" s="40" t="s">
        <v>299</v>
      </c>
      <c r="G116" s="37" t="s">
        <v>582</v>
      </c>
      <c r="H116" s="201">
        <v>4</v>
      </c>
      <c r="I116" s="193">
        <v>505000</v>
      </c>
      <c r="J116" s="193">
        <v>40400</v>
      </c>
      <c r="K116" s="193">
        <v>32900</v>
      </c>
      <c r="L116" s="193">
        <v>16190</v>
      </c>
      <c r="M116" s="193">
        <v>13500</v>
      </c>
      <c r="N116" s="193">
        <f>SUM(I116:M116)</f>
        <v>607990</v>
      </c>
      <c r="O116" s="191">
        <v>200000</v>
      </c>
      <c r="P116" s="60" t="s">
        <v>583</v>
      </c>
      <c r="Q116" s="29" t="s">
        <v>82</v>
      </c>
      <c r="R116" s="115"/>
      <c r="S116" s="61"/>
      <c r="T116" s="50"/>
      <c r="U116" s="30"/>
      <c r="V116" s="51"/>
      <c r="W116" s="52"/>
      <c r="X116" s="193"/>
      <c r="Y116" s="206">
        <f>X116*0.1</f>
        <v>0</v>
      </c>
      <c r="Z116" s="193"/>
      <c r="AA116" s="193">
        <f>SUM(X116:Z116)</f>
        <v>0</v>
      </c>
      <c r="AB116" s="219"/>
    </row>
    <row r="117" spans="1:28" ht="18.600000000000001" thickBot="1">
      <c r="A117" s="250"/>
      <c r="B117" s="31" t="s">
        <v>148</v>
      </c>
      <c r="C117" s="31">
        <v>80034</v>
      </c>
      <c r="D117" s="32" t="s">
        <v>584</v>
      </c>
      <c r="E117" s="200"/>
      <c r="F117" s="129" t="s">
        <v>585</v>
      </c>
      <c r="G117" s="38">
        <v>57640</v>
      </c>
      <c r="H117" s="202"/>
      <c r="I117" s="194"/>
      <c r="J117" s="194"/>
      <c r="K117" s="194"/>
      <c r="L117" s="194"/>
      <c r="M117" s="194"/>
      <c r="N117" s="194"/>
      <c r="O117" s="192"/>
      <c r="P117" s="45" t="s">
        <v>586</v>
      </c>
      <c r="Q117" s="33" t="s">
        <v>86</v>
      </c>
      <c r="R117" s="39"/>
      <c r="S117" s="44" t="s">
        <v>587</v>
      </c>
      <c r="T117" s="46"/>
      <c r="U117" s="35"/>
      <c r="V117" s="47"/>
      <c r="W117" s="46"/>
      <c r="X117" s="194"/>
      <c r="Y117" s="194"/>
      <c r="Z117" s="194"/>
      <c r="AA117" s="194"/>
      <c r="AB117" s="220"/>
    </row>
    <row r="118" spans="1:28" ht="18.600000000000001" thickTop="1">
      <c r="A118" s="249" t="s">
        <v>588</v>
      </c>
      <c r="B118" s="26">
        <v>42889</v>
      </c>
      <c r="C118" s="27" t="s">
        <v>589</v>
      </c>
      <c r="D118" s="28" t="s">
        <v>590</v>
      </c>
      <c r="E118" s="199"/>
      <c r="F118" s="40" t="s">
        <v>591</v>
      </c>
      <c r="G118" s="37"/>
      <c r="H118" s="201">
        <v>4</v>
      </c>
      <c r="I118" s="193">
        <v>2680000</v>
      </c>
      <c r="J118" s="193">
        <v>214400</v>
      </c>
      <c r="K118" s="193"/>
      <c r="L118" s="193">
        <v>24810</v>
      </c>
      <c r="M118" s="193">
        <v>10800</v>
      </c>
      <c r="N118" s="193">
        <f>SUM(I118:M118)</f>
        <v>2930010</v>
      </c>
      <c r="O118" s="191">
        <v>1500000</v>
      </c>
      <c r="P118" s="60" t="s">
        <v>592</v>
      </c>
      <c r="Q118" s="29" t="s">
        <v>82</v>
      </c>
      <c r="R118" s="115"/>
      <c r="S118" s="61"/>
      <c r="T118" s="50"/>
      <c r="U118" s="30"/>
      <c r="V118" s="51"/>
      <c r="W118" s="52"/>
      <c r="X118" s="193"/>
      <c r="Y118" s="206">
        <f>X118*0.1</f>
        <v>0</v>
      </c>
      <c r="Z118" s="193"/>
      <c r="AA118" s="193">
        <f>SUM(X118:Z118)</f>
        <v>0</v>
      </c>
      <c r="AB118" s="219"/>
    </row>
    <row r="119" spans="1:28" ht="18.600000000000001" thickBot="1">
      <c r="A119" s="250"/>
      <c r="B119" s="31" t="s">
        <v>148</v>
      </c>
      <c r="C119" s="31">
        <v>80392</v>
      </c>
      <c r="D119" s="32" t="s">
        <v>593</v>
      </c>
      <c r="E119" s="200"/>
      <c r="F119" s="43" t="s">
        <v>594</v>
      </c>
      <c r="G119" s="38">
        <v>53004</v>
      </c>
      <c r="H119" s="202"/>
      <c r="I119" s="194"/>
      <c r="J119" s="194"/>
      <c r="K119" s="194"/>
      <c r="L119" s="194"/>
      <c r="M119" s="194"/>
      <c r="N119" s="194"/>
      <c r="O119" s="192"/>
      <c r="P119" s="45" t="s">
        <v>595</v>
      </c>
      <c r="Q119" s="33" t="s">
        <v>86</v>
      </c>
      <c r="R119" s="39"/>
      <c r="S119" s="44" t="s">
        <v>596</v>
      </c>
      <c r="T119" s="46"/>
      <c r="U119" s="35"/>
      <c r="V119" s="47"/>
      <c r="W119" s="46"/>
      <c r="X119" s="194"/>
      <c r="Y119" s="194"/>
      <c r="Z119" s="194"/>
      <c r="AA119" s="194"/>
      <c r="AB119" s="220"/>
    </row>
    <row r="120" spans="1:28" ht="18.600000000000001" thickTop="1">
      <c r="A120" s="249" t="s">
        <v>597</v>
      </c>
      <c r="B120" s="26">
        <v>42901</v>
      </c>
      <c r="C120" s="27" t="s">
        <v>598</v>
      </c>
      <c r="D120" s="28" t="s">
        <v>599</v>
      </c>
      <c r="E120" s="199"/>
      <c r="F120" s="40" t="s">
        <v>600</v>
      </c>
      <c r="G120" s="37"/>
      <c r="H120" s="201">
        <v>4</v>
      </c>
      <c r="I120" s="193">
        <v>400000</v>
      </c>
      <c r="J120" s="193">
        <v>32000</v>
      </c>
      <c r="K120" s="193"/>
      <c r="L120" s="193">
        <v>15210</v>
      </c>
      <c r="M120" s="193">
        <v>12960</v>
      </c>
      <c r="N120" s="193">
        <f>SUM(I120:M120)</f>
        <v>460170</v>
      </c>
      <c r="O120" s="191">
        <v>150000</v>
      </c>
      <c r="P120" s="60" t="s">
        <v>601</v>
      </c>
      <c r="Q120" s="29" t="s">
        <v>82</v>
      </c>
      <c r="R120" s="115"/>
      <c r="S120" s="61"/>
      <c r="T120" s="50"/>
      <c r="U120" s="30"/>
      <c r="V120" s="51"/>
      <c r="W120" s="52"/>
      <c r="X120" s="193"/>
      <c r="Y120" s="206">
        <f>X120*0.1</f>
        <v>0</v>
      </c>
      <c r="Z120" s="193"/>
      <c r="AA120" s="193">
        <f>SUM(X120:Z120)</f>
        <v>0</v>
      </c>
      <c r="AB120" s="219"/>
    </row>
    <row r="121" spans="1:28" ht="18.600000000000001" thickBot="1">
      <c r="A121" s="250"/>
      <c r="B121" s="31" t="s">
        <v>261</v>
      </c>
      <c r="C121" s="31">
        <v>70054</v>
      </c>
      <c r="D121" s="32" t="s">
        <v>101</v>
      </c>
      <c r="E121" s="200"/>
      <c r="F121" s="43" t="s">
        <v>602</v>
      </c>
      <c r="G121" s="38">
        <v>51510</v>
      </c>
      <c r="H121" s="202"/>
      <c r="I121" s="194"/>
      <c r="J121" s="194"/>
      <c r="K121" s="194"/>
      <c r="L121" s="194"/>
      <c r="M121" s="194"/>
      <c r="N121" s="194"/>
      <c r="O121" s="192"/>
      <c r="P121" s="45" t="s">
        <v>603</v>
      </c>
      <c r="Q121" s="33" t="s">
        <v>86</v>
      </c>
      <c r="R121" s="39"/>
      <c r="S121" s="44" t="s">
        <v>604</v>
      </c>
      <c r="T121" s="46"/>
      <c r="U121" s="35"/>
      <c r="V121" s="47"/>
      <c r="W121" s="46"/>
      <c r="X121" s="194"/>
      <c r="Y121" s="194"/>
      <c r="Z121" s="194"/>
      <c r="AA121" s="194"/>
      <c r="AB121" s="220"/>
    </row>
    <row r="122" spans="1:28" ht="18.600000000000001" thickTop="1">
      <c r="A122" s="249" t="s">
        <v>605</v>
      </c>
      <c r="B122" s="26">
        <v>42927</v>
      </c>
      <c r="C122" s="27" t="s">
        <v>606</v>
      </c>
      <c r="D122" s="28" t="s">
        <v>607</v>
      </c>
      <c r="E122" s="199"/>
      <c r="F122" s="40" t="s">
        <v>608</v>
      </c>
      <c r="G122" s="37" t="s">
        <v>573</v>
      </c>
      <c r="H122" s="201">
        <v>3.5</v>
      </c>
      <c r="I122" s="193">
        <v>875000</v>
      </c>
      <c r="J122" s="193">
        <v>70000</v>
      </c>
      <c r="K122" s="193">
        <v>22600</v>
      </c>
      <c r="L122" s="193">
        <v>4790</v>
      </c>
      <c r="M122" s="193">
        <v>12960</v>
      </c>
      <c r="N122" s="193">
        <f>SUM(I122:M122)</f>
        <v>985350</v>
      </c>
      <c r="O122" s="191">
        <v>600000</v>
      </c>
      <c r="P122" s="60" t="s">
        <v>609</v>
      </c>
      <c r="Q122" s="29" t="s">
        <v>82</v>
      </c>
      <c r="R122" s="115"/>
      <c r="S122" s="61"/>
      <c r="T122" s="50"/>
      <c r="U122" s="30"/>
      <c r="V122" s="51"/>
      <c r="W122" s="52"/>
      <c r="X122" s="193"/>
      <c r="Y122" s="206">
        <f>X122*0.1</f>
        <v>0</v>
      </c>
      <c r="Z122" s="193"/>
      <c r="AA122" s="193">
        <f>SUM(X122:Z122)</f>
        <v>0</v>
      </c>
      <c r="AB122" s="219"/>
    </row>
    <row r="123" spans="1:28" ht="18.600000000000001" thickBot="1">
      <c r="A123" s="250"/>
      <c r="B123" s="31" t="s">
        <v>100</v>
      </c>
      <c r="C123" s="31">
        <v>30225</v>
      </c>
      <c r="D123" s="32" t="s">
        <v>610</v>
      </c>
      <c r="E123" s="200"/>
      <c r="F123" s="43" t="s">
        <v>611</v>
      </c>
      <c r="G123" s="38">
        <v>58625</v>
      </c>
      <c r="H123" s="202"/>
      <c r="I123" s="194"/>
      <c r="J123" s="194"/>
      <c r="K123" s="194"/>
      <c r="L123" s="194"/>
      <c r="M123" s="194"/>
      <c r="N123" s="194"/>
      <c r="O123" s="192"/>
      <c r="P123" s="45" t="s">
        <v>612</v>
      </c>
      <c r="Q123" s="33" t="s">
        <v>86</v>
      </c>
      <c r="R123" s="39"/>
      <c r="S123" s="44" t="s">
        <v>613</v>
      </c>
      <c r="T123" s="46"/>
      <c r="U123" s="35"/>
      <c r="V123" s="47"/>
      <c r="W123" s="46"/>
      <c r="X123" s="194"/>
      <c r="Y123" s="194"/>
      <c r="Z123" s="194"/>
      <c r="AA123" s="194"/>
      <c r="AB123" s="220"/>
    </row>
    <row r="124" spans="1:28" ht="18.600000000000001" thickTop="1">
      <c r="A124" s="249" t="s">
        <v>614</v>
      </c>
      <c r="B124" s="26">
        <v>42991</v>
      </c>
      <c r="C124" s="27" t="s">
        <v>615</v>
      </c>
      <c r="D124" s="28" t="s">
        <v>616</v>
      </c>
      <c r="E124" s="199"/>
      <c r="F124" s="40" t="s">
        <v>617</v>
      </c>
      <c r="G124" s="37"/>
      <c r="H124" s="201">
        <v>3</v>
      </c>
      <c r="I124" s="193">
        <v>615000</v>
      </c>
      <c r="J124" s="193">
        <v>49200</v>
      </c>
      <c r="K124" s="193"/>
      <c r="L124" s="193"/>
      <c r="M124" s="193">
        <v>12960</v>
      </c>
      <c r="N124" s="193">
        <f>SUM(I124:M124)</f>
        <v>677160</v>
      </c>
      <c r="O124" s="191">
        <v>350000</v>
      </c>
      <c r="P124" s="60" t="s">
        <v>618</v>
      </c>
      <c r="Q124" s="29" t="s">
        <v>82</v>
      </c>
      <c r="R124" s="81"/>
      <c r="S124" s="48"/>
      <c r="T124" s="50"/>
      <c r="U124" s="30"/>
      <c r="V124" s="51"/>
      <c r="W124" s="52"/>
      <c r="X124" s="193"/>
      <c r="Y124" s="206">
        <f>X124*0.1</f>
        <v>0</v>
      </c>
      <c r="Z124" s="193"/>
      <c r="AA124" s="193">
        <f>SUM(X124:Z124)</f>
        <v>0</v>
      </c>
      <c r="AB124" s="219"/>
    </row>
    <row r="125" spans="1:28" ht="18.600000000000001" thickBot="1">
      <c r="A125" s="250"/>
      <c r="B125" s="31" t="s">
        <v>381</v>
      </c>
      <c r="C125" s="31">
        <v>6067</v>
      </c>
      <c r="D125" s="32" t="s">
        <v>325</v>
      </c>
      <c r="E125" s="200"/>
      <c r="F125" s="43" t="s">
        <v>619</v>
      </c>
      <c r="G125" s="38">
        <v>50187</v>
      </c>
      <c r="H125" s="202"/>
      <c r="I125" s="194"/>
      <c r="J125" s="194"/>
      <c r="K125" s="194"/>
      <c r="L125" s="194"/>
      <c r="M125" s="194"/>
      <c r="N125" s="194"/>
      <c r="O125" s="192"/>
      <c r="P125" s="45" t="s">
        <v>620</v>
      </c>
      <c r="Q125" s="33" t="s">
        <v>86</v>
      </c>
      <c r="R125" s="34" t="s">
        <v>621</v>
      </c>
      <c r="S125" s="44"/>
      <c r="T125" s="46"/>
      <c r="U125" s="35"/>
      <c r="V125" s="47"/>
      <c r="W125" s="46"/>
      <c r="X125" s="194"/>
      <c r="Y125" s="194"/>
      <c r="Z125" s="194"/>
      <c r="AA125" s="194"/>
      <c r="AB125" s="220"/>
    </row>
    <row r="126" spans="1:28" ht="18.600000000000001" thickTop="1">
      <c r="A126" s="249" t="s">
        <v>622</v>
      </c>
      <c r="B126" s="26">
        <v>43007</v>
      </c>
      <c r="C126" s="27" t="s">
        <v>623</v>
      </c>
      <c r="D126" s="28" t="s">
        <v>624</v>
      </c>
      <c r="E126" s="199"/>
      <c r="F126" s="40" t="s">
        <v>625</v>
      </c>
      <c r="G126" s="37"/>
      <c r="H126" s="201">
        <v>4</v>
      </c>
      <c r="I126" s="193">
        <v>405000</v>
      </c>
      <c r="J126" s="193">
        <v>32400</v>
      </c>
      <c r="K126" s="193"/>
      <c r="L126" s="193">
        <v>16090</v>
      </c>
      <c r="M126" s="193">
        <v>12960</v>
      </c>
      <c r="N126" s="193">
        <f>SUM(I126:M126)</f>
        <v>466450</v>
      </c>
      <c r="O126" s="191">
        <v>150000</v>
      </c>
      <c r="P126" s="60" t="s">
        <v>626</v>
      </c>
      <c r="Q126" s="29" t="s">
        <v>82</v>
      </c>
      <c r="R126" s="81"/>
      <c r="S126" s="48"/>
      <c r="T126" s="50"/>
      <c r="U126" s="30"/>
      <c r="V126" s="51"/>
      <c r="W126" s="52"/>
      <c r="X126" s="193"/>
      <c r="Y126" s="206">
        <f>X126*0.1</f>
        <v>0</v>
      </c>
      <c r="Z126" s="193"/>
      <c r="AA126" s="193">
        <f>SUM(X126:Z126)</f>
        <v>0</v>
      </c>
      <c r="AB126" s="219"/>
    </row>
    <row r="127" spans="1:28" ht="18.600000000000001" thickBot="1">
      <c r="A127" s="250"/>
      <c r="B127" s="31" t="s">
        <v>120</v>
      </c>
      <c r="C127" s="31">
        <v>20164</v>
      </c>
      <c r="D127" s="32" t="s">
        <v>627</v>
      </c>
      <c r="E127" s="200"/>
      <c r="F127" s="43" t="s">
        <v>628</v>
      </c>
      <c r="G127" s="38">
        <v>67118</v>
      </c>
      <c r="H127" s="202"/>
      <c r="I127" s="194"/>
      <c r="J127" s="194"/>
      <c r="K127" s="194"/>
      <c r="L127" s="194"/>
      <c r="M127" s="194"/>
      <c r="N127" s="194"/>
      <c r="O127" s="192"/>
      <c r="P127" s="45" t="s">
        <v>629</v>
      </c>
      <c r="Q127" s="33" t="s">
        <v>86</v>
      </c>
      <c r="R127" s="34" t="s">
        <v>630</v>
      </c>
      <c r="S127" s="44"/>
      <c r="T127" s="46"/>
      <c r="U127" s="35"/>
      <c r="V127" s="47"/>
      <c r="W127" s="46"/>
      <c r="X127" s="194"/>
      <c r="Y127" s="194"/>
      <c r="Z127" s="194"/>
      <c r="AA127" s="194"/>
      <c r="AB127" s="220"/>
    </row>
    <row r="128" spans="1:28" ht="18.600000000000001" thickTop="1">
      <c r="A128" s="249" t="s">
        <v>631</v>
      </c>
      <c r="B128" s="26">
        <v>43022</v>
      </c>
      <c r="C128" s="27" t="s">
        <v>632</v>
      </c>
      <c r="D128" s="28" t="s">
        <v>633</v>
      </c>
      <c r="E128" s="199"/>
      <c r="F128" s="40" t="s">
        <v>299</v>
      </c>
      <c r="G128" s="37" t="s">
        <v>582</v>
      </c>
      <c r="H128" s="201">
        <v>4.5</v>
      </c>
      <c r="I128" s="193">
        <v>2150000</v>
      </c>
      <c r="J128" s="193">
        <v>172000</v>
      </c>
      <c r="K128" s="193">
        <v>16400</v>
      </c>
      <c r="L128" s="193">
        <v>18960</v>
      </c>
      <c r="M128" s="193">
        <v>11880</v>
      </c>
      <c r="N128" s="193">
        <f>SUM(I128:M128)</f>
        <v>2369240</v>
      </c>
      <c r="O128" s="191">
        <v>1400000</v>
      </c>
      <c r="P128" s="60" t="s">
        <v>634</v>
      </c>
      <c r="Q128" s="29" t="s">
        <v>82</v>
      </c>
      <c r="R128" s="81"/>
      <c r="S128" s="48" t="s">
        <v>635</v>
      </c>
      <c r="T128" s="50"/>
      <c r="U128" s="30"/>
      <c r="V128" s="51"/>
      <c r="W128" s="52"/>
      <c r="X128" s="193"/>
      <c r="Y128" s="206">
        <f>X128*0.1</f>
        <v>0</v>
      </c>
      <c r="Z128" s="193"/>
      <c r="AA128" s="193">
        <f>SUM(X128:Z128)</f>
        <v>0</v>
      </c>
      <c r="AB128" s="219"/>
    </row>
    <row r="129" spans="1:28" ht="18.600000000000001" thickBot="1">
      <c r="A129" s="250"/>
      <c r="B129" s="31" t="s">
        <v>148</v>
      </c>
      <c r="C129" s="31">
        <v>85345</v>
      </c>
      <c r="D129" s="32" t="s">
        <v>636</v>
      </c>
      <c r="E129" s="200"/>
      <c r="F129" s="43" t="s">
        <v>637</v>
      </c>
      <c r="G129" s="38">
        <v>24867</v>
      </c>
      <c r="H129" s="202"/>
      <c r="I129" s="194"/>
      <c r="J129" s="194"/>
      <c r="K129" s="194"/>
      <c r="L129" s="194"/>
      <c r="M129" s="194"/>
      <c r="N129" s="194"/>
      <c r="O129" s="192"/>
      <c r="P129" s="45" t="s">
        <v>638</v>
      </c>
      <c r="Q129" s="33" t="s">
        <v>86</v>
      </c>
      <c r="R129" s="34" t="s">
        <v>639</v>
      </c>
      <c r="S129" s="44" t="s">
        <v>640</v>
      </c>
      <c r="T129" s="46"/>
      <c r="U129" s="35"/>
      <c r="V129" s="47"/>
      <c r="W129" s="46"/>
      <c r="X129" s="194"/>
      <c r="Y129" s="194"/>
      <c r="Z129" s="194"/>
      <c r="AA129" s="194"/>
      <c r="AB129" s="220"/>
    </row>
    <row r="130" spans="1:28" ht="18.600000000000001" thickTop="1">
      <c r="A130" s="249" t="s">
        <v>641</v>
      </c>
      <c r="B130" s="26">
        <v>43027</v>
      </c>
      <c r="C130" s="27" t="s">
        <v>642</v>
      </c>
      <c r="D130" s="28" t="s">
        <v>643</v>
      </c>
      <c r="E130" s="199"/>
      <c r="F130" s="40" t="s">
        <v>644</v>
      </c>
      <c r="G130" s="37" t="s">
        <v>492</v>
      </c>
      <c r="H130" s="201">
        <v>4</v>
      </c>
      <c r="I130" s="193">
        <v>505000</v>
      </c>
      <c r="J130" s="193">
        <v>40400</v>
      </c>
      <c r="K130" s="193">
        <v>18700</v>
      </c>
      <c r="L130" s="193">
        <v>16320</v>
      </c>
      <c r="M130" s="193">
        <v>12960</v>
      </c>
      <c r="N130" s="193">
        <f>SUM(I130:M130)</f>
        <v>593380</v>
      </c>
      <c r="O130" s="191">
        <v>200000</v>
      </c>
      <c r="P130" s="60" t="s">
        <v>645</v>
      </c>
      <c r="Q130" s="29" t="s">
        <v>82</v>
      </c>
      <c r="R130" s="81"/>
      <c r="S130" s="48" t="s">
        <v>646</v>
      </c>
      <c r="T130" s="50" t="s">
        <v>647</v>
      </c>
      <c r="U130" s="30"/>
      <c r="V130" s="51"/>
      <c r="W130" s="52"/>
      <c r="X130" s="193"/>
      <c r="Y130" s="206">
        <f>X130*0.1</f>
        <v>0</v>
      </c>
      <c r="Z130" s="193"/>
      <c r="AA130" s="193">
        <f>SUM(X130:Z130)</f>
        <v>0</v>
      </c>
      <c r="AB130" s="219"/>
    </row>
    <row r="131" spans="1:28" ht="18.600000000000001" thickBot="1">
      <c r="A131" s="250"/>
      <c r="B131" s="31" t="s">
        <v>373</v>
      </c>
      <c r="C131" s="31">
        <v>126</v>
      </c>
      <c r="D131" s="32" t="s">
        <v>170</v>
      </c>
      <c r="E131" s="200"/>
      <c r="F131" s="43" t="s">
        <v>648</v>
      </c>
      <c r="G131" s="38">
        <v>50633</v>
      </c>
      <c r="H131" s="202"/>
      <c r="I131" s="194"/>
      <c r="J131" s="194"/>
      <c r="K131" s="194"/>
      <c r="L131" s="194"/>
      <c r="M131" s="194"/>
      <c r="N131" s="194"/>
      <c r="O131" s="192"/>
      <c r="P131" s="45" t="s">
        <v>649</v>
      </c>
      <c r="Q131" s="33" t="s">
        <v>86</v>
      </c>
      <c r="R131" s="34" t="s">
        <v>650</v>
      </c>
      <c r="S131" s="44" t="s">
        <v>651</v>
      </c>
      <c r="T131" s="46"/>
      <c r="U131" s="35" t="s">
        <v>153</v>
      </c>
      <c r="V131" s="47"/>
      <c r="W131" s="46"/>
      <c r="X131" s="194"/>
      <c r="Y131" s="194"/>
      <c r="Z131" s="194"/>
      <c r="AA131" s="194"/>
      <c r="AB131" s="220"/>
    </row>
    <row r="132" spans="1:28" ht="18.600000000000001" thickTop="1">
      <c r="A132" s="249" t="s">
        <v>652</v>
      </c>
      <c r="B132" s="26">
        <v>43035</v>
      </c>
      <c r="C132" s="27" t="s">
        <v>653</v>
      </c>
      <c r="D132" s="28" t="s">
        <v>654</v>
      </c>
      <c r="E132" s="199" t="s">
        <v>282</v>
      </c>
      <c r="F132" s="40" t="s">
        <v>299</v>
      </c>
      <c r="G132" s="130" t="s">
        <v>451</v>
      </c>
      <c r="H132" s="201">
        <v>5</v>
      </c>
      <c r="I132" s="193">
        <v>1920000</v>
      </c>
      <c r="J132" s="193">
        <v>153600</v>
      </c>
      <c r="K132" s="193">
        <v>16400</v>
      </c>
      <c r="L132" s="193">
        <v>18960</v>
      </c>
      <c r="M132" s="193">
        <v>12960</v>
      </c>
      <c r="N132" s="193">
        <f>SUM(I132:M132)</f>
        <v>2121920</v>
      </c>
      <c r="O132" s="191"/>
      <c r="P132" s="53" t="s">
        <v>655</v>
      </c>
      <c r="Q132" s="29" t="s">
        <v>82</v>
      </c>
      <c r="R132" s="81"/>
      <c r="S132" s="48" t="s">
        <v>656</v>
      </c>
      <c r="T132" s="49" t="s">
        <v>657</v>
      </c>
      <c r="U132" s="131"/>
      <c r="V132" s="51"/>
      <c r="W132" s="52"/>
      <c r="X132" s="193"/>
      <c r="Y132" s="206">
        <f>X132*0.1</f>
        <v>0</v>
      </c>
      <c r="Z132" s="193"/>
      <c r="AA132" s="193">
        <f>SUM(X132:Z132)</f>
        <v>0</v>
      </c>
      <c r="AB132" s="219"/>
    </row>
    <row r="133" spans="1:28" ht="18.600000000000001" thickBot="1">
      <c r="A133" s="250"/>
      <c r="B133" s="31" t="s">
        <v>120</v>
      </c>
      <c r="C133" s="31">
        <v>58183</v>
      </c>
      <c r="D133" s="32" t="s">
        <v>454</v>
      </c>
      <c r="E133" s="200"/>
      <c r="F133" s="43" t="s">
        <v>658</v>
      </c>
      <c r="G133" s="112">
        <v>36757</v>
      </c>
      <c r="H133" s="202"/>
      <c r="I133" s="194"/>
      <c r="J133" s="194"/>
      <c r="K133" s="194"/>
      <c r="L133" s="194"/>
      <c r="M133" s="194"/>
      <c r="N133" s="194"/>
      <c r="O133" s="192"/>
      <c r="P133" s="31" t="s">
        <v>659</v>
      </c>
      <c r="Q133" s="33" t="s">
        <v>86</v>
      </c>
      <c r="R133" s="34" t="s">
        <v>660</v>
      </c>
      <c r="S133" s="44" t="s">
        <v>661</v>
      </c>
      <c r="T133" s="45"/>
      <c r="U133" s="132" t="s">
        <v>662</v>
      </c>
      <c r="V133" s="47"/>
      <c r="W133" s="31"/>
      <c r="X133" s="194"/>
      <c r="Y133" s="194"/>
      <c r="Z133" s="194"/>
      <c r="AA133" s="194"/>
      <c r="AB133" s="220"/>
    </row>
    <row r="134" spans="1:28" ht="18.600000000000001" thickTop="1">
      <c r="A134" s="249" t="s">
        <v>663</v>
      </c>
      <c r="B134" s="26">
        <v>43041</v>
      </c>
      <c r="C134" s="27" t="s">
        <v>664</v>
      </c>
      <c r="D134" s="28" t="s">
        <v>665</v>
      </c>
      <c r="E134" s="199"/>
      <c r="F134" s="40" t="s">
        <v>299</v>
      </c>
      <c r="G134" s="37"/>
      <c r="H134" s="201">
        <v>4</v>
      </c>
      <c r="I134" s="193">
        <v>2010000</v>
      </c>
      <c r="J134" s="193">
        <v>160800</v>
      </c>
      <c r="K134" s="193">
        <v>0</v>
      </c>
      <c r="L134" s="193">
        <v>18960</v>
      </c>
      <c r="M134" s="193">
        <v>12960</v>
      </c>
      <c r="N134" s="193">
        <f>SUM(I134:M134)</f>
        <v>2202720</v>
      </c>
      <c r="O134" s="191">
        <v>1300000</v>
      </c>
      <c r="P134" s="60" t="s">
        <v>666</v>
      </c>
      <c r="Q134" s="29" t="s">
        <v>82</v>
      </c>
      <c r="R134" s="81"/>
      <c r="S134" s="48" t="s">
        <v>667</v>
      </c>
      <c r="T134" s="50"/>
      <c r="U134" s="131"/>
      <c r="V134" s="51"/>
      <c r="W134" s="52"/>
      <c r="X134" s="193"/>
      <c r="Y134" s="206">
        <f>X134*0.1</f>
        <v>0</v>
      </c>
      <c r="Z134" s="193"/>
      <c r="AA134" s="193">
        <f>SUM(X134:Z134)</f>
        <v>0</v>
      </c>
      <c r="AB134" s="219"/>
    </row>
    <row r="135" spans="1:28" ht="18.600000000000001" thickBot="1">
      <c r="A135" s="250"/>
      <c r="B135" s="31" t="s">
        <v>261</v>
      </c>
      <c r="C135" s="31">
        <v>75584</v>
      </c>
      <c r="D135" s="32" t="s">
        <v>91</v>
      </c>
      <c r="E135" s="200"/>
      <c r="F135" s="43" t="s">
        <v>668</v>
      </c>
      <c r="G135" s="38">
        <v>17730</v>
      </c>
      <c r="H135" s="202"/>
      <c r="I135" s="194"/>
      <c r="J135" s="194"/>
      <c r="K135" s="194"/>
      <c r="L135" s="194"/>
      <c r="M135" s="194"/>
      <c r="N135" s="194"/>
      <c r="O135" s="192"/>
      <c r="P135" s="45" t="s">
        <v>669</v>
      </c>
      <c r="Q135" s="33" t="s">
        <v>86</v>
      </c>
      <c r="R135" s="34" t="s">
        <v>670</v>
      </c>
      <c r="S135" s="44" t="s">
        <v>671</v>
      </c>
      <c r="T135" s="46"/>
      <c r="U135" s="35"/>
      <c r="V135" s="47"/>
      <c r="W135" s="46"/>
      <c r="X135" s="194"/>
      <c r="Y135" s="194"/>
      <c r="Z135" s="194"/>
      <c r="AA135" s="194"/>
      <c r="AB135" s="220"/>
    </row>
    <row r="136" spans="1:28" ht="18.600000000000001" thickTop="1">
      <c r="A136" s="249" t="s">
        <v>672</v>
      </c>
      <c r="B136" s="26">
        <v>43082</v>
      </c>
      <c r="C136" s="27" t="s">
        <v>673</v>
      </c>
      <c r="D136" s="28" t="s">
        <v>80</v>
      </c>
      <c r="E136" s="199" t="s">
        <v>282</v>
      </c>
      <c r="F136" s="40" t="s">
        <v>674</v>
      </c>
      <c r="G136" s="130" t="s">
        <v>675</v>
      </c>
      <c r="H136" s="201">
        <v>5</v>
      </c>
      <c r="I136" s="193">
        <v>1925000</v>
      </c>
      <c r="J136" s="193">
        <v>154000</v>
      </c>
      <c r="K136" s="193">
        <v>9800</v>
      </c>
      <c r="L136" s="193">
        <v>17700</v>
      </c>
      <c r="M136" s="193">
        <v>12960</v>
      </c>
      <c r="N136" s="193">
        <f>SUM(I136:M136)</f>
        <v>2119460</v>
      </c>
      <c r="O136" s="191"/>
      <c r="P136" s="53" t="s">
        <v>676</v>
      </c>
      <c r="Q136" s="29" t="s">
        <v>82</v>
      </c>
      <c r="R136" s="81"/>
      <c r="S136" s="48" t="s">
        <v>677</v>
      </c>
      <c r="T136" s="49" t="s">
        <v>678</v>
      </c>
      <c r="U136" s="131"/>
      <c r="V136" s="51"/>
      <c r="W136" s="52"/>
      <c r="X136" s="193"/>
      <c r="Y136" s="206">
        <f>X136*0.1</f>
        <v>0</v>
      </c>
      <c r="Z136" s="193"/>
      <c r="AA136" s="193">
        <f>SUM(X136:Z136)</f>
        <v>0</v>
      </c>
      <c r="AB136" s="219"/>
    </row>
    <row r="137" spans="1:28" ht="18.600000000000001" thickBot="1">
      <c r="A137" s="250"/>
      <c r="B137" s="31" t="s">
        <v>679</v>
      </c>
      <c r="C137" s="31">
        <v>70039</v>
      </c>
      <c r="D137" s="32" t="s">
        <v>680</v>
      </c>
      <c r="E137" s="200"/>
      <c r="F137" s="43" t="s">
        <v>681</v>
      </c>
      <c r="G137" s="112">
        <v>24113</v>
      </c>
      <c r="H137" s="202"/>
      <c r="I137" s="194"/>
      <c r="J137" s="194"/>
      <c r="K137" s="194"/>
      <c r="L137" s="194"/>
      <c r="M137" s="194"/>
      <c r="N137" s="194"/>
      <c r="O137" s="192"/>
      <c r="P137" s="31" t="s">
        <v>638</v>
      </c>
      <c r="Q137" s="33" t="s">
        <v>86</v>
      </c>
      <c r="R137" s="34" t="s">
        <v>682</v>
      </c>
      <c r="S137" s="44" t="s">
        <v>661</v>
      </c>
      <c r="T137" s="45"/>
      <c r="U137" s="132" t="s">
        <v>683</v>
      </c>
      <c r="V137" s="47"/>
      <c r="W137" s="31"/>
      <c r="X137" s="194"/>
      <c r="Y137" s="194"/>
      <c r="Z137" s="194"/>
      <c r="AA137" s="194"/>
      <c r="AB137" s="220"/>
    </row>
    <row r="138" spans="1:28" ht="18.600000000000001" thickTop="1">
      <c r="A138" s="249" t="s">
        <v>684</v>
      </c>
      <c r="B138" s="26">
        <v>43083</v>
      </c>
      <c r="C138" s="27" t="s">
        <v>685</v>
      </c>
      <c r="D138" s="28" t="s">
        <v>686</v>
      </c>
      <c r="E138" s="199"/>
      <c r="F138" s="40" t="s">
        <v>687</v>
      </c>
      <c r="G138" s="37" t="s">
        <v>675</v>
      </c>
      <c r="H138" s="201">
        <v>4</v>
      </c>
      <c r="I138" s="193">
        <v>1695000</v>
      </c>
      <c r="J138" s="193">
        <v>135600</v>
      </c>
      <c r="K138" s="193">
        <v>9800</v>
      </c>
      <c r="L138" s="193">
        <v>24290</v>
      </c>
      <c r="M138" s="193">
        <v>12960</v>
      </c>
      <c r="N138" s="193">
        <f>SUM(I138:M138)</f>
        <v>1877650</v>
      </c>
      <c r="O138" s="191">
        <v>650000</v>
      </c>
      <c r="P138" s="60" t="s">
        <v>688</v>
      </c>
      <c r="Q138" s="29" t="s">
        <v>82</v>
      </c>
      <c r="R138" s="81"/>
      <c r="S138" s="48" t="s">
        <v>689</v>
      </c>
      <c r="T138" s="50"/>
      <c r="U138" s="30"/>
      <c r="V138" s="51"/>
      <c r="W138" s="52"/>
      <c r="X138" s="193"/>
      <c r="Y138" s="206">
        <f>X138*0.1</f>
        <v>0</v>
      </c>
      <c r="Z138" s="193"/>
      <c r="AA138" s="193">
        <f>SUM(X138:Z138)</f>
        <v>0</v>
      </c>
      <c r="AB138" s="219"/>
    </row>
    <row r="139" spans="1:28" ht="18.600000000000001" thickBot="1">
      <c r="A139" s="250"/>
      <c r="B139" s="31" t="s">
        <v>373</v>
      </c>
      <c r="C139" s="31">
        <v>602</v>
      </c>
      <c r="D139" s="32" t="s">
        <v>593</v>
      </c>
      <c r="E139" s="200"/>
      <c r="F139" s="43" t="s">
        <v>690</v>
      </c>
      <c r="G139" s="38">
        <v>34309</v>
      </c>
      <c r="H139" s="202"/>
      <c r="I139" s="194"/>
      <c r="J139" s="194"/>
      <c r="K139" s="194"/>
      <c r="L139" s="194"/>
      <c r="M139" s="194"/>
      <c r="N139" s="194"/>
      <c r="O139" s="192"/>
      <c r="P139" s="45" t="s">
        <v>691</v>
      </c>
      <c r="Q139" s="33" t="s">
        <v>86</v>
      </c>
      <c r="R139" s="34" t="s">
        <v>692</v>
      </c>
      <c r="S139" s="44" t="s">
        <v>640</v>
      </c>
      <c r="T139" s="46"/>
      <c r="U139" s="35" t="s">
        <v>153</v>
      </c>
      <c r="V139" s="47"/>
      <c r="W139" s="46"/>
      <c r="X139" s="194"/>
      <c r="Y139" s="194"/>
      <c r="Z139" s="194"/>
      <c r="AA139" s="194"/>
      <c r="AB139" s="220"/>
    </row>
    <row r="140" spans="1:28" ht="18.600000000000001" thickTop="1">
      <c r="A140" s="249" t="s">
        <v>693</v>
      </c>
      <c r="B140" s="26">
        <v>43090</v>
      </c>
      <c r="C140" s="27" t="s">
        <v>694</v>
      </c>
      <c r="D140" s="28" t="s">
        <v>695</v>
      </c>
      <c r="E140" s="199"/>
      <c r="F140" s="40" t="s">
        <v>696</v>
      </c>
      <c r="G140" s="37"/>
      <c r="H140" s="201">
        <v>4</v>
      </c>
      <c r="I140" s="193">
        <v>955000</v>
      </c>
      <c r="J140" s="193">
        <v>76400</v>
      </c>
      <c r="K140" s="193">
        <v>0</v>
      </c>
      <c r="L140" s="193">
        <v>19820</v>
      </c>
      <c r="M140" s="193">
        <v>12960</v>
      </c>
      <c r="N140" s="193">
        <f>SUM(I140:M140)</f>
        <v>1064180</v>
      </c>
      <c r="O140" s="191">
        <v>200000</v>
      </c>
      <c r="P140" s="60" t="s">
        <v>697</v>
      </c>
      <c r="Q140" s="29" t="s">
        <v>82</v>
      </c>
      <c r="R140" s="81"/>
      <c r="S140" s="48" t="s">
        <v>698</v>
      </c>
      <c r="T140" s="50"/>
      <c r="U140" s="30"/>
      <c r="V140" s="51"/>
      <c r="W140" s="52"/>
      <c r="X140" s="193"/>
      <c r="Y140" s="206">
        <f>X140*0.1</f>
        <v>0</v>
      </c>
      <c r="Z140" s="193"/>
      <c r="AA140" s="193">
        <f>SUM(X140:Z140)</f>
        <v>0</v>
      </c>
      <c r="AB140" s="219"/>
    </row>
    <row r="141" spans="1:28" ht="18.600000000000001" thickBot="1">
      <c r="A141" s="250"/>
      <c r="B141" s="31" t="s">
        <v>261</v>
      </c>
      <c r="C141" s="31">
        <v>75666</v>
      </c>
      <c r="D141" s="32" t="s">
        <v>699</v>
      </c>
      <c r="E141" s="200"/>
      <c r="F141" s="43" t="s">
        <v>700</v>
      </c>
      <c r="G141" s="38">
        <v>58895</v>
      </c>
      <c r="H141" s="202"/>
      <c r="I141" s="194"/>
      <c r="J141" s="194"/>
      <c r="K141" s="194"/>
      <c r="L141" s="194"/>
      <c r="M141" s="194"/>
      <c r="N141" s="194"/>
      <c r="O141" s="192"/>
      <c r="P141" s="45" t="s">
        <v>701</v>
      </c>
      <c r="Q141" s="33" t="s">
        <v>86</v>
      </c>
      <c r="R141" s="34" t="s">
        <v>702</v>
      </c>
      <c r="S141" s="44" t="s">
        <v>703</v>
      </c>
      <c r="T141" s="46"/>
      <c r="U141" s="35"/>
      <c r="V141" s="47"/>
      <c r="W141" s="46"/>
      <c r="X141" s="194"/>
      <c r="Y141" s="194"/>
      <c r="Z141" s="194"/>
      <c r="AA141" s="194"/>
      <c r="AB141" s="220"/>
    </row>
    <row r="142" spans="1:28" ht="18.600000000000001" thickTop="1">
      <c r="A142" s="249" t="s">
        <v>704</v>
      </c>
      <c r="B142" s="26">
        <v>43111</v>
      </c>
      <c r="C142" s="27" t="s">
        <v>705</v>
      </c>
      <c r="D142" s="28" t="s">
        <v>706</v>
      </c>
      <c r="E142" s="199"/>
      <c r="F142" s="54" t="s">
        <v>707</v>
      </c>
      <c r="G142" s="37"/>
      <c r="H142" s="201">
        <v>4.5</v>
      </c>
      <c r="I142" s="193">
        <v>1008000</v>
      </c>
      <c r="J142" s="193">
        <v>80640</v>
      </c>
      <c r="K142" s="193">
        <v>0</v>
      </c>
      <c r="L142" s="193">
        <v>16890</v>
      </c>
      <c r="M142" s="193">
        <v>10800</v>
      </c>
      <c r="N142" s="193">
        <f>SUM(I142:M142)</f>
        <v>1116330</v>
      </c>
      <c r="O142" s="191">
        <v>500000</v>
      </c>
      <c r="P142" s="60" t="s">
        <v>708</v>
      </c>
      <c r="Q142" s="29" t="s">
        <v>82</v>
      </c>
      <c r="R142" s="81"/>
      <c r="S142" s="48" t="s">
        <v>709</v>
      </c>
      <c r="T142" s="50"/>
      <c r="U142" s="30"/>
      <c r="V142" s="51"/>
      <c r="W142" s="52"/>
      <c r="X142" s="193"/>
      <c r="Y142" s="206">
        <f>X142*0.1</f>
        <v>0</v>
      </c>
      <c r="Z142" s="193"/>
      <c r="AA142" s="193">
        <f>SUM(X142:Z142)</f>
        <v>0</v>
      </c>
      <c r="AB142" s="219"/>
    </row>
    <row r="143" spans="1:28" ht="18.600000000000001" thickBot="1">
      <c r="A143" s="250"/>
      <c r="B143" s="31" t="s">
        <v>710</v>
      </c>
      <c r="C143" s="31">
        <v>80041</v>
      </c>
      <c r="D143" s="32" t="s">
        <v>711</v>
      </c>
      <c r="E143" s="200"/>
      <c r="F143" s="43" t="s">
        <v>712</v>
      </c>
      <c r="G143" s="38">
        <v>50900</v>
      </c>
      <c r="H143" s="202"/>
      <c r="I143" s="194"/>
      <c r="J143" s="194"/>
      <c r="K143" s="194"/>
      <c r="L143" s="194"/>
      <c r="M143" s="194"/>
      <c r="N143" s="194"/>
      <c r="O143" s="192"/>
      <c r="P143" s="45" t="s">
        <v>713</v>
      </c>
      <c r="Q143" s="33" t="s">
        <v>86</v>
      </c>
      <c r="R143" s="34" t="s">
        <v>121</v>
      </c>
      <c r="S143" s="44" t="s">
        <v>714</v>
      </c>
      <c r="T143" s="46"/>
      <c r="U143" s="35"/>
      <c r="V143" s="47"/>
      <c r="W143" s="46"/>
      <c r="X143" s="194"/>
      <c r="Y143" s="194"/>
      <c r="Z143" s="194"/>
      <c r="AA143" s="194"/>
      <c r="AB143" s="220"/>
    </row>
    <row r="144" spans="1:28" ht="18.600000000000001" thickTop="1">
      <c r="A144" s="249" t="s">
        <v>715</v>
      </c>
      <c r="B144" s="26">
        <v>43132</v>
      </c>
      <c r="C144" s="27" t="s">
        <v>716</v>
      </c>
      <c r="D144" s="28" t="s">
        <v>523</v>
      </c>
      <c r="E144" s="199"/>
      <c r="F144" s="40" t="s">
        <v>717</v>
      </c>
      <c r="G144" s="37" t="s">
        <v>718</v>
      </c>
      <c r="H144" s="201">
        <v>5</v>
      </c>
      <c r="I144" s="193">
        <v>1895000</v>
      </c>
      <c r="J144" s="193">
        <v>151600</v>
      </c>
      <c r="K144" s="193">
        <v>4200</v>
      </c>
      <c r="L144" s="193">
        <v>18360</v>
      </c>
      <c r="M144" s="193">
        <v>12960</v>
      </c>
      <c r="N144" s="193">
        <f>SUM(I144:M144)</f>
        <v>2082120</v>
      </c>
      <c r="O144" s="191">
        <v>1100000</v>
      </c>
      <c r="P144" s="60" t="s">
        <v>719</v>
      </c>
      <c r="Q144" s="29" t="s">
        <v>82</v>
      </c>
      <c r="R144" s="81"/>
      <c r="S144" s="48" t="s">
        <v>720</v>
      </c>
      <c r="T144" s="50"/>
      <c r="U144" s="30"/>
      <c r="V144" s="51"/>
      <c r="W144" s="52"/>
      <c r="X144" s="193"/>
      <c r="Y144" s="206">
        <f>X144*0.1</f>
        <v>0</v>
      </c>
      <c r="Z144" s="193"/>
      <c r="AA144" s="193">
        <f>SUM(X144:Z144)</f>
        <v>0</v>
      </c>
      <c r="AB144" s="219"/>
    </row>
    <row r="145" spans="1:28" ht="18.600000000000001" thickBot="1">
      <c r="A145" s="250"/>
      <c r="B145" s="31" t="s">
        <v>261</v>
      </c>
      <c r="C145" s="31">
        <v>75222</v>
      </c>
      <c r="D145" s="32" t="s">
        <v>101</v>
      </c>
      <c r="E145" s="200"/>
      <c r="F145" s="43" t="s">
        <v>721</v>
      </c>
      <c r="G145" s="38">
        <v>39282</v>
      </c>
      <c r="H145" s="202"/>
      <c r="I145" s="194"/>
      <c r="J145" s="194"/>
      <c r="K145" s="194"/>
      <c r="L145" s="194"/>
      <c r="M145" s="194"/>
      <c r="N145" s="194"/>
      <c r="O145" s="192"/>
      <c r="P145" s="45" t="s">
        <v>722</v>
      </c>
      <c r="Q145" s="33" t="s">
        <v>86</v>
      </c>
      <c r="R145" s="34" t="s">
        <v>723</v>
      </c>
      <c r="S145" s="44" t="s">
        <v>724</v>
      </c>
      <c r="T145" s="46"/>
      <c r="U145" s="35" t="s">
        <v>153</v>
      </c>
      <c r="V145" s="47"/>
      <c r="W145" s="46"/>
      <c r="X145" s="194"/>
      <c r="Y145" s="194"/>
      <c r="Z145" s="194"/>
      <c r="AA145" s="194"/>
      <c r="AB145" s="220"/>
    </row>
    <row r="146" spans="1:28" ht="18.600000000000001" thickTop="1">
      <c r="A146" s="249" t="s">
        <v>736</v>
      </c>
      <c r="B146" s="26">
        <v>43194</v>
      </c>
      <c r="C146" s="27" t="s">
        <v>737</v>
      </c>
      <c r="D146" s="28" t="s">
        <v>738</v>
      </c>
      <c r="E146" s="199"/>
      <c r="F146" s="40" t="s">
        <v>739</v>
      </c>
      <c r="G146" s="37"/>
      <c r="H146" s="201">
        <v>4</v>
      </c>
      <c r="I146" s="193">
        <v>964000</v>
      </c>
      <c r="J146" s="193">
        <v>77120</v>
      </c>
      <c r="K146" s="193">
        <v>0</v>
      </c>
      <c r="L146" s="193">
        <v>18840</v>
      </c>
      <c r="M146" s="193">
        <v>12960</v>
      </c>
      <c r="N146" s="193">
        <f>SUM(I146:M146)</f>
        <v>1072920</v>
      </c>
      <c r="O146" s="191">
        <v>200000</v>
      </c>
      <c r="P146" s="60" t="s">
        <v>740</v>
      </c>
      <c r="Q146" s="29" t="s">
        <v>82</v>
      </c>
      <c r="R146" s="81"/>
      <c r="S146" s="48" t="s">
        <v>741</v>
      </c>
      <c r="T146" s="50"/>
      <c r="U146" s="30"/>
      <c r="V146" s="51"/>
      <c r="W146" s="52"/>
      <c r="X146" s="193"/>
      <c r="Y146" s="206">
        <f>X146*0.1</f>
        <v>0</v>
      </c>
      <c r="Z146" s="193"/>
      <c r="AA146" s="193">
        <f>SUM(X146:Z146)</f>
        <v>0</v>
      </c>
      <c r="AB146" s="219"/>
    </row>
    <row r="147" spans="1:28" ht="18.600000000000001" thickBot="1">
      <c r="A147" s="250"/>
      <c r="B147" s="31" t="s">
        <v>742</v>
      </c>
      <c r="C147" s="31">
        <v>80048</v>
      </c>
      <c r="D147" s="32" t="s">
        <v>101</v>
      </c>
      <c r="E147" s="200"/>
      <c r="F147" s="43" t="s">
        <v>743</v>
      </c>
      <c r="G147" s="38">
        <v>41231</v>
      </c>
      <c r="H147" s="202"/>
      <c r="I147" s="194"/>
      <c r="J147" s="194"/>
      <c r="K147" s="194"/>
      <c r="L147" s="194"/>
      <c r="M147" s="194"/>
      <c r="N147" s="194"/>
      <c r="O147" s="192"/>
      <c r="P147" s="45" t="s">
        <v>744</v>
      </c>
      <c r="Q147" s="33" t="s">
        <v>86</v>
      </c>
      <c r="R147" s="34" t="s">
        <v>745</v>
      </c>
      <c r="S147" s="44" t="s">
        <v>746</v>
      </c>
      <c r="T147" s="46"/>
      <c r="U147" s="35"/>
      <c r="V147" s="47"/>
      <c r="W147" s="46"/>
      <c r="X147" s="194"/>
      <c r="Y147" s="194"/>
      <c r="Z147" s="194"/>
      <c r="AA147" s="194"/>
      <c r="AB147" s="220"/>
    </row>
    <row r="148" spans="1:28" ht="18.600000000000001" thickTop="1">
      <c r="A148" s="249" t="s">
        <v>747</v>
      </c>
      <c r="B148" s="26">
        <v>43216</v>
      </c>
      <c r="C148" s="27" t="s">
        <v>748</v>
      </c>
      <c r="D148" s="28" t="s">
        <v>315</v>
      </c>
      <c r="E148" s="199"/>
      <c r="F148" s="54" t="s">
        <v>749</v>
      </c>
      <c r="G148" s="37"/>
      <c r="H148" s="201">
        <v>4</v>
      </c>
      <c r="I148" s="193">
        <v>715000</v>
      </c>
      <c r="J148" s="193">
        <v>57200</v>
      </c>
      <c r="K148" s="193">
        <v>0</v>
      </c>
      <c r="L148" s="193">
        <v>19020</v>
      </c>
      <c r="M148" s="193">
        <v>12960</v>
      </c>
      <c r="N148" s="193">
        <f>SUM(I148:M148)</f>
        <v>804180</v>
      </c>
      <c r="O148" s="191">
        <v>100000</v>
      </c>
      <c r="P148" s="60" t="s">
        <v>750</v>
      </c>
      <c r="Q148" s="29" t="s">
        <v>82</v>
      </c>
      <c r="R148" s="81"/>
      <c r="S148" s="48"/>
      <c r="T148" s="50" t="s">
        <v>751</v>
      </c>
      <c r="U148" s="30"/>
      <c r="V148" s="51"/>
      <c r="W148" s="52"/>
      <c r="X148" s="193"/>
      <c r="Y148" s="206">
        <f>X148*0.1</f>
        <v>0</v>
      </c>
      <c r="Z148" s="193"/>
      <c r="AA148" s="193">
        <f>SUM(X148:Z148)</f>
        <v>0</v>
      </c>
      <c r="AB148" s="219"/>
    </row>
    <row r="149" spans="1:28" ht="18.600000000000001" thickBot="1">
      <c r="A149" s="250"/>
      <c r="B149" s="31" t="s">
        <v>261</v>
      </c>
      <c r="C149" s="31">
        <v>75649</v>
      </c>
      <c r="D149" s="32" t="s">
        <v>593</v>
      </c>
      <c r="E149" s="200"/>
      <c r="F149" s="43" t="s">
        <v>752</v>
      </c>
      <c r="G149" s="38">
        <v>54966</v>
      </c>
      <c r="H149" s="202"/>
      <c r="I149" s="194"/>
      <c r="J149" s="194"/>
      <c r="K149" s="194"/>
      <c r="L149" s="194"/>
      <c r="M149" s="194"/>
      <c r="N149" s="194"/>
      <c r="O149" s="192"/>
      <c r="P149" s="45" t="s">
        <v>753</v>
      </c>
      <c r="Q149" s="33" t="s">
        <v>86</v>
      </c>
      <c r="R149" s="34" t="s">
        <v>754</v>
      </c>
      <c r="S149" s="44" t="s">
        <v>755</v>
      </c>
      <c r="T149" s="46"/>
      <c r="U149" s="35"/>
      <c r="V149" s="47"/>
      <c r="W149" s="46"/>
      <c r="X149" s="194"/>
      <c r="Y149" s="194"/>
      <c r="Z149" s="194"/>
      <c r="AA149" s="194"/>
      <c r="AB149" s="220"/>
    </row>
    <row r="150" spans="1:28" ht="18.600000000000001" thickTop="1">
      <c r="A150" s="249" t="s">
        <v>756</v>
      </c>
      <c r="B150" s="26">
        <v>43245</v>
      </c>
      <c r="C150" s="27" t="s">
        <v>757</v>
      </c>
      <c r="D150" s="28" t="s">
        <v>758</v>
      </c>
      <c r="E150" s="199"/>
      <c r="F150" s="40" t="s">
        <v>759</v>
      </c>
      <c r="G150" s="37" t="s">
        <v>760</v>
      </c>
      <c r="H150" s="201">
        <v>4</v>
      </c>
      <c r="I150" s="193">
        <v>1000000</v>
      </c>
      <c r="J150" s="193">
        <v>80000</v>
      </c>
      <c r="K150" s="193">
        <v>63700</v>
      </c>
      <c r="L150" s="193">
        <v>18960</v>
      </c>
      <c r="M150" s="193">
        <v>23760</v>
      </c>
      <c r="N150" s="193">
        <f>SUM(I150:M150)</f>
        <v>1186420</v>
      </c>
      <c r="O150" s="191">
        <v>500000</v>
      </c>
      <c r="P150" s="60" t="s">
        <v>761</v>
      </c>
      <c r="Q150" s="29" t="s">
        <v>82</v>
      </c>
      <c r="R150" s="81"/>
      <c r="S150" s="48"/>
      <c r="T150" s="50"/>
      <c r="U150" s="30"/>
      <c r="V150" s="51"/>
      <c r="W150" s="52"/>
      <c r="X150" s="193"/>
      <c r="Y150" s="206">
        <f>X150*0.1</f>
        <v>0</v>
      </c>
      <c r="Z150" s="193"/>
      <c r="AA150" s="193">
        <f>SUM(X150:Z150)</f>
        <v>0</v>
      </c>
      <c r="AB150" s="219"/>
    </row>
    <row r="151" spans="1:28" ht="18.600000000000001" thickBot="1">
      <c r="A151" s="250"/>
      <c r="B151" s="31" t="s">
        <v>120</v>
      </c>
      <c r="C151" s="31">
        <v>20650</v>
      </c>
      <c r="D151" s="32" t="s">
        <v>229</v>
      </c>
      <c r="E151" s="200"/>
      <c r="F151" s="43" t="s">
        <v>762</v>
      </c>
      <c r="G151" s="38">
        <v>57147</v>
      </c>
      <c r="H151" s="202"/>
      <c r="I151" s="194"/>
      <c r="J151" s="194"/>
      <c r="K151" s="194"/>
      <c r="L151" s="194"/>
      <c r="M151" s="194"/>
      <c r="N151" s="194"/>
      <c r="O151" s="192"/>
      <c r="P151" s="45" t="s">
        <v>763</v>
      </c>
      <c r="Q151" s="33" t="s">
        <v>86</v>
      </c>
      <c r="R151" s="34" t="s">
        <v>764</v>
      </c>
      <c r="S151" s="44" t="s">
        <v>765</v>
      </c>
      <c r="T151" s="46" t="s">
        <v>766</v>
      </c>
      <c r="U151" s="35" t="s">
        <v>153</v>
      </c>
      <c r="V151" s="47"/>
      <c r="W151" s="46"/>
      <c r="X151" s="194"/>
      <c r="Y151" s="194"/>
      <c r="Z151" s="194"/>
      <c r="AA151" s="194"/>
      <c r="AB151" s="220"/>
    </row>
    <row r="152" spans="1:28" ht="18.600000000000001" thickTop="1">
      <c r="A152" s="249" t="s">
        <v>767</v>
      </c>
      <c r="B152" s="26">
        <v>43307</v>
      </c>
      <c r="C152" s="27" t="s">
        <v>768</v>
      </c>
      <c r="D152" s="28" t="s">
        <v>436</v>
      </c>
      <c r="E152" s="199" t="s">
        <v>282</v>
      </c>
      <c r="F152" s="40" t="s">
        <v>769</v>
      </c>
      <c r="G152" s="130" t="s">
        <v>770</v>
      </c>
      <c r="H152" s="201">
        <v>4.5</v>
      </c>
      <c r="I152" s="193">
        <v>2200000</v>
      </c>
      <c r="J152" s="193">
        <v>176000</v>
      </c>
      <c r="K152" s="193">
        <v>26300</v>
      </c>
      <c r="L152" s="193">
        <v>19440</v>
      </c>
      <c r="M152" s="193">
        <v>12960</v>
      </c>
      <c r="N152" s="193">
        <f>SUM(I152:M152)</f>
        <v>2434700</v>
      </c>
      <c r="O152" s="191"/>
      <c r="P152" s="53" t="s">
        <v>771</v>
      </c>
      <c r="Q152" s="29" t="s">
        <v>82</v>
      </c>
      <c r="R152" s="81"/>
      <c r="S152" s="48" t="s">
        <v>677</v>
      </c>
      <c r="T152" s="49"/>
      <c r="U152" s="131"/>
      <c r="V152" s="51"/>
      <c r="W152" s="52"/>
      <c r="X152" s="193"/>
      <c r="Y152" s="206">
        <f>X152*0.1</f>
        <v>0</v>
      </c>
      <c r="Z152" s="193"/>
      <c r="AA152" s="193">
        <f>SUM(X152:Z152)</f>
        <v>0</v>
      </c>
      <c r="AB152" s="219"/>
    </row>
    <row r="153" spans="1:28" ht="18.600000000000001" thickBot="1">
      <c r="A153" s="250"/>
      <c r="B153" s="31" t="s">
        <v>373</v>
      </c>
      <c r="C153" s="31">
        <v>460</v>
      </c>
      <c r="D153" s="32" t="s">
        <v>584</v>
      </c>
      <c r="E153" s="200"/>
      <c r="F153" s="43" t="s">
        <v>772</v>
      </c>
      <c r="G153" s="112">
        <v>18374</v>
      </c>
      <c r="H153" s="202"/>
      <c r="I153" s="194"/>
      <c r="J153" s="194"/>
      <c r="K153" s="194"/>
      <c r="L153" s="194"/>
      <c r="M153" s="194"/>
      <c r="N153" s="194"/>
      <c r="O153" s="192"/>
      <c r="P153" s="31" t="s">
        <v>773</v>
      </c>
      <c r="Q153" s="33" t="s">
        <v>86</v>
      </c>
      <c r="R153" s="34" t="s">
        <v>774</v>
      </c>
      <c r="S153" s="44" t="s">
        <v>640</v>
      </c>
      <c r="T153" s="133" t="s">
        <v>775</v>
      </c>
      <c r="U153" s="132" t="s">
        <v>776</v>
      </c>
      <c r="V153" s="47"/>
      <c r="W153" s="31"/>
      <c r="X153" s="194"/>
      <c r="Y153" s="194"/>
      <c r="Z153" s="194"/>
      <c r="AA153" s="194"/>
      <c r="AB153" s="220"/>
    </row>
    <row r="154" spans="1:28" ht="18.600000000000001" thickTop="1">
      <c r="A154" s="249" t="s">
        <v>787</v>
      </c>
      <c r="B154" s="26">
        <v>43395</v>
      </c>
      <c r="C154" s="27"/>
      <c r="D154" s="28" t="s">
        <v>436</v>
      </c>
      <c r="E154" s="199"/>
      <c r="F154" s="40" t="s">
        <v>788</v>
      </c>
      <c r="G154" s="37" t="s">
        <v>770</v>
      </c>
      <c r="H154" s="201">
        <v>4.5</v>
      </c>
      <c r="I154" s="193">
        <v>2740000</v>
      </c>
      <c r="J154" s="193">
        <v>219200</v>
      </c>
      <c r="K154" s="193">
        <v>9800</v>
      </c>
      <c r="L154" s="193">
        <v>20370</v>
      </c>
      <c r="M154" s="193">
        <f>118500+9480</f>
        <v>127980</v>
      </c>
      <c r="N154" s="193">
        <f>SUM(I154:M154)</f>
        <v>3117350</v>
      </c>
      <c r="O154" s="191">
        <v>1700000</v>
      </c>
      <c r="P154" s="60" t="s">
        <v>789</v>
      </c>
      <c r="Q154" s="29" t="s">
        <v>82</v>
      </c>
      <c r="R154" s="81"/>
      <c r="S154" s="48" t="s">
        <v>790</v>
      </c>
      <c r="T154" s="50"/>
      <c r="U154" s="30"/>
      <c r="V154" s="51"/>
      <c r="W154" s="52"/>
      <c r="X154" s="193"/>
      <c r="Y154" s="206">
        <f>X154*0.1</f>
        <v>0</v>
      </c>
      <c r="Z154" s="193"/>
      <c r="AA154" s="193">
        <f>SUM(X154:Z154)</f>
        <v>0</v>
      </c>
      <c r="AB154" s="219"/>
    </row>
    <row r="155" spans="1:28" ht="18.600000000000001" thickBot="1">
      <c r="A155" s="250"/>
      <c r="B155" s="31" t="s">
        <v>791</v>
      </c>
      <c r="C155" s="31" t="s">
        <v>792</v>
      </c>
      <c r="D155" s="32" t="s">
        <v>699</v>
      </c>
      <c r="E155" s="200"/>
      <c r="F155" s="43" t="s">
        <v>793</v>
      </c>
      <c r="G155" s="38">
        <v>9247</v>
      </c>
      <c r="H155" s="202"/>
      <c r="I155" s="194"/>
      <c r="J155" s="194"/>
      <c r="K155" s="194"/>
      <c r="L155" s="194"/>
      <c r="M155" s="194"/>
      <c r="N155" s="194"/>
      <c r="O155" s="192"/>
      <c r="P155" s="45" t="s">
        <v>794</v>
      </c>
      <c r="Q155" s="33" t="s">
        <v>86</v>
      </c>
      <c r="R155" s="34" t="s">
        <v>795</v>
      </c>
      <c r="S155" s="44" t="s">
        <v>796</v>
      </c>
      <c r="T155" s="46"/>
      <c r="U155" s="35"/>
      <c r="V155" s="47"/>
      <c r="W155" s="46"/>
      <c r="X155" s="194"/>
      <c r="Y155" s="194"/>
      <c r="Z155" s="194"/>
      <c r="AA155" s="194"/>
      <c r="AB155" s="220"/>
    </row>
    <row r="156" spans="1:28" ht="18.600000000000001" thickTop="1">
      <c r="A156" s="249" t="s">
        <v>797</v>
      </c>
      <c r="B156" s="26">
        <v>43417</v>
      </c>
      <c r="C156" s="27"/>
      <c r="D156" s="28" t="s">
        <v>798</v>
      </c>
      <c r="E156" s="199"/>
      <c r="F156" s="40" t="s">
        <v>799</v>
      </c>
      <c r="G156" s="37" t="s">
        <v>800</v>
      </c>
      <c r="H156" s="201">
        <v>4.5</v>
      </c>
      <c r="I156" s="193">
        <v>2624000</v>
      </c>
      <c r="J156" s="193">
        <v>209920</v>
      </c>
      <c r="K156" s="193">
        <v>22100</v>
      </c>
      <c r="L156" s="193">
        <v>19240</v>
      </c>
      <c r="M156" s="193">
        <f>115600+9248</f>
        <v>124848</v>
      </c>
      <c r="N156" s="193">
        <f>SUM(I156:M156)</f>
        <v>3000108</v>
      </c>
      <c r="O156" s="191">
        <v>1700000</v>
      </c>
      <c r="P156" s="49" t="s">
        <v>801</v>
      </c>
      <c r="Q156" s="29" t="s">
        <v>82</v>
      </c>
      <c r="R156" s="81"/>
      <c r="S156" s="48" t="s">
        <v>802</v>
      </c>
      <c r="T156" s="50"/>
      <c r="U156" s="30"/>
      <c r="V156" s="51"/>
      <c r="W156" s="52"/>
      <c r="X156" s="193"/>
      <c r="Y156" s="206">
        <f>X156*0.1</f>
        <v>0</v>
      </c>
      <c r="Z156" s="193"/>
      <c r="AA156" s="193">
        <f>SUM(X156:Z156)</f>
        <v>0</v>
      </c>
      <c r="AB156" s="219"/>
    </row>
    <row r="157" spans="1:28" ht="18.600000000000001" thickBot="1">
      <c r="A157" s="250"/>
      <c r="B157" s="31" t="s">
        <v>90</v>
      </c>
      <c r="C157" s="31" t="s">
        <v>803</v>
      </c>
      <c r="D157" s="32" t="s">
        <v>804</v>
      </c>
      <c r="E157" s="200"/>
      <c r="F157" s="43" t="s">
        <v>805</v>
      </c>
      <c r="G157" s="38">
        <v>23841</v>
      </c>
      <c r="H157" s="202"/>
      <c r="I157" s="194"/>
      <c r="J157" s="194"/>
      <c r="K157" s="194"/>
      <c r="L157" s="194"/>
      <c r="M157" s="194"/>
      <c r="N157" s="194"/>
      <c r="O157" s="192"/>
      <c r="P157" s="45" t="s">
        <v>806</v>
      </c>
      <c r="Q157" s="33" t="s">
        <v>86</v>
      </c>
      <c r="R157" s="34" t="s">
        <v>807</v>
      </c>
      <c r="S157" s="44" t="s">
        <v>272</v>
      </c>
      <c r="T157" s="46"/>
      <c r="U157" s="35"/>
      <c r="V157" s="47"/>
      <c r="W157" s="46"/>
      <c r="X157" s="194"/>
      <c r="Y157" s="194"/>
      <c r="Z157" s="194"/>
      <c r="AA157" s="194"/>
      <c r="AB157" s="220"/>
    </row>
    <row r="158" spans="1:28" ht="18.600000000000001" thickTop="1">
      <c r="A158" s="249" t="s">
        <v>808</v>
      </c>
      <c r="B158" s="26">
        <v>43418</v>
      </c>
      <c r="C158" s="27" t="s">
        <v>809</v>
      </c>
      <c r="D158" s="28" t="s">
        <v>810</v>
      </c>
      <c r="E158" s="199"/>
      <c r="F158" s="40" t="s">
        <v>811</v>
      </c>
      <c r="G158" s="37" t="s">
        <v>812</v>
      </c>
      <c r="H158" s="201">
        <v>5</v>
      </c>
      <c r="I158" s="193">
        <v>2365000</v>
      </c>
      <c r="J158" s="193">
        <v>189200</v>
      </c>
      <c r="K158" s="193">
        <v>13100</v>
      </c>
      <c r="L158" s="193">
        <v>17700</v>
      </c>
      <c r="M158" s="193">
        <v>15660</v>
      </c>
      <c r="N158" s="193">
        <f>SUM(I158:M158)</f>
        <v>2600660</v>
      </c>
      <c r="O158" s="191">
        <v>1600000</v>
      </c>
      <c r="P158" s="60" t="s">
        <v>813</v>
      </c>
      <c r="Q158" s="29" t="s">
        <v>82</v>
      </c>
      <c r="R158" s="81"/>
      <c r="S158" s="48" t="s">
        <v>814</v>
      </c>
      <c r="T158" s="50"/>
      <c r="U158" s="30"/>
      <c r="V158" s="51"/>
      <c r="W158" s="52"/>
      <c r="X158" s="193"/>
      <c r="Y158" s="206">
        <f>X158*0.1</f>
        <v>0</v>
      </c>
      <c r="Z158" s="193"/>
      <c r="AA158" s="193">
        <f>SUM(X158:Z158)</f>
        <v>0</v>
      </c>
      <c r="AB158" s="219"/>
    </row>
    <row r="159" spans="1:28" ht="18.600000000000001" thickBot="1">
      <c r="A159" s="250"/>
      <c r="B159" s="31" t="s">
        <v>815</v>
      </c>
      <c r="C159" s="31">
        <v>38080</v>
      </c>
      <c r="D159" s="32" t="s">
        <v>816</v>
      </c>
      <c r="E159" s="200"/>
      <c r="F159" s="43" t="s">
        <v>817</v>
      </c>
      <c r="G159" s="38">
        <v>19950</v>
      </c>
      <c r="H159" s="202"/>
      <c r="I159" s="194"/>
      <c r="J159" s="194"/>
      <c r="K159" s="194"/>
      <c r="L159" s="194"/>
      <c r="M159" s="194"/>
      <c r="N159" s="194"/>
      <c r="O159" s="192"/>
      <c r="P159" s="45" t="s">
        <v>818</v>
      </c>
      <c r="Q159" s="33" t="s">
        <v>86</v>
      </c>
      <c r="R159" s="34" t="s">
        <v>819</v>
      </c>
      <c r="S159" s="44" t="s">
        <v>820</v>
      </c>
      <c r="T159" s="46"/>
      <c r="U159" s="35"/>
      <c r="V159" s="47"/>
      <c r="W159" s="46"/>
      <c r="X159" s="194"/>
      <c r="Y159" s="194"/>
      <c r="Z159" s="194"/>
      <c r="AA159" s="194"/>
      <c r="AB159" s="220"/>
    </row>
    <row r="160" spans="1:28" ht="18.600000000000001" thickTop="1">
      <c r="A160" s="249" t="s">
        <v>821</v>
      </c>
      <c r="B160" s="26">
        <v>43423</v>
      </c>
      <c r="C160" s="27" t="s">
        <v>822</v>
      </c>
      <c r="D160" s="28" t="s">
        <v>823</v>
      </c>
      <c r="E160" s="199"/>
      <c r="F160" s="40" t="s">
        <v>824</v>
      </c>
      <c r="G160" s="37"/>
      <c r="H160" s="201" t="s">
        <v>825</v>
      </c>
      <c r="I160" s="193">
        <v>13000</v>
      </c>
      <c r="J160" s="193">
        <v>1040</v>
      </c>
      <c r="K160" s="193">
        <v>0</v>
      </c>
      <c r="L160" s="193">
        <v>9380</v>
      </c>
      <c r="M160" s="193">
        <v>8640</v>
      </c>
      <c r="N160" s="193">
        <f>SUM(I160:M160)</f>
        <v>32060</v>
      </c>
      <c r="O160" s="191"/>
      <c r="P160" s="60" t="s">
        <v>826</v>
      </c>
      <c r="Q160" s="29" t="s">
        <v>82</v>
      </c>
      <c r="R160" s="81"/>
      <c r="S160" s="48"/>
      <c r="T160" s="50"/>
      <c r="U160" s="30"/>
      <c r="V160" s="51"/>
      <c r="W160" s="52"/>
      <c r="X160" s="193"/>
      <c r="Y160" s="206">
        <f>X160*0.1</f>
        <v>0</v>
      </c>
      <c r="Z160" s="193"/>
      <c r="AA160" s="193">
        <f>SUM(X160:Z160)</f>
        <v>0</v>
      </c>
      <c r="AB160" s="219"/>
    </row>
    <row r="161" spans="1:28" ht="18.600000000000001" thickBot="1">
      <c r="A161" s="250"/>
      <c r="B161" s="31" t="s">
        <v>84</v>
      </c>
      <c r="C161" s="31">
        <v>10509</v>
      </c>
      <c r="D161" s="32" t="s">
        <v>91</v>
      </c>
      <c r="E161" s="200"/>
      <c r="F161" s="43" t="s">
        <v>827</v>
      </c>
      <c r="G161" s="38">
        <v>56043</v>
      </c>
      <c r="H161" s="202"/>
      <c r="I161" s="194"/>
      <c r="J161" s="194"/>
      <c r="K161" s="194"/>
      <c r="L161" s="194"/>
      <c r="M161" s="194"/>
      <c r="N161" s="194"/>
      <c r="O161" s="192"/>
      <c r="P161" s="45" t="s">
        <v>828</v>
      </c>
      <c r="Q161" s="33" t="s">
        <v>86</v>
      </c>
      <c r="R161" s="34" t="s">
        <v>829</v>
      </c>
      <c r="S161" s="44"/>
      <c r="T161" s="46"/>
      <c r="U161" s="35"/>
      <c r="V161" s="47"/>
      <c r="W161" s="46"/>
      <c r="X161" s="194"/>
      <c r="Y161" s="194"/>
      <c r="Z161" s="194"/>
      <c r="AA161" s="194"/>
      <c r="AB161" s="220"/>
    </row>
    <row r="162" spans="1:28" ht="18.600000000000001" thickTop="1">
      <c r="A162" s="249" t="s">
        <v>830</v>
      </c>
      <c r="B162" s="26">
        <v>43445</v>
      </c>
      <c r="C162" s="27" t="s">
        <v>831</v>
      </c>
      <c r="D162" s="28" t="s">
        <v>832</v>
      </c>
      <c r="E162" s="199"/>
      <c r="F162" s="40" t="s">
        <v>833</v>
      </c>
      <c r="G162" s="37" t="s">
        <v>834</v>
      </c>
      <c r="H162" s="201">
        <v>4</v>
      </c>
      <c r="I162" s="193">
        <v>2290000</v>
      </c>
      <c r="J162" s="193">
        <v>183200</v>
      </c>
      <c r="K162" s="193">
        <v>0</v>
      </c>
      <c r="L162" s="193">
        <v>19100</v>
      </c>
      <c r="M162" s="193">
        <v>12960</v>
      </c>
      <c r="N162" s="193">
        <f>SUM(I162:M162)</f>
        <v>2505260</v>
      </c>
      <c r="O162" s="191">
        <v>1300000</v>
      </c>
      <c r="P162" s="60" t="s">
        <v>835</v>
      </c>
      <c r="Q162" s="29" t="s">
        <v>82</v>
      </c>
      <c r="R162" s="81"/>
      <c r="S162" s="48" t="s">
        <v>836</v>
      </c>
      <c r="T162" s="50" t="s">
        <v>837</v>
      </c>
      <c r="U162" s="30"/>
      <c r="V162" s="51"/>
      <c r="W162" s="52"/>
      <c r="X162" s="193"/>
      <c r="Y162" s="206">
        <f>X162*0.1</f>
        <v>0</v>
      </c>
      <c r="Z162" s="193"/>
      <c r="AA162" s="193">
        <f>SUM(X162:Z162)</f>
        <v>0</v>
      </c>
      <c r="AB162" s="219"/>
    </row>
    <row r="163" spans="1:28" ht="18.600000000000001" thickBot="1">
      <c r="A163" s="250"/>
      <c r="B163" s="31" t="s">
        <v>100</v>
      </c>
      <c r="C163" s="31">
        <v>84117</v>
      </c>
      <c r="D163" s="32" t="s">
        <v>593</v>
      </c>
      <c r="E163" s="200"/>
      <c r="F163" s="43" t="s">
        <v>838</v>
      </c>
      <c r="G163" s="38">
        <v>32480</v>
      </c>
      <c r="H163" s="202"/>
      <c r="I163" s="194"/>
      <c r="J163" s="194"/>
      <c r="K163" s="194"/>
      <c r="L163" s="194"/>
      <c r="M163" s="194"/>
      <c r="N163" s="194"/>
      <c r="O163" s="192"/>
      <c r="P163" s="45" t="s">
        <v>839</v>
      </c>
      <c r="Q163" s="33" t="s">
        <v>86</v>
      </c>
      <c r="R163" s="34" t="s">
        <v>840</v>
      </c>
      <c r="S163" s="44" t="s">
        <v>640</v>
      </c>
      <c r="T163" s="46"/>
      <c r="U163" s="35" t="s">
        <v>153</v>
      </c>
      <c r="V163" s="47"/>
      <c r="W163" s="46"/>
      <c r="X163" s="194"/>
      <c r="Y163" s="194"/>
      <c r="Z163" s="194"/>
      <c r="AA163" s="194"/>
      <c r="AB163" s="220"/>
    </row>
    <row r="164" spans="1:28" ht="18.600000000000001" thickTop="1">
      <c r="A164" s="249" t="s">
        <v>841</v>
      </c>
      <c r="B164" s="26">
        <v>43472</v>
      </c>
      <c r="C164" s="27" t="s">
        <v>842</v>
      </c>
      <c r="D164" s="28" t="s">
        <v>843</v>
      </c>
      <c r="E164" s="199"/>
      <c r="F164" s="40" t="s">
        <v>844</v>
      </c>
      <c r="G164" s="37"/>
      <c r="H164" s="201">
        <v>4</v>
      </c>
      <c r="I164" s="193">
        <v>461000</v>
      </c>
      <c r="J164" s="193">
        <v>36880</v>
      </c>
      <c r="K164" s="193">
        <v>0</v>
      </c>
      <c r="L164" s="193">
        <v>19820</v>
      </c>
      <c r="M164" s="193">
        <v>10800</v>
      </c>
      <c r="N164" s="193">
        <f>SUM(I164:M164)</f>
        <v>528500</v>
      </c>
      <c r="O164" s="191">
        <v>200000</v>
      </c>
      <c r="P164" s="60" t="s">
        <v>845</v>
      </c>
      <c r="Q164" s="29" t="s">
        <v>82</v>
      </c>
      <c r="R164" s="81"/>
      <c r="S164" s="48" t="s">
        <v>846</v>
      </c>
      <c r="T164" s="50"/>
      <c r="U164" s="30"/>
      <c r="V164" s="51"/>
      <c r="W164" s="52"/>
      <c r="X164" s="193"/>
      <c r="Y164" s="206">
        <f>X164*0.1</f>
        <v>0</v>
      </c>
      <c r="Z164" s="193"/>
      <c r="AA164" s="193">
        <f>SUM(X164:Z164)</f>
        <v>0</v>
      </c>
      <c r="AB164" s="219"/>
    </row>
    <row r="165" spans="1:28" ht="18.600000000000001" thickBot="1">
      <c r="A165" s="250"/>
      <c r="B165" s="31" t="s">
        <v>84</v>
      </c>
      <c r="C165" s="31">
        <v>37022</v>
      </c>
      <c r="D165" s="32" t="s">
        <v>593</v>
      </c>
      <c r="E165" s="200"/>
      <c r="F165" s="43" t="s">
        <v>847</v>
      </c>
      <c r="G165" s="38">
        <v>28287</v>
      </c>
      <c r="H165" s="202"/>
      <c r="I165" s="194"/>
      <c r="J165" s="194"/>
      <c r="K165" s="194"/>
      <c r="L165" s="194"/>
      <c r="M165" s="194"/>
      <c r="N165" s="194"/>
      <c r="O165" s="192"/>
      <c r="P165" s="45" t="s">
        <v>848</v>
      </c>
      <c r="Q165" s="33" t="s">
        <v>86</v>
      </c>
      <c r="R165" s="34" t="s">
        <v>849</v>
      </c>
      <c r="S165" s="44" t="s">
        <v>746</v>
      </c>
      <c r="T165" s="46"/>
      <c r="U165" s="35"/>
      <c r="V165" s="47"/>
      <c r="W165" s="46"/>
      <c r="X165" s="194"/>
      <c r="Y165" s="194"/>
      <c r="Z165" s="194"/>
      <c r="AA165" s="194"/>
      <c r="AB165" s="220"/>
    </row>
    <row r="166" spans="1:28" ht="18.600000000000001" thickTop="1">
      <c r="A166" s="249" t="s">
        <v>850</v>
      </c>
      <c r="B166" s="26">
        <v>43481</v>
      </c>
      <c r="C166" s="27" t="s">
        <v>851</v>
      </c>
      <c r="D166" s="28" t="s">
        <v>307</v>
      </c>
      <c r="E166" s="199"/>
      <c r="F166" s="40" t="s">
        <v>852</v>
      </c>
      <c r="G166" s="37" t="s">
        <v>853</v>
      </c>
      <c r="H166" s="201">
        <v>3.5</v>
      </c>
      <c r="I166" s="193">
        <v>477000</v>
      </c>
      <c r="J166" s="193">
        <v>38160</v>
      </c>
      <c r="K166" s="193">
        <v>15000</v>
      </c>
      <c r="L166" s="193">
        <v>9190</v>
      </c>
      <c r="M166" s="193">
        <v>15660</v>
      </c>
      <c r="N166" s="193">
        <f>SUM(I166:M166)</f>
        <v>555010</v>
      </c>
      <c r="O166" s="191">
        <v>280000</v>
      </c>
      <c r="P166" s="60" t="s">
        <v>854</v>
      </c>
      <c r="Q166" s="29" t="s">
        <v>82</v>
      </c>
      <c r="R166" s="81"/>
      <c r="S166" s="48"/>
      <c r="T166" s="50"/>
      <c r="U166" s="30"/>
      <c r="V166" s="51"/>
      <c r="W166" s="52"/>
      <c r="X166" s="193"/>
      <c r="Y166" s="206">
        <f>X166*0.1</f>
        <v>0</v>
      </c>
      <c r="Z166" s="193"/>
      <c r="AA166" s="193">
        <f>SUM(X166:Z166)</f>
        <v>0</v>
      </c>
      <c r="AB166" s="219"/>
    </row>
    <row r="167" spans="1:28" ht="18.600000000000001" thickBot="1">
      <c r="A167" s="250"/>
      <c r="B167" s="31" t="s">
        <v>815</v>
      </c>
      <c r="C167" s="31">
        <v>9081</v>
      </c>
      <c r="D167" s="32" t="s">
        <v>593</v>
      </c>
      <c r="E167" s="200"/>
      <c r="F167" s="43" t="s">
        <v>855</v>
      </c>
      <c r="G167" s="38">
        <v>50691</v>
      </c>
      <c r="H167" s="202"/>
      <c r="I167" s="194"/>
      <c r="J167" s="194"/>
      <c r="K167" s="194"/>
      <c r="L167" s="194"/>
      <c r="M167" s="194"/>
      <c r="N167" s="194"/>
      <c r="O167" s="192"/>
      <c r="P167" s="45" t="s">
        <v>856</v>
      </c>
      <c r="Q167" s="33" t="s">
        <v>86</v>
      </c>
      <c r="R167" s="34" t="s">
        <v>857</v>
      </c>
      <c r="S167" s="44" t="s">
        <v>858</v>
      </c>
      <c r="T167" s="46"/>
      <c r="U167" s="35"/>
      <c r="V167" s="47"/>
      <c r="W167" s="46"/>
      <c r="X167" s="194"/>
      <c r="Y167" s="194"/>
      <c r="Z167" s="194"/>
      <c r="AA167" s="194"/>
      <c r="AB167" s="220"/>
    </row>
    <row r="168" spans="1:28" ht="18.600000000000001" thickTop="1">
      <c r="A168" s="249" t="s">
        <v>859</v>
      </c>
      <c r="B168" s="26">
        <v>43486</v>
      </c>
      <c r="C168" s="27" t="s">
        <v>860</v>
      </c>
      <c r="D168" s="28" t="s">
        <v>346</v>
      </c>
      <c r="E168" s="199"/>
      <c r="F168" s="40" t="s">
        <v>861</v>
      </c>
      <c r="G168" s="37"/>
      <c r="H168" s="201">
        <v>4</v>
      </c>
      <c r="I168" s="193">
        <v>22000</v>
      </c>
      <c r="J168" s="193">
        <v>1760</v>
      </c>
      <c r="K168" s="193">
        <v>0</v>
      </c>
      <c r="L168" s="193">
        <v>16090</v>
      </c>
      <c r="M168" s="193">
        <v>10800</v>
      </c>
      <c r="N168" s="193">
        <f>SUM(I168:M168)</f>
        <v>50650</v>
      </c>
      <c r="O168" s="191"/>
      <c r="P168" s="60" t="s">
        <v>862</v>
      </c>
      <c r="Q168" s="29" t="s">
        <v>82</v>
      </c>
      <c r="R168" s="81"/>
      <c r="S168" s="48"/>
      <c r="T168" s="50" t="s">
        <v>863</v>
      </c>
      <c r="U168" s="30"/>
      <c r="V168" s="51"/>
      <c r="W168" s="52"/>
      <c r="X168" s="193"/>
      <c r="Y168" s="206">
        <f>X168*0.1</f>
        <v>0</v>
      </c>
      <c r="Z168" s="193"/>
      <c r="AA168" s="193">
        <f>SUM(X168:Z168)</f>
        <v>0</v>
      </c>
      <c r="AB168" s="219"/>
    </row>
    <row r="169" spans="1:28" ht="18.600000000000001" thickBot="1">
      <c r="A169" s="250"/>
      <c r="B169" s="31" t="s">
        <v>84</v>
      </c>
      <c r="C169" s="31">
        <v>10510</v>
      </c>
      <c r="D169" s="32" t="s">
        <v>85</v>
      </c>
      <c r="E169" s="200"/>
      <c r="F169" s="43" t="s">
        <v>864</v>
      </c>
      <c r="G169" s="38">
        <v>105606</v>
      </c>
      <c r="H169" s="202"/>
      <c r="I169" s="194"/>
      <c r="J169" s="194"/>
      <c r="K169" s="194"/>
      <c r="L169" s="194"/>
      <c r="M169" s="194"/>
      <c r="N169" s="194"/>
      <c r="O169" s="192"/>
      <c r="P169" s="45" t="s">
        <v>865</v>
      </c>
      <c r="Q169" s="33" t="s">
        <v>86</v>
      </c>
      <c r="R169" s="34" t="s">
        <v>866</v>
      </c>
      <c r="S169" s="44" t="s">
        <v>184</v>
      </c>
      <c r="T169" s="46"/>
      <c r="U169" s="35"/>
      <c r="V169" s="47"/>
      <c r="W169" s="46"/>
      <c r="X169" s="194"/>
      <c r="Y169" s="194"/>
      <c r="Z169" s="194"/>
      <c r="AA169" s="194"/>
      <c r="AB169" s="220"/>
    </row>
    <row r="170" spans="1:28" ht="18.600000000000001" thickTop="1">
      <c r="A170" s="249" t="s">
        <v>867</v>
      </c>
      <c r="B170" s="26">
        <v>43488</v>
      </c>
      <c r="C170" s="27" t="s">
        <v>868</v>
      </c>
      <c r="D170" s="28" t="s">
        <v>869</v>
      </c>
      <c r="E170" s="199"/>
      <c r="F170" s="40" t="s">
        <v>81</v>
      </c>
      <c r="G170" s="37" t="s">
        <v>870</v>
      </c>
      <c r="H170" s="201">
        <v>3.5</v>
      </c>
      <c r="I170" s="193">
        <v>362000</v>
      </c>
      <c r="J170" s="193">
        <v>28960</v>
      </c>
      <c r="K170" s="193">
        <v>15000</v>
      </c>
      <c r="L170" s="193">
        <v>8930</v>
      </c>
      <c r="M170" s="193">
        <v>15660</v>
      </c>
      <c r="N170" s="193">
        <f>SUM(I170:M170)</f>
        <v>430550</v>
      </c>
      <c r="O170" s="191">
        <v>100000</v>
      </c>
      <c r="P170" s="60" t="s">
        <v>871</v>
      </c>
      <c r="Q170" s="29" t="s">
        <v>82</v>
      </c>
      <c r="R170" s="81"/>
      <c r="S170" s="48" t="s">
        <v>741</v>
      </c>
      <c r="T170" s="50" t="s">
        <v>872</v>
      </c>
      <c r="U170" s="30"/>
      <c r="V170" s="51"/>
      <c r="W170" s="52"/>
      <c r="X170" s="193"/>
      <c r="Y170" s="206">
        <f>X170*0.1</f>
        <v>0</v>
      </c>
      <c r="Z170" s="193"/>
      <c r="AA170" s="193">
        <f>SUM(X170:Z170)</f>
        <v>0</v>
      </c>
      <c r="AB170" s="219"/>
    </row>
    <row r="171" spans="1:28" ht="18.600000000000001" thickBot="1">
      <c r="A171" s="250"/>
      <c r="B171" s="31" t="s">
        <v>815</v>
      </c>
      <c r="C171" s="31">
        <v>9185</v>
      </c>
      <c r="D171" s="32" t="s">
        <v>91</v>
      </c>
      <c r="E171" s="200"/>
      <c r="F171" s="43" t="s">
        <v>873</v>
      </c>
      <c r="G171" s="38">
        <v>54030</v>
      </c>
      <c r="H171" s="202"/>
      <c r="I171" s="194"/>
      <c r="J171" s="194"/>
      <c r="K171" s="194"/>
      <c r="L171" s="194"/>
      <c r="M171" s="194"/>
      <c r="N171" s="194"/>
      <c r="O171" s="192"/>
      <c r="P171" s="45" t="s">
        <v>874</v>
      </c>
      <c r="Q171" s="33" t="s">
        <v>86</v>
      </c>
      <c r="R171" s="34" t="s">
        <v>875</v>
      </c>
      <c r="S171" s="44" t="s">
        <v>272</v>
      </c>
      <c r="T171" s="46"/>
      <c r="U171" s="35"/>
      <c r="V171" s="47"/>
      <c r="W171" s="46"/>
      <c r="X171" s="194"/>
      <c r="Y171" s="194"/>
      <c r="Z171" s="194"/>
      <c r="AA171" s="194"/>
      <c r="AB171" s="220"/>
    </row>
    <row r="172" spans="1:28" ht="18.600000000000001" thickTop="1">
      <c r="A172" s="249" t="s">
        <v>876</v>
      </c>
      <c r="B172" s="26">
        <v>43495</v>
      </c>
      <c r="C172" s="27" t="s">
        <v>877</v>
      </c>
      <c r="D172" s="28" t="s">
        <v>386</v>
      </c>
      <c r="E172" s="199"/>
      <c r="F172" s="40" t="s">
        <v>878</v>
      </c>
      <c r="G172" s="37" t="s">
        <v>879</v>
      </c>
      <c r="H172" s="201">
        <v>3.5</v>
      </c>
      <c r="I172" s="193">
        <v>226000</v>
      </c>
      <c r="J172" s="193">
        <v>18080</v>
      </c>
      <c r="K172" s="193">
        <v>10000</v>
      </c>
      <c r="L172" s="193">
        <v>9880</v>
      </c>
      <c r="M172" s="193">
        <v>12960</v>
      </c>
      <c r="N172" s="193">
        <f>SUM(I172:M172)</f>
        <v>276920</v>
      </c>
      <c r="O172" s="191">
        <v>70000</v>
      </c>
      <c r="P172" s="60" t="s">
        <v>880</v>
      </c>
      <c r="Q172" s="29" t="s">
        <v>82</v>
      </c>
      <c r="R172" s="81"/>
      <c r="S172" s="48"/>
      <c r="T172" s="50"/>
      <c r="U172" s="30"/>
      <c r="V172" s="51"/>
      <c r="W172" s="52"/>
      <c r="X172" s="193"/>
      <c r="Y172" s="206">
        <f>X172*0.1</f>
        <v>0</v>
      </c>
      <c r="Z172" s="193"/>
      <c r="AA172" s="193">
        <f>SUM(X172:Z172)</f>
        <v>0</v>
      </c>
      <c r="AB172" s="219"/>
    </row>
    <row r="173" spans="1:28" ht="18.600000000000001" thickBot="1">
      <c r="A173" s="250"/>
      <c r="B173" s="31" t="s">
        <v>742</v>
      </c>
      <c r="C173" s="31">
        <v>10159</v>
      </c>
      <c r="D173" s="32" t="s">
        <v>44</v>
      </c>
      <c r="E173" s="200"/>
      <c r="F173" s="43" t="s">
        <v>881</v>
      </c>
      <c r="G173" s="38">
        <v>41155</v>
      </c>
      <c r="H173" s="202"/>
      <c r="I173" s="194"/>
      <c r="J173" s="194"/>
      <c r="K173" s="194"/>
      <c r="L173" s="194"/>
      <c r="M173" s="194"/>
      <c r="N173" s="194"/>
      <c r="O173" s="192"/>
      <c r="P173" s="45" t="s">
        <v>882</v>
      </c>
      <c r="Q173" s="33" t="s">
        <v>86</v>
      </c>
      <c r="R173" s="34" t="s">
        <v>883</v>
      </c>
      <c r="S173" s="44" t="s">
        <v>884</v>
      </c>
      <c r="T173" s="46"/>
      <c r="U173" s="35"/>
      <c r="V173" s="47"/>
      <c r="W173" s="46"/>
      <c r="X173" s="194"/>
      <c r="Y173" s="194"/>
      <c r="Z173" s="194"/>
      <c r="AA173" s="194"/>
      <c r="AB173" s="220"/>
    </row>
    <row r="174" spans="1:28" ht="18.600000000000001" thickTop="1">
      <c r="A174" s="249" t="s">
        <v>885</v>
      </c>
      <c r="B174" s="26">
        <v>43495</v>
      </c>
      <c r="C174" s="27" t="s">
        <v>877</v>
      </c>
      <c r="D174" s="28" t="s">
        <v>886</v>
      </c>
      <c r="E174" s="199"/>
      <c r="F174" s="40" t="s">
        <v>887</v>
      </c>
      <c r="G174" s="37" t="s">
        <v>888</v>
      </c>
      <c r="H174" s="201">
        <v>4</v>
      </c>
      <c r="I174" s="193">
        <v>452000</v>
      </c>
      <c r="J174" s="193">
        <v>36160</v>
      </c>
      <c r="K174" s="193">
        <v>10000</v>
      </c>
      <c r="L174" s="193">
        <v>9200</v>
      </c>
      <c r="M174" s="193">
        <v>12960</v>
      </c>
      <c r="N174" s="193">
        <f>SUM(I174:M174)</f>
        <v>520320</v>
      </c>
      <c r="O174" s="191">
        <v>300000</v>
      </c>
      <c r="P174" s="60" t="s">
        <v>889</v>
      </c>
      <c r="Q174" s="29" t="s">
        <v>82</v>
      </c>
      <c r="R174" s="81"/>
      <c r="S174" s="48" t="s">
        <v>890</v>
      </c>
      <c r="T174" s="50"/>
      <c r="U174" s="30"/>
      <c r="V174" s="51"/>
      <c r="W174" s="52"/>
      <c r="X174" s="193"/>
      <c r="Y174" s="206">
        <f>X174*0.1</f>
        <v>0</v>
      </c>
      <c r="Z174" s="193"/>
      <c r="AA174" s="193">
        <f>SUM(X174:Z174)</f>
        <v>0</v>
      </c>
      <c r="AB174" s="219"/>
    </row>
    <row r="175" spans="1:28" ht="18.600000000000001" thickBot="1">
      <c r="A175" s="250"/>
      <c r="B175" s="31" t="s">
        <v>742</v>
      </c>
      <c r="C175" s="31">
        <v>10467</v>
      </c>
      <c r="D175" s="32" t="s">
        <v>891</v>
      </c>
      <c r="E175" s="200"/>
      <c r="F175" s="43" t="s">
        <v>892</v>
      </c>
      <c r="G175" s="38">
        <v>52695</v>
      </c>
      <c r="H175" s="202"/>
      <c r="I175" s="194"/>
      <c r="J175" s="194"/>
      <c r="K175" s="194"/>
      <c r="L175" s="194"/>
      <c r="M175" s="194"/>
      <c r="N175" s="194"/>
      <c r="O175" s="192"/>
      <c r="P175" s="45" t="s">
        <v>893</v>
      </c>
      <c r="Q175" s="33" t="s">
        <v>86</v>
      </c>
      <c r="R175" s="34" t="s">
        <v>894</v>
      </c>
      <c r="S175" s="44" t="s">
        <v>895</v>
      </c>
      <c r="T175" s="46"/>
      <c r="U175" s="35"/>
      <c r="V175" s="47"/>
      <c r="W175" s="46"/>
      <c r="X175" s="194"/>
      <c r="Y175" s="194"/>
      <c r="Z175" s="194"/>
      <c r="AA175" s="194"/>
      <c r="AB175" s="220"/>
    </row>
    <row r="176" spans="1:28" ht="18.600000000000001" thickTop="1">
      <c r="A176" s="249" t="s">
        <v>896</v>
      </c>
      <c r="B176" s="26">
        <v>43509</v>
      </c>
      <c r="C176" s="27" t="s">
        <v>897</v>
      </c>
      <c r="D176" s="28" t="s">
        <v>898</v>
      </c>
      <c r="E176" s="199"/>
      <c r="F176" s="40" t="s">
        <v>899</v>
      </c>
      <c r="G176" s="37"/>
      <c r="H176" s="201">
        <v>3.5</v>
      </c>
      <c r="I176" s="193">
        <v>326000</v>
      </c>
      <c r="J176" s="193">
        <v>26080</v>
      </c>
      <c r="K176" s="193">
        <v>0</v>
      </c>
      <c r="L176" s="193">
        <v>9790</v>
      </c>
      <c r="M176" s="193">
        <v>12960</v>
      </c>
      <c r="N176" s="193">
        <f>SUM(I176:M176)</f>
        <v>374830</v>
      </c>
      <c r="O176" s="191">
        <v>140000</v>
      </c>
      <c r="P176" s="59" t="s">
        <v>900</v>
      </c>
      <c r="Q176" s="29" t="s">
        <v>82</v>
      </c>
      <c r="R176" s="81"/>
      <c r="S176" s="48"/>
      <c r="T176" s="50"/>
      <c r="U176" s="30"/>
      <c r="V176" s="58"/>
      <c r="W176" s="52"/>
      <c r="X176" s="193"/>
      <c r="Y176" s="206">
        <f>X176*0.1</f>
        <v>0</v>
      </c>
      <c r="Z176" s="193"/>
      <c r="AA176" s="193">
        <f>SUM(X176:Z176)</f>
        <v>0</v>
      </c>
      <c r="AB176" s="219"/>
    </row>
    <row r="177" spans="1:28" ht="18.600000000000001" thickBot="1">
      <c r="A177" s="250"/>
      <c r="B177" s="31" t="s">
        <v>742</v>
      </c>
      <c r="C177" s="31">
        <v>10013</v>
      </c>
      <c r="D177" s="32" t="s">
        <v>593</v>
      </c>
      <c r="E177" s="200"/>
      <c r="F177" s="43" t="s">
        <v>901</v>
      </c>
      <c r="G177" s="38">
        <v>58890</v>
      </c>
      <c r="H177" s="202"/>
      <c r="I177" s="194"/>
      <c r="J177" s="194"/>
      <c r="K177" s="194"/>
      <c r="L177" s="194"/>
      <c r="M177" s="194"/>
      <c r="N177" s="194"/>
      <c r="O177" s="192"/>
      <c r="P177" s="55" t="s">
        <v>902</v>
      </c>
      <c r="Q177" s="33" t="s">
        <v>86</v>
      </c>
      <c r="R177" s="34" t="s">
        <v>903</v>
      </c>
      <c r="S177" s="44" t="s">
        <v>904</v>
      </c>
      <c r="T177" s="46"/>
      <c r="U177" s="35"/>
      <c r="V177" s="56"/>
      <c r="W177" s="46"/>
      <c r="X177" s="194"/>
      <c r="Y177" s="194"/>
      <c r="Z177" s="194"/>
      <c r="AA177" s="194"/>
      <c r="AB177" s="220"/>
    </row>
    <row r="178" spans="1:28" ht="18.600000000000001" thickTop="1">
      <c r="A178" s="249" t="s">
        <v>905</v>
      </c>
      <c r="B178" s="26">
        <v>43533</v>
      </c>
      <c r="C178" s="27" t="s">
        <v>906</v>
      </c>
      <c r="D178" s="28" t="s">
        <v>907</v>
      </c>
      <c r="E178" s="199"/>
      <c r="F178" s="40" t="s">
        <v>908</v>
      </c>
      <c r="G178" s="37" t="s">
        <v>909</v>
      </c>
      <c r="H178" s="201">
        <v>4.5</v>
      </c>
      <c r="I178" s="193">
        <v>1995000</v>
      </c>
      <c r="J178" s="193">
        <v>159600</v>
      </c>
      <c r="K178" s="193">
        <v>39500</v>
      </c>
      <c r="L178" s="193">
        <v>19100</v>
      </c>
      <c r="M178" s="193">
        <v>12960</v>
      </c>
      <c r="N178" s="193">
        <f>SUM(I178:M178)</f>
        <v>2226160</v>
      </c>
      <c r="O178" s="191">
        <v>1400000</v>
      </c>
      <c r="P178" s="59" t="s">
        <v>910</v>
      </c>
      <c r="Q178" s="29" t="s">
        <v>82</v>
      </c>
      <c r="R178" s="81"/>
      <c r="S178" s="48" t="s">
        <v>911</v>
      </c>
      <c r="T178" s="50" t="s">
        <v>912</v>
      </c>
      <c r="U178" s="30"/>
      <c r="V178" s="58"/>
      <c r="W178" s="52"/>
      <c r="X178" s="193"/>
      <c r="Y178" s="206">
        <f>X178*0.1</f>
        <v>0</v>
      </c>
      <c r="Z178" s="193"/>
      <c r="AA178" s="193">
        <f>SUM(X178:Z178)</f>
        <v>0</v>
      </c>
      <c r="AB178" s="219"/>
    </row>
    <row r="179" spans="1:28" ht="18.600000000000001" thickBot="1">
      <c r="A179" s="250"/>
      <c r="B179" s="31" t="s">
        <v>913</v>
      </c>
      <c r="C179" s="31">
        <v>59210</v>
      </c>
      <c r="D179" s="32" t="s">
        <v>101</v>
      </c>
      <c r="E179" s="200"/>
      <c r="F179" s="43" t="s">
        <v>914</v>
      </c>
      <c r="G179" s="38">
        <v>35405</v>
      </c>
      <c r="H179" s="202"/>
      <c r="I179" s="194"/>
      <c r="J179" s="194"/>
      <c r="K179" s="194"/>
      <c r="L179" s="194"/>
      <c r="M179" s="194"/>
      <c r="N179" s="194"/>
      <c r="O179" s="192"/>
      <c r="P179" s="55" t="s">
        <v>915</v>
      </c>
      <c r="Q179" s="33" t="s">
        <v>86</v>
      </c>
      <c r="R179" s="34" t="s">
        <v>916</v>
      </c>
      <c r="S179" s="44" t="s">
        <v>917</v>
      </c>
      <c r="T179" s="46"/>
      <c r="U179" s="35" t="s">
        <v>153</v>
      </c>
      <c r="V179" s="56"/>
      <c r="W179" s="46"/>
      <c r="X179" s="194"/>
      <c r="Y179" s="194"/>
      <c r="Z179" s="194"/>
      <c r="AA179" s="194"/>
      <c r="AB179" s="220"/>
    </row>
    <row r="180" spans="1:28" ht="18.600000000000001" thickTop="1">
      <c r="A180" s="249" t="s">
        <v>918</v>
      </c>
      <c r="B180" s="26">
        <v>43591</v>
      </c>
      <c r="C180" s="27" t="s">
        <v>919</v>
      </c>
      <c r="D180" s="28" t="s">
        <v>80</v>
      </c>
      <c r="E180" s="199"/>
      <c r="F180" s="40" t="s">
        <v>920</v>
      </c>
      <c r="G180" s="37" t="s">
        <v>921</v>
      </c>
      <c r="H180" s="201">
        <v>4</v>
      </c>
      <c r="I180" s="193">
        <v>1820000</v>
      </c>
      <c r="J180" s="193">
        <v>145600</v>
      </c>
      <c r="K180" s="193">
        <v>32900</v>
      </c>
      <c r="L180" s="193">
        <v>22120</v>
      </c>
      <c r="M180" s="193">
        <v>10800</v>
      </c>
      <c r="N180" s="193">
        <f>SUM(I180:M180)</f>
        <v>2031420</v>
      </c>
      <c r="O180" s="191">
        <v>1100000</v>
      </c>
      <c r="P180" s="59" t="s">
        <v>922</v>
      </c>
      <c r="Q180" s="29" t="s">
        <v>82</v>
      </c>
      <c r="R180" s="81"/>
      <c r="S180" s="48" t="s">
        <v>923</v>
      </c>
      <c r="T180" s="50"/>
      <c r="U180" s="30"/>
      <c r="V180" s="58"/>
      <c r="W180" s="52"/>
      <c r="X180" s="193"/>
      <c r="Y180" s="206">
        <f>X180*0.1</f>
        <v>0</v>
      </c>
      <c r="Z180" s="193"/>
      <c r="AA180" s="193">
        <f>SUM(X180:Z180)</f>
        <v>0</v>
      </c>
      <c r="AB180" s="219"/>
    </row>
    <row r="181" spans="1:28" ht="18.600000000000001" thickBot="1">
      <c r="A181" s="250"/>
      <c r="B181" s="31" t="s">
        <v>84</v>
      </c>
      <c r="C181" s="31">
        <v>37016</v>
      </c>
      <c r="D181" s="32" t="s">
        <v>924</v>
      </c>
      <c r="E181" s="200"/>
      <c r="F181" s="43" t="s">
        <v>925</v>
      </c>
      <c r="G181" s="38">
        <v>19663</v>
      </c>
      <c r="H181" s="202"/>
      <c r="I181" s="194"/>
      <c r="J181" s="194"/>
      <c r="K181" s="194"/>
      <c r="L181" s="194"/>
      <c r="M181" s="194"/>
      <c r="N181" s="194"/>
      <c r="O181" s="192"/>
      <c r="P181" s="55" t="s">
        <v>848</v>
      </c>
      <c r="Q181" s="33" t="s">
        <v>86</v>
      </c>
      <c r="R181" s="34" t="s">
        <v>926</v>
      </c>
      <c r="S181" s="44" t="s">
        <v>927</v>
      </c>
      <c r="T181" s="46"/>
      <c r="U181" s="35" t="s">
        <v>153</v>
      </c>
      <c r="V181" s="56"/>
      <c r="W181" s="46"/>
      <c r="X181" s="194"/>
      <c r="Y181" s="194"/>
      <c r="Z181" s="194"/>
      <c r="AA181" s="194"/>
      <c r="AB181" s="220"/>
    </row>
    <row r="182" spans="1:28" ht="18.600000000000001" thickTop="1">
      <c r="A182" s="249" t="s">
        <v>928</v>
      </c>
      <c r="B182" s="26">
        <v>43598</v>
      </c>
      <c r="C182" s="27" t="s">
        <v>929</v>
      </c>
      <c r="D182" s="28" t="s">
        <v>549</v>
      </c>
      <c r="E182" s="199"/>
      <c r="F182" s="40" t="s">
        <v>930</v>
      </c>
      <c r="G182" s="37"/>
      <c r="H182" s="201">
        <v>3.5</v>
      </c>
      <c r="I182" s="193">
        <v>465000</v>
      </c>
      <c r="J182" s="193">
        <v>37200</v>
      </c>
      <c r="K182" s="193">
        <v>0</v>
      </c>
      <c r="L182" s="193">
        <v>10460</v>
      </c>
      <c r="M182" s="193">
        <v>9720</v>
      </c>
      <c r="N182" s="193">
        <f>SUM(I182:M182)</f>
        <v>522380</v>
      </c>
      <c r="O182" s="191">
        <v>350000</v>
      </c>
      <c r="P182" s="59" t="s">
        <v>931</v>
      </c>
      <c r="Q182" s="29" t="s">
        <v>82</v>
      </c>
      <c r="R182" s="81"/>
      <c r="S182" s="48"/>
      <c r="T182" s="50"/>
      <c r="U182" s="30"/>
      <c r="V182" s="58"/>
      <c r="W182" s="52"/>
      <c r="X182" s="193"/>
      <c r="Y182" s="206">
        <f>X182*0.1</f>
        <v>0</v>
      </c>
      <c r="Z182" s="193"/>
      <c r="AA182" s="193">
        <f>SUM(X182:Z182)</f>
        <v>0</v>
      </c>
      <c r="AB182" s="219"/>
    </row>
    <row r="183" spans="1:28" ht="18.600000000000001" thickBot="1">
      <c r="A183" s="250"/>
      <c r="B183" s="31" t="s">
        <v>84</v>
      </c>
      <c r="C183" s="31">
        <v>11069</v>
      </c>
      <c r="D183" s="32" t="s">
        <v>170</v>
      </c>
      <c r="E183" s="200"/>
      <c r="F183" s="43" t="s">
        <v>932</v>
      </c>
      <c r="G183" s="38">
        <v>26682</v>
      </c>
      <c r="H183" s="202"/>
      <c r="I183" s="194"/>
      <c r="J183" s="194"/>
      <c r="K183" s="194"/>
      <c r="L183" s="194"/>
      <c r="M183" s="194"/>
      <c r="N183" s="194"/>
      <c r="O183" s="192"/>
      <c r="P183" s="55" t="s">
        <v>933</v>
      </c>
      <c r="Q183" s="33" t="s">
        <v>86</v>
      </c>
      <c r="R183" s="34" t="s">
        <v>934</v>
      </c>
      <c r="S183" s="44"/>
      <c r="T183" s="46"/>
      <c r="U183" s="35"/>
      <c r="V183" s="56"/>
      <c r="W183" s="46"/>
      <c r="X183" s="194"/>
      <c r="Y183" s="194"/>
      <c r="Z183" s="194"/>
      <c r="AA183" s="194"/>
      <c r="AB183" s="220"/>
    </row>
    <row r="184" spans="1:28" ht="18.600000000000001" thickTop="1">
      <c r="A184" s="249" t="s">
        <v>935</v>
      </c>
      <c r="B184" s="26">
        <v>43603</v>
      </c>
      <c r="C184" s="27" t="s">
        <v>936</v>
      </c>
      <c r="D184" s="28" t="s">
        <v>937</v>
      </c>
      <c r="E184" s="199"/>
      <c r="F184" s="40" t="s">
        <v>938</v>
      </c>
      <c r="G184" s="37"/>
      <c r="H184" s="201">
        <v>4.5</v>
      </c>
      <c r="I184" s="193">
        <v>1505000</v>
      </c>
      <c r="J184" s="193">
        <v>120400</v>
      </c>
      <c r="K184" s="193">
        <v>0</v>
      </c>
      <c r="L184" s="193">
        <v>21970</v>
      </c>
      <c r="M184" s="193">
        <v>12960</v>
      </c>
      <c r="N184" s="193">
        <f>SUM(I184:M184)</f>
        <v>1660330</v>
      </c>
      <c r="O184" s="191">
        <v>700000</v>
      </c>
      <c r="P184" s="59" t="s">
        <v>939</v>
      </c>
      <c r="Q184" s="29" t="s">
        <v>82</v>
      </c>
      <c r="R184" s="81"/>
      <c r="S184" s="48" t="s">
        <v>940</v>
      </c>
      <c r="T184" s="50"/>
      <c r="U184" s="30"/>
      <c r="V184" s="58"/>
      <c r="W184" s="52"/>
      <c r="X184" s="193"/>
      <c r="Y184" s="206">
        <f>X184*0.1</f>
        <v>0</v>
      </c>
      <c r="Z184" s="193"/>
      <c r="AA184" s="193">
        <f>SUM(X184:Z184)</f>
        <v>0</v>
      </c>
      <c r="AB184" s="219"/>
    </row>
    <row r="185" spans="1:28" ht="18.600000000000001" thickBot="1">
      <c r="A185" s="250"/>
      <c r="B185" s="31" t="s">
        <v>913</v>
      </c>
      <c r="C185" s="31">
        <v>57114</v>
      </c>
      <c r="D185" s="32" t="s">
        <v>941</v>
      </c>
      <c r="E185" s="200"/>
      <c r="F185" s="43" t="s">
        <v>942</v>
      </c>
      <c r="G185" s="38">
        <v>38971</v>
      </c>
      <c r="H185" s="202"/>
      <c r="I185" s="194"/>
      <c r="J185" s="194"/>
      <c r="K185" s="194"/>
      <c r="L185" s="194"/>
      <c r="M185" s="194"/>
      <c r="N185" s="194"/>
      <c r="O185" s="192"/>
      <c r="P185" s="55" t="s">
        <v>943</v>
      </c>
      <c r="Q185" s="33" t="s">
        <v>86</v>
      </c>
      <c r="R185" s="34" t="s">
        <v>944</v>
      </c>
      <c r="S185" s="44" t="s">
        <v>945</v>
      </c>
      <c r="T185" s="46"/>
      <c r="U185" s="35"/>
      <c r="V185" s="56"/>
      <c r="W185" s="46"/>
      <c r="X185" s="194"/>
      <c r="Y185" s="194"/>
      <c r="Z185" s="194"/>
      <c r="AA185" s="194"/>
      <c r="AB185" s="220"/>
    </row>
    <row r="186" spans="1:28" ht="18.600000000000001" thickTop="1">
      <c r="A186" s="249" t="s">
        <v>946</v>
      </c>
      <c r="B186" s="26">
        <v>43607</v>
      </c>
      <c r="C186" s="27" t="s">
        <v>947</v>
      </c>
      <c r="D186" s="28" t="s">
        <v>948</v>
      </c>
      <c r="E186" s="199"/>
      <c r="F186" s="40" t="s">
        <v>949</v>
      </c>
      <c r="G186" s="37"/>
      <c r="H186" s="201">
        <v>4</v>
      </c>
      <c r="I186" s="193">
        <v>520000</v>
      </c>
      <c r="J186" s="193">
        <v>41600</v>
      </c>
      <c r="K186" s="193">
        <v>0</v>
      </c>
      <c r="L186" s="193">
        <v>23900</v>
      </c>
      <c r="M186" s="193">
        <v>10800</v>
      </c>
      <c r="N186" s="193">
        <f>SUM(I186:M186)</f>
        <v>596300</v>
      </c>
      <c r="O186" s="191">
        <v>250000</v>
      </c>
      <c r="P186" s="59" t="s">
        <v>950</v>
      </c>
      <c r="Q186" s="29" t="s">
        <v>82</v>
      </c>
      <c r="R186" s="81"/>
      <c r="S186" s="48"/>
      <c r="T186" s="50"/>
      <c r="U186" s="30"/>
      <c r="V186" s="58"/>
      <c r="W186" s="52"/>
      <c r="X186" s="193"/>
      <c r="Y186" s="206">
        <f>X186*0.1</f>
        <v>0</v>
      </c>
      <c r="Z186" s="193"/>
      <c r="AA186" s="193">
        <f>SUM(X186:Z186)</f>
        <v>0</v>
      </c>
      <c r="AB186" s="219"/>
    </row>
    <row r="187" spans="1:28" ht="18.600000000000001" thickBot="1">
      <c r="A187" s="250"/>
      <c r="B187" s="31" t="s">
        <v>381</v>
      </c>
      <c r="C187" s="31">
        <v>4069</v>
      </c>
      <c r="D187" s="32" t="s">
        <v>91</v>
      </c>
      <c r="E187" s="200"/>
      <c r="F187" s="43" t="s">
        <v>951</v>
      </c>
      <c r="G187" s="38">
        <v>56221</v>
      </c>
      <c r="H187" s="202"/>
      <c r="I187" s="194"/>
      <c r="J187" s="194"/>
      <c r="K187" s="194"/>
      <c r="L187" s="194"/>
      <c r="M187" s="194"/>
      <c r="N187" s="194"/>
      <c r="O187" s="192"/>
      <c r="P187" s="55" t="s">
        <v>952</v>
      </c>
      <c r="Q187" s="33" t="s">
        <v>86</v>
      </c>
      <c r="R187" s="34" t="s">
        <v>953</v>
      </c>
      <c r="S187" s="44" t="s">
        <v>755</v>
      </c>
      <c r="T187" s="46"/>
      <c r="U187" s="35"/>
      <c r="V187" s="56"/>
      <c r="W187" s="46"/>
      <c r="X187" s="194"/>
      <c r="Y187" s="194"/>
      <c r="Z187" s="194"/>
      <c r="AA187" s="194"/>
      <c r="AB187" s="220"/>
    </row>
    <row r="188" spans="1:28" ht="18.600000000000001" thickTop="1">
      <c r="A188" s="249" t="s">
        <v>954</v>
      </c>
      <c r="B188" s="26">
        <v>43608</v>
      </c>
      <c r="C188" s="27" t="s">
        <v>955</v>
      </c>
      <c r="D188" s="28" t="s">
        <v>832</v>
      </c>
      <c r="E188" s="199"/>
      <c r="F188" s="40" t="s">
        <v>956</v>
      </c>
      <c r="G188" s="37"/>
      <c r="H188" s="201">
        <v>4</v>
      </c>
      <c r="I188" s="193">
        <v>2900000</v>
      </c>
      <c r="J188" s="193">
        <v>232000</v>
      </c>
      <c r="K188" s="193">
        <v>0</v>
      </c>
      <c r="L188" s="193">
        <v>19100</v>
      </c>
      <c r="M188" s="193">
        <v>12960</v>
      </c>
      <c r="N188" s="193">
        <f>SUM(I188:M188)</f>
        <v>3164060</v>
      </c>
      <c r="O188" s="191">
        <v>2000000</v>
      </c>
      <c r="P188" s="59" t="s">
        <v>957</v>
      </c>
      <c r="Q188" s="29" t="s">
        <v>82</v>
      </c>
      <c r="R188" s="81"/>
      <c r="S188" s="48"/>
      <c r="T188" s="50"/>
      <c r="U188" s="30"/>
      <c r="V188" s="58"/>
      <c r="W188" s="52"/>
      <c r="X188" s="193"/>
      <c r="Y188" s="206">
        <f>X188*0.1</f>
        <v>0</v>
      </c>
      <c r="Z188" s="193"/>
      <c r="AA188" s="193">
        <f>SUM(X188:Z188)</f>
        <v>0</v>
      </c>
      <c r="AB188" s="219"/>
    </row>
    <row r="189" spans="1:28" ht="18.600000000000001" thickBot="1">
      <c r="A189" s="250"/>
      <c r="B189" s="31" t="s">
        <v>373</v>
      </c>
      <c r="C189" s="31">
        <v>22</v>
      </c>
      <c r="D189" s="32" t="s">
        <v>101</v>
      </c>
      <c r="E189" s="200"/>
      <c r="F189" s="43" t="s">
        <v>958</v>
      </c>
      <c r="G189" s="38">
        <v>14700</v>
      </c>
      <c r="H189" s="202"/>
      <c r="I189" s="194"/>
      <c r="J189" s="194"/>
      <c r="K189" s="194"/>
      <c r="L189" s="194"/>
      <c r="M189" s="194"/>
      <c r="N189" s="194"/>
      <c r="O189" s="192"/>
      <c r="P189" s="55" t="s">
        <v>744</v>
      </c>
      <c r="Q189" s="33" t="s">
        <v>86</v>
      </c>
      <c r="R189" s="34" t="s">
        <v>959</v>
      </c>
      <c r="S189" s="44" t="s">
        <v>960</v>
      </c>
      <c r="T189" s="46"/>
      <c r="U189" s="35"/>
      <c r="V189" s="56"/>
      <c r="W189" s="46"/>
      <c r="X189" s="194"/>
      <c r="Y189" s="194"/>
      <c r="Z189" s="194"/>
      <c r="AA189" s="194"/>
      <c r="AB189" s="220"/>
    </row>
    <row r="190" spans="1:28" ht="18.600000000000001" thickTop="1">
      <c r="A190" s="249" t="s">
        <v>961</v>
      </c>
      <c r="B190" s="26">
        <v>43615</v>
      </c>
      <c r="C190" s="27" t="s">
        <v>962</v>
      </c>
      <c r="D190" s="28" t="s">
        <v>963</v>
      </c>
      <c r="E190" s="199"/>
      <c r="F190" s="40" t="s">
        <v>299</v>
      </c>
      <c r="G190" s="37"/>
      <c r="H190" s="201">
        <v>4</v>
      </c>
      <c r="I190" s="193">
        <v>738000</v>
      </c>
      <c r="J190" s="193">
        <v>59040</v>
      </c>
      <c r="K190" s="193">
        <v>0</v>
      </c>
      <c r="L190" s="193">
        <v>16090</v>
      </c>
      <c r="M190" s="193">
        <v>10800</v>
      </c>
      <c r="N190" s="193">
        <f>SUM(I190:M190)</f>
        <v>823930</v>
      </c>
      <c r="O190" s="191">
        <v>400000</v>
      </c>
      <c r="P190" s="59" t="s">
        <v>964</v>
      </c>
      <c r="Q190" s="29" t="s">
        <v>82</v>
      </c>
      <c r="R190" s="81"/>
      <c r="S190" s="48" t="s">
        <v>89</v>
      </c>
      <c r="T190" s="50"/>
      <c r="U190" s="30"/>
      <c r="V190" s="58"/>
      <c r="W190" s="52"/>
      <c r="X190" s="193"/>
      <c r="Y190" s="206">
        <f>X190*0.1</f>
        <v>0</v>
      </c>
      <c r="Z190" s="193"/>
      <c r="AA190" s="193">
        <f>SUM(X190:Z190)</f>
        <v>0</v>
      </c>
      <c r="AB190" s="219"/>
    </row>
    <row r="191" spans="1:28" ht="18.600000000000001" thickBot="1">
      <c r="A191" s="250"/>
      <c r="B191" s="31" t="s">
        <v>710</v>
      </c>
      <c r="C191" s="31">
        <v>80105</v>
      </c>
      <c r="D191" s="32" t="s">
        <v>965</v>
      </c>
      <c r="E191" s="200"/>
      <c r="F191" s="43" t="s">
        <v>966</v>
      </c>
      <c r="G191" s="38">
        <v>44240</v>
      </c>
      <c r="H191" s="202"/>
      <c r="I191" s="194"/>
      <c r="J191" s="194"/>
      <c r="K191" s="194"/>
      <c r="L191" s="194"/>
      <c r="M191" s="194"/>
      <c r="N191" s="194"/>
      <c r="O191" s="192"/>
      <c r="P191" s="55" t="s">
        <v>713</v>
      </c>
      <c r="Q191" s="33" t="s">
        <v>86</v>
      </c>
      <c r="R191" s="34" t="s">
        <v>967</v>
      </c>
      <c r="S191" s="44" t="s">
        <v>89</v>
      </c>
      <c r="T191" s="46"/>
      <c r="U191" s="35"/>
      <c r="V191" s="56"/>
      <c r="W191" s="46"/>
      <c r="X191" s="194"/>
      <c r="Y191" s="194"/>
      <c r="Z191" s="194"/>
      <c r="AA191" s="194"/>
      <c r="AB191" s="220"/>
    </row>
    <row r="192" spans="1:28" ht="18.600000000000001" thickTop="1">
      <c r="A192" s="249" t="s">
        <v>968</v>
      </c>
      <c r="B192" s="26">
        <v>43622</v>
      </c>
      <c r="C192" s="27" t="s">
        <v>555</v>
      </c>
      <c r="D192" s="28" t="s">
        <v>969</v>
      </c>
      <c r="E192" s="199"/>
      <c r="F192" s="40" t="s">
        <v>970</v>
      </c>
      <c r="G192" s="37" t="s">
        <v>971</v>
      </c>
      <c r="H192" s="201">
        <v>3.5</v>
      </c>
      <c r="I192" s="193">
        <v>479000</v>
      </c>
      <c r="J192" s="193">
        <v>38320</v>
      </c>
      <c r="K192" s="193">
        <v>65900</v>
      </c>
      <c r="L192" s="193">
        <v>14220</v>
      </c>
      <c r="M192" s="193">
        <v>10800</v>
      </c>
      <c r="N192" s="193">
        <f>SUM(I192:M192)</f>
        <v>608240</v>
      </c>
      <c r="O192" s="191">
        <v>200000</v>
      </c>
      <c r="P192" s="59" t="s">
        <v>972</v>
      </c>
      <c r="Q192" s="29" t="s">
        <v>82</v>
      </c>
      <c r="R192" s="81"/>
      <c r="S192" s="48"/>
      <c r="T192" s="50"/>
      <c r="U192" s="30"/>
      <c r="V192" s="58"/>
      <c r="W192" s="52"/>
      <c r="X192" s="193"/>
      <c r="Y192" s="206">
        <f>X192*0.1</f>
        <v>0</v>
      </c>
      <c r="Z192" s="193"/>
      <c r="AA192" s="193">
        <f>SUM(X192:Z192)</f>
        <v>0</v>
      </c>
      <c r="AB192" s="219"/>
    </row>
    <row r="193" spans="1:28" ht="18.600000000000001" thickBot="1">
      <c r="A193" s="250"/>
      <c r="B193" s="31" t="s">
        <v>710</v>
      </c>
      <c r="C193" s="31">
        <v>30205</v>
      </c>
      <c r="D193" s="32" t="s">
        <v>941</v>
      </c>
      <c r="E193" s="200"/>
      <c r="F193" s="43" t="s">
        <v>973</v>
      </c>
      <c r="G193" s="38">
        <v>59183</v>
      </c>
      <c r="H193" s="202"/>
      <c r="I193" s="194"/>
      <c r="J193" s="194"/>
      <c r="K193" s="194"/>
      <c r="L193" s="194"/>
      <c r="M193" s="194"/>
      <c r="N193" s="194"/>
      <c r="O193" s="192"/>
      <c r="P193" s="55" t="s">
        <v>974</v>
      </c>
      <c r="Q193" s="33" t="s">
        <v>86</v>
      </c>
      <c r="R193" s="34" t="s">
        <v>975</v>
      </c>
      <c r="S193" s="44" t="s">
        <v>976</v>
      </c>
      <c r="T193" s="46"/>
      <c r="U193" s="35"/>
      <c r="V193" s="56"/>
      <c r="W193" s="46"/>
      <c r="X193" s="194"/>
      <c r="Y193" s="194"/>
      <c r="Z193" s="194"/>
      <c r="AA193" s="194"/>
      <c r="AB193" s="220"/>
    </row>
    <row r="194" spans="1:28" ht="18.600000000000001" thickTop="1">
      <c r="A194" s="249" t="s">
        <v>977</v>
      </c>
      <c r="B194" s="26">
        <v>43627</v>
      </c>
      <c r="C194" s="27" t="s">
        <v>978</v>
      </c>
      <c r="D194" s="28" t="s">
        <v>937</v>
      </c>
      <c r="E194" s="199"/>
      <c r="F194" s="40" t="s">
        <v>979</v>
      </c>
      <c r="G194" s="37" t="s">
        <v>980</v>
      </c>
      <c r="H194" s="201">
        <v>3.5</v>
      </c>
      <c r="I194" s="193">
        <v>424000</v>
      </c>
      <c r="J194" s="193">
        <v>33920</v>
      </c>
      <c r="K194" s="193">
        <v>15000</v>
      </c>
      <c r="L194" s="193">
        <v>9210</v>
      </c>
      <c r="M194" s="193">
        <v>15660</v>
      </c>
      <c r="N194" s="193">
        <f>SUM(I194:M194)</f>
        <v>497790</v>
      </c>
      <c r="O194" s="191">
        <v>200000</v>
      </c>
      <c r="P194" s="59" t="s">
        <v>981</v>
      </c>
      <c r="Q194" s="29" t="s">
        <v>82</v>
      </c>
      <c r="R194" s="81"/>
      <c r="S194" s="48" t="s">
        <v>741</v>
      </c>
      <c r="T194" s="50"/>
      <c r="U194" s="30"/>
      <c r="V194" s="58"/>
      <c r="W194" s="52"/>
      <c r="X194" s="193"/>
      <c r="Y194" s="206">
        <f>X194*0.1</f>
        <v>0</v>
      </c>
      <c r="Z194" s="193"/>
      <c r="AA194" s="193">
        <f>SUM(X194:Z194)</f>
        <v>0</v>
      </c>
      <c r="AB194" s="219"/>
    </row>
    <row r="195" spans="1:28" ht="18.600000000000001" thickBot="1">
      <c r="A195" s="250"/>
      <c r="B195" s="31" t="s">
        <v>982</v>
      </c>
      <c r="C195" s="31">
        <v>3492</v>
      </c>
      <c r="D195" s="32" t="s">
        <v>170</v>
      </c>
      <c r="E195" s="200"/>
      <c r="F195" s="43" t="s">
        <v>983</v>
      </c>
      <c r="G195" s="38">
        <v>53613</v>
      </c>
      <c r="H195" s="202"/>
      <c r="I195" s="194"/>
      <c r="J195" s="194"/>
      <c r="K195" s="194"/>
      <c r="L195" s="194"/>
      <c r="M195" s="194"/>
      <c r="N195" s="194"/>
      <c r="O195" s="192"/>
      <c r="P195" s="55" t="s">
        <v>984</v>
      </c>
      <c r="Q195" s="33" t="s">
        <v>86</v>
      </c>
      <c r="R195" s="34" t="s">
        <v>985</v>
      </c>
      <c r="S195" s="44" t="s">
        <v>986</v>
      </c>
      <c r="T195" s="46"/>
      <c r="U195" s="35"/>
      <c r="V195" s="56"/>
      <c r="W195" s="46"/>
      <c r="X195" s="194"/>
      <c r="Y195" s="194"/>
      <c r="Z195" s="194"/>
      <c r="AA195" s="194"/>
      <c r="AB195" s="220"/>
    </row>
    <row r="196" spans="1:28" ht="18.600000000000001" thickTop="1">
      <c r="A196" s="249" t="s">
        <v>998</v>
      </c>
      <c r="B196" s="26">
        <v>43634</v>
      </c>
      <c r="C196" s="27" t="s">
        <v>999</v>
      </c>
      <c r="D196" s="28" t="s">
        <v>443</v>
      </c>
      <c r="E196" s="199"/>
      <c r="F196" s="40" t="s">
        <v>1000</v>
      </c>
      <c r="G196" s="135" t="s">
        <v>1001</v>
      </c>
      <c r="H196" s="201">
        <v>3.5</v>
      </c>
      <c r="I196" s="193">
        <v>688000</v>
      </c>
      <c r="J196" s="193">
        <v>55040</v>
      </c>
      <c r="K196" s="193">
        <v>15000</v>
      </c>
      <c r="L196" s="193">
        <v>7020</v>
      </c>
      <c r="M196" s="193">
        <f>14500+1160</f>
        <v>15660</v>
      </c>
      <c r="N196" s="193">
        <f>SUM(I196:M196)</f>
        <v>780720</v>
      </c>
      <c r="O196" s="191">
        <v>400000</v>
      </c>
      <c r="P196" s="59" t="s">
        <v>1002</v>
      </c>
      <c r="Q196" s="29" t="s">
        <v>82</v>
      </c>
      <c r="R196" s="81"/>
      <c r="S196" s="48" t="s">
        <v>940</v>
      </c>
      <c r="T196" s="50"/>
      <c r="U196" s="30"/>
      <c r="V196" s="58"/>
      <c r="W196" s="52"/>
      <c r="X196" s="193"/>
      <c r="Y196" s="206">
        <f>X196*0.1</f>
        <v>0</v>
      </c>
      <c r="Z196" s="193"/>
      <c r="AA196" s="193">
        <f>SUM(X196:Z196)</f>
        <v>0</v>
      </c>
      <c r="AB196" s="219"/>
    </row>
    <row r="197" spans="1:28" ht="18.600000000000001" thickBot="1">
      <c r="A197" s="250"/>
      <c r="B197" s="31" t="s">
        <v>982</v>
      </c>
      <c r="C197" s="31">
        <v>3338</v>
      </c>
      <c r="D197" s="32" t="s">
        <v>941</v>
      </c>
      <c r="E197" s="200"/>
      <c r="F197" s="43" t="s">
        <v>1003</v>
      </c>
      <c r="G197" s="38">
        <v>31604</v>
      </c>
      <c r="H197" s="202"/>
      <c r="I197" s="194"/>
      <c r="J197" s="194"/>
      <c r="K197" s="194"/>
      <c r="L197" s="194"/>
      <c r="M197" s="194"/>
      <c r="N197" s="194"/>
      <c r="O197" s="192"/>
      <c r="P197" s="55" t="s">
        <v>1004</v>
      </c>
      <c r="Q197" s="33" t="s">
        <v>86</v>
      </c>
      <c r="R197" s="34" t="s">
        <v>1005</v>
      </c>
      <c r="S197" s="44" t="s">
        <v>940</v>
      </c>
      <c r="T197" s="46"/>
      <c r="U197" s="35"/>
      <c r="V197" s="56"/>
      <c r="W197" s="46"/>
      <c r="X197" s="194"/>
      <c r="Y197" s="194"/>
      <c r="Z197" s="194"/>
      <c r="AA197" s="194"/>
      <c r="AB197" s="220"/>
    </row>
    <row r="198" spans="1:28" ht="18.600000000000001" thickTop="1">
      <c r="A198" s="249" t="s">
        <v>1006</v>
      </c>
      <c r="B198" s="26">
        <v>43635</v>
      </c>
      <c r="C198" s="27" t="s">
        <v>1007</v>
      </c>
      <c r="D198" s="28" t="s">
        <v>1008</v>
      </c>
      <c r="E198" s="199"/>
      <c r="F198" s="40" t="s">
        <v>1009</v>
      </c>
      <c r="G198" s="37"/>
      <c r="H198" s="201" t="s">
        <v>825</v>
      </c>
      <c r="I198" s="193">
        <v>130000</v>
      </c>
      <c r="J198" s="193">
        <v>10400</v>
      </c>
      <c r="K198" s="193">
        <v>0</v>
      </c>
      <c r="L198" s="193">
        <v>9170</v>
      </c>
      <c r="M198" s="193">
        <f>14500+1160</f>
        <v>15660</v>
      </c>
      <c r="N198" s="193">
        <f>SUM(I198:M198)</f>
        <v>165230</v>
      </c>
      <c r="O198" s="191">
        <v>50000</v>
      </c>
      <c r="P198" s="59" t="s">
        <v>1010</v>
      </c>
      <c r="Q198" s="29" t="s">
        <v>82</v>
      </c>
      <c r="R198" s="81"/>
      <c r="S198" s="48"/>
      <c r="T198" s="50"/>
      <c r="U198" s="30"/>
      <c r="V198" s="58"/>
      <c r="W198" s="52"/>
      <c r="X198" s="193"/>
      <c r="Y198" s="206">
        <f>X198*0.1</f>
        <v>0</v>
      </c>
      <c r="Z198" s="193"/>
      <c r="AA198" s="193">
        <f>SUM(X198:Z198)</f>
        <v>0</v>
      </c>
      <c r="AB198" s="219"/>
    </row>
    <row r="199" spans="1:28" ht="18.600000000000001" thickBot="1">
      <c r="A199" s="250"/>
      <c r="B199" s="31" t="s">
        <v>815</v>
      </c>
      <c r="C199" s="31">
        <v>3215</v>
      </c>
      <c r="D199" s="32" t="s">
        <v>1011</v>
      </c>
      <c r="E199" s="200"/>
      <c r="F199" s="43" t="s">
        <v>1012</v>
      </c>
      <c r="G199" s="38">
        <v>39778</v>
      </c>
      <c r="H199" s="202"/>
      <c r="I199" s="194"/>
      <c r="J199" s="194"/>
      <c r="K199" s="194"/>
      <c r="L199" s="194"/>
      <c r="M199" s="194"/>
      <c r="N199" s="194"/>
      <c r="O199" s="192"/>
      <c r="P199" s="55" t="s">
        <v>1013</v>
      </c>
      <c r="Q199" s="33" t="s">
        <v>86</v>
      </c>
      <c r="R199" s="34" t="s">
        <v>1014</v>
      </c>
      <c r="S199" s="44"/>
      <c r="T199" s="46"/>
      <c r="U199" s="35"/>
      <c r="V199" s="56"/>
      <c r="W199" s="46"/>
      <c r="X199" s="194"/>
      <c r="Y199" s="194"/>
      <c r="Z199" s="194"/>
      <c r="AA199" s="194"/>
      <c r="AB199" s="220"/>
    </row>
    <row r="200" spans="1:28" ht="18.600000000000001" thickTop="1">
      <c r="A200" s="249" t="s">
        <v>1015</v>
      </c>
      <c r="B200" s="26">
        <v>43635</v>
      </c>
      <c r="C200" s="27"/>
      <c r="D200" s="28" t="s">
        <v>523</v>
      </c>
      <c r="E200" s="199"/>
      <c r="F200" s="40" t="s">
        <v>1016</v>
      </c>
      <c r="G200" s="37" t="s">
        <v>718</v>
      </c>
      <c r="H200" s="201" t="s">
        <v>825</v>
      </c>
      <c r="I200" s="193">
        <v>815000</v>
      </c>
      <c r="J200" s="193">
        <v>65200</v>
      </c>
      <c r="K200" s="193">
        <v>26300</v>
      </c>
      <c r="L200" s="193">
        <v>9810</v>
      </c>
      <c r="M200" s="193">
        <f>66579+5327</f>
        <v>71906</v>
      </c>
      <c r="N200" s="193">
        <f>SUM(I200:M200)</f>
        <v>988216</v>
      </c>
      <c r="O200" s="191">
        <v>450000</v>
      </c>
      <c r="P200" s="136" t="s">
        <v>1017</v>
      </c>
      <c r="Q200" s="29" t="s">
        <v>82</v>
      </c>
      <c r="R200" s="81"/>
      <c r="S200" s="48" t="s">
        <v>1018</v>
      </c>
      <c r="T200" s="50"/>
      <c r="U200" s="30"/>
      <c r="V200" s="58"/>
      <c r="W200" s="52"/>
      <c r="X200" s="193"/>
      <c r="Y200" s="206">
        <f>X200*0.1</f>
        <v>0</v>
      </c>
      <c r="Z200" s="193"/>
      <c r="AA200" s="193">
        <f>SUM(X200:Z200)</f>
        <v>0</v>
      </c>
      <c r="AB200" s="219"/>
    </row>
    <row r="201" spans="1:28" ht="18.600000000000001" thickBot="1">
      <c r="A201" s="250"/>
      <c r="B201" s="31" t="s">
        <v>90</v>
      </c>
      <c r="C201" s="31" t="s">
        <v>1019</v>
      </c>
      <c r="D201" s="32" t="s">
        <v>636</v>
      </c>
      <c r="E201" s="200"/>
      <c r="F201" s="43" t="s">
        <v>1020</v>
      </c>
      <c r="G201" s="38">
        <v>54373</v>
      </c>
      <c r="H201" s="202"/>
      <c r="I201" s="194"/>
      <c r="J201" s="194"/>
      <c r="K201" s="194"/>
      <c r="L201" s="194"/>
      <c r="M201" s="194"/>
      <c r="N201" s="194"/>
      <c r="O201" s="192"/>
      <c r="P201" s="55" t="s">
        <v>1021</v>
      </c>
      <c r="Q201" s="33" t="s">
        <v>86</v>
      </c>
      <c r="R201" s="34" t="s">
        <v>1022</v>
      </c>
      <c r="S201" s="44" t="s">
        <v>89</v>
      </c>
      <c r="T201" s="46"/>
      <c r="U201" s="35"/>
      <c r="V201" s="56"/>
      <c r="W201" s="46"/>
      <c r="X201" s="194"/>
      <c r="Y201" s="194"/>
      <c r="Z201" s="194"/>
      <c r="AA201" s="194"/>
      <c r="AB201" s="220"/>
    </row>
    <row r="202" spans="1:28" ht="18.600000000000001" thickTop="1">
      <c r="A202" s="249" t="s">
        <v>1023</v>
      </c>
      <c r="B202" s="26">
        <v>43666</v>
      </c>
      <c r="C202" s="27"/>
      <c r="D202" s="28" t="s">
        <v>1024</v>
      </c>
      <c r="E202" s="199" t="s">
        <v>282</v>
      </c>
      <c r="F202" s="40" t="s">
        <v>1025</v>
      </c>
      <c r="G202" s="130" t="s">
        <v>1026</v>
      </c>
      <c r="H202" s="201">
        <v>5</v>
      </c>
      <c r="I202" s="193">
        <v>1600000</v>
      </c>
      <c r="J202" s="193">
        <v>128000</v>
      </c>
      <c r="K202" s="193">
        <v>0</v>
      </c>
      <c r="L202" s="193">
        <v>8110</v>
      </c>
      <c r="M202" s="193">
        <f>89375+7150</f>
        <v>96525</v>
      </c>
      <c r="N202" s="193">
        <f>SUM(I202:M202)</f>
        <v>1832635</v>
      </c>
      <c r="O202" s="191"/>
      <c r="P202" s="50" t="s">
        <v>1027</v>
      </c>
      <c r="Q202" s="29" t="s">
        <v>82</v>
      </c>
      <c r="R202" s="81"/>
      <c r="S202" s="48" t="s">
        <v>1028</v>
      </c>
      <c r="T202" s="50"/>
      <c r="U202" s="30" t="s">
        <v>1029</v>
      </c>
      <c r="V202" s="58"/>
      <c r="W202" s="52"/>
      <c r="X202" s="193"/>
      <c r="Y202" s="206">
        <f>X202*0.1</f>
        <v>0</v>
      </c>
      <c r="Z202" s="193"/>
      <c r="AA202" s="193">
        <f>SUM(X202:Z202)</f>
        <v>0</v>
      </c>
      <c r="AB202" s="219"/>
    </row>
    <row r="203" spans="1:28" ht="18.600000000000001" thickBot="1">
      <c r="A203" s="250"/>
      <c r="B203" s="31" t="s">
        <v>90</v>
      </c>
      <c r="C203" s="31" t="s">
        <v>1030</v>
      </c>
      <c r="D203" s="32" t="s">
        <v>636</v>
      </c>
      <c r="E203" s="200"/>
      <c r="F203" s="43" t="s">
        <v>1031</v>
      </c>
      <c r="G203" s="112">
        <v>8337</v>
      </c>
      <c r="H203" s="202"/>
      <c r="I203" s="194"/>
      <c r="J203" s="194"/>
      <c r="K203" s="194"/>
      <c r="L203" s="194"/>
      <c r="M203" s="194"/>
      <c r="N203" s="194"/>
      <c r="O203" s="192"/>
      <c r="P203" s="46" t="s">
        <v>1032</v>
      </c>
      <c r="Q203" s="33" t="s">
        <v>86</v>
      </c>
      <c r="R203" s="34" t="s">
        <v>1033</v>
      </c>
      <c r="S203" s="44" t="s">
        <v>1034</v>
      </c>
      <c r="T203" s="46"/>
      <c r="U203" s="118"/>
      <c r="V203" s="56"/>
      <c r="W203" s="46"/>
      <c r="X203" s="194"/>
      <c r="Y203" s="194"/>
      <c r="Z203" s="194"/>
      <c r="AA203" s="194"/>
      <c r="AB203" s="220"/>
    </row>
    <row r="204" spans="1:28" ht="18.600000000000001" thickTop="1">
      <c r="A204" s="249" t="s">
        <v>1035</v>
      </c>
      <c r="B204" s="26">
        <v>43673</v>
      </c>
      <c r="C204" s="27" t="s">
        <v>673</v>
      </c>
      <c r="D204" s="28" t="s">
        <v>1036</v>
      </c>
      <c r="E204" s="199"/>
      <c r="F204" s="40" t="s">
        <v>1037</v>
      </c>
      <c r="G204" s="37"/>
      <c r="H204" s="201">
        <v>3.5</v>
      </c>
      <c r="I204" s="193">
        <v>156000</v>
      </c>
      <c r="J204" s="193">
        <v>12480</v>
      </c>
      <c r="K204" s="193">
        <v>0</v>
      </c>
      <c r="L204" s="193">
        <v>10110</v>
      </c>
      <c r="M204" s="193">
        <v>8640</v>
      </c>
      <c r="N204" s="193">
        <f>SUM(I204:M204)</f>
        <v>187230</v>
      </c>
      <c r="O204" s="191">
        <v>80000</v>
      </c>
      <c r="P204" s="59" t="s">
        <v>1038</v>
      </c>
      <c r="Q204" s="29" t="s">
        <v>82</v>
      </c>
      <c r="R204" s="81"/>
      <c r="S204" s="48"/>
      <c r="T204" s="50"/>
      <c r="U204" s="30"/>
      <c r="V204" s="58"/>
      <c r="W204" s="52"/>
      <c r="X204" s="193"/>
      <c r="Y204" s="206">
        <f>X204*0.1</f>
        <v>0</v>
      </c>
      <c r="Z204" s="193"/>
      <c r="AA204" s="193">
        <f>SUM(X204:Z204)</f>
        <v>0</v>
      </c>
      <c r="AB204" s="219"/>
    </row>
    <row r="205" spans="1:28" ht="18.600000000000001" thickBot="1">
      <c r="A205" s="250"/>
      <c r="B205" s="31" t="s">
        <v>148</v>
      </c>
      <c r="C205" s="31">
        <v>63078</v>
      </c>
      <c r="D205" s="32" t="s">
        <v>229</v>
      </c>
      <c r="E205" s="200"/>
      <c r="F205" s="43" t="s">
        <v>1039</v>
      </c>
      <c r="G205" s="38">
        <v>36756</v>
      </c>
      <c r="H205" s="202"/>
      <c r="I205" s="194"/>
      <c r="J205" s="194"/>
      <c r="K205" s="194"/>
      <c r="L205" s="194"/>
      <c r="M205" s="194"/>
      <c r="N205" s="194"/>
      <c r="O205" s="192"/>
      <c r="P205" s="55" t="s">
        <v>1040</v>
      </c>
      <c r="Q205" s="33" t="s">
        <v>86</v>
      </c>
      <c r="R205" s="34" t="s">
        <v>1041</v>
      </c>
      <c r="S205" s="44" t="s">
        <v>1042</v>
      </c>
      <c r="T205" s="46"/>
      <c r="U205" s="35"/>
      <c r="V205" s="56"/>
      <c r="W205" s="46"/>
      <c r="X205" s="194"/>
      <c r="Y205" s="194"/>
      <c r="Z205" s="194"/>
      <c r="AA205" s="194"/>
      <c r="AB205" s="220"/>
    </row>
    <row r="206" spans="1:28" ht="18.600000000000001" thickTop="1">
      <c r="A206" s="249" t="s">
        <v>1043</v>
      </c>
      <c r="B206" s="26">
        <v>43699</v>
      </c>
      <c r="C206" s="27" t="s">
        <v>1044</v>
      </c>
      <c r="D206" s="28" t="s">
        <v>1045</v>
      </c>
      <c r="E206" s="199"/>
      <c r="F206" s="40" t="s">
        <v>1046</v>
      </c>
      <c r="G206" s="135" t="s">
        <v>1047</v>
      </c>
      <c r="H206" s="201">
        <v>4.5</v>
      </c>
      <c r="I206" s="193">
        <v>4550000</v>
      </c>
      <c r="J206" s="193">
        <v>364000</v>
      </c>
      <c r="K206" s="193">
        <v>44600</v>
      </c>
      <c r="L206" s="193">
        <v>22700</v>
      </c>
      <c r="M206" s="193">
        <v>23760</v>
      </c>
      <c r="N206" s="193">
        <f>SUM(I206:M206)</f>
        <v>5005060</v>
      </c>
      <c r="O206" s="191">
        <v>3000000</v>
      </c>
      <c r="P206" s="59" t="s">
        <v>1048</v>
      </c>
      <c r="Q206" s="29" t="s">
        <v>82</v>
      </c>
      <c r="R206" s="81"/>
      <c r="S206" s="48" t="s">
        <v>1049</v>
      </c>
      <c r="T206" s="50"/>
      <c r="U206" s="30"/>
      <c r="V206" s="58"/>
      <c r="W206" s="52"/>
      <c r="X206" s="193"/>
      <c r="Y206" s="206">
        <f>X206*0.1</f>
        <v>0</v>
      </c>
      <c r="Z206" s="193"/>
      <c r="AA206" s="193">
        <f>SUM(X206:Z206)</f>
        <v>0</v>
      </c>
      <c r="AB206" s="219"/>
    </row>
    <row r="207" spans="1:28" ht="18.600000000000001" thickBot="1">
      <c r="A207" s="250"/>
      <c r="B207" s="31" t="s">
        <v>261</v>
      </c>
      <c r="C207" s="31">
        <v>70034</v>
      </c>
      <c r="D207" s="32" t="s">
        <v>1050</v>
      </c>
      <c r="E207" s="200"/>
      <c r="F207" s="43" t="s">
        <v>1051</v>
      </c>
      <c r="G207" s="38">
        <v>37542</v>
      </c>
      <c r="H207" s="202"/>
      <c r="I207" s="194"/>
      <c r="J207" s="194"/>
      <c r="K207" s="194"/>
      <c r="L207" s="194"/>
      <c r="M207" s="194"/>
      <c r="N207" s="194"/>
      <c r="O207" s="192"/>
      <c r="P207" s="55" t="s">
        <v>1052</v>
      </c>
      <c r="Q207" s="33" t="s">
        <v>86</v>
      </c>
      <c r="R207" s="34" t="s">
        <v>1053</v>
      </c>
      <c r="S207" s="44" t="s">
        <v>1054</v>
      </c>
      <c r="T207" s="46"/>
      <c r="U207" s="35" t="s">
        <v>153</v>
      </c>
      <c r="V207" s="56"/>
      <c r="W207" s="46"/>
      <c r="X207" s="194"/>
      <c r="Y207" s="194"/>
      <c r="Z207" s="194"/>
      <c r="AA207" s="194"/>
      <c r="AB207" s="220"/>
    </row>
    <row r="208" spans="1:28" ht="18.600000000000001" thickTop="1">
      <c r="A208" s="249" t="s">
        <v>1055</v>
      </c>
      <c r="B208" s="26">
        <v>43699</v>
      </c>
      <c r="C208" s="27" t="s">
        <v>1056</v>
      </c>
      <c r="D208" s="28" t="s">
        <v>654</v>
      </c>
      <c r="E208" s="199"/>
      <c r="F208" s="40" t="s">
        <v>1057</v>
      </c>
      <c r="G208" s="37"/>
      <c r="H208" s="201">
        <v>4</v>
      </c>
      <c r="I208" s="193">
        <v>1350000</v>
      </c>
      <c r="J208" s="193">
        <v>108000</v>
      </c>
      <c r="K208" s="193">
        <v>0</v>
      </c>
      <c r="L208" s="193">
        <v>21300</v>
      </c>
      <c r="M208" s="193">
        <v>12960</v>
      </c>
      <c r="N208" s="193">
        <f>SUM(I208:M208)</f>
        <v>1492260</v>
      </c>
      <c r="O208" s="191">
        <v>700000</v>
      </c>
      <c r="P208" s="59" t="s">
        <v>1058</v>
      </c>
      <c r="Q208" s="29" t="s">
        <v>82</v>
      </c>
      <c r="R208" s="81"/>
      <c r="S208" s="48" t="s">
        <v>1059</v>
      </c>
      <c r="T208" s="50"/>
      <c r="U208" s="30"/>
      <c r="V208" s="58"/>
      <c r="W208" s="52"/>
      <c r="X208" s="193"/>
      <c r="Y208" s="206">
        <f>X208*0.1</f>
        <v>0</v>
      </c>
      <c r="Z208" s="193"/>
      <c r="AA208" s="193">
        <f>SUM(X208:Z208)</f>
        <v>0</v>
      </c>
      <c r="AB208" s="219"/>
    </row>
    <row r="209" spans="1:28" ht="18.600000000000001" thickBot="1">
      <c r="A209" s="250"/>
      <c r="B209" s="31" t="s">
        <v>373</v>
      </c>
      <c r="C209" s="31">
        <v>133</v>
      </c>
      <c r="D209" s="32" t="s">
        <v>593</v>
      </c>
      <c r="E209" s="200"/>
      <c r="F209" s="43" t="s">
        <v>1060</v>
      </c>
      <c r="G209" s="38">
        <v>43772</v>
      </c>
      <c r="H209" s="202"/>
      <c r="I209" s="194"/>
      <c r="J209" s="194"/>
      <c r="K209" s="194"/>
      <c r="L209" s="194"/>
      <c r="M209" s="194"/>
      <c r="N209" s="194"/>
      <c r="O209" s="192"/>
      <c r="P209" s="55" t="s">
        <v>1061</v>
      </c>
      <c r="Q209" s="33" t="s">
        <v>86</v>
      </c>
      <c r="R209" s="34" t="s">
        <v>1053</v>
      </c>
      <c r="S209" s="44" t="s">
        <v>640</v>
      </c>
      <c r="T209" s="46"/>
      <c r="U209" s="35"/>
      <c r="V209" s="56"/>
      <c r="W209" s="46"/>
      <c r="X209" s="194"/>
      <c r="Y209" s="194"/>
      <c r="Z209" s="194"/>
      <c r="AA209" s="194"/>
      <c r="AB209" s="220"/>
    </row>
    <row r="210" spans="1:28" ht="18.600000000000001" thickTop="1">
      <c r="A210" s="249" t="s">
        <v>1062</v>
      </c>
      <c r="B210" s="26">
        <v>43699</v>
      </c>
      <c r="C210" s="27" t="s">
        <v>1063</v>
      </c>
      <c r="D210" s="28" t="s">
        <v>798</v>
      </c>
      <c r="E210" s="199"/>
      <c r="F210" s="40" t="s">
        <v>1064</v>
      </c>
      <c r="G210" s="37" t="s">
        <v>1065</v>
      </c>
      <c r="H210" s="201">
        <v>4.5</v>
      </c>
      <c r="I210" s="193">
        <v>800000</v>
      </c>
      <c r="J210" s="193">
        <v>64000</v>
      </c>
      <c r="K210" s="193">
        <v>29700</v>
      </c>
      <c r="L210" s="193">
        <v>21540</v>
      </c>
      <c r="M210" s="193">
        <v>12960</v>
      </c>
      <c r="N210" s="193">
        <f>SUM(I210:M210)</f>
        <v>928200</v>
      </c>
      <c r="O210" s="191">
        <v>100000</v>
      </c>
      <c r="P210" s="59" t="s">
        <v>1066</v>
      </c>
      <c r="Q210" s="29" t="s">
        <v>82</v>
      </c>
      <c r="R210" s="81"/>
      <c r="S210" s="48" t="s">
        <v>1067</v>
      </c>
      <c r="T210" s="50"/>
      <c r="U210" s="30"/>
      <c r="V210" s="58"/>
      <c r="W210" s="52"/>
      <c r="X210" s="193"/>
      <c r="Y210" s="206">
        <f>X210*0.1</f>
        <v>0</v>
      </c>
      <c r="Z210" s="193"/>
      <c r="AA210" s="193">
        <f>SUM(X210:Z210)</f>
        <v>0</v>
      </c>
      <c r="AB210" s="219"/>
    </row>
    <row r="211" spans="1:28" ht="18.600000000000001" thickBot="1">
      <c r="A211" s="250"/>
      <c r="B211" s="31" t="s">
        <v>710</v>
      </c>
      <c r="C211" s="31">
        <v>80056</v>
      </c>
      <c r="D211" s="32" t="s">
        <v>170</v>
      </c>
      <c r="E211" s="200"/>
      <c r="F211" s="43" t="s">
        <v>1068</v>
      </c>
      <c r="G211" s="38">
        <v>54970</v>
      </c>
      <c r="H211" s="202"/>
      <c r="I211" s="194"/>
      <c r="J211" s="194"/>
      <c r="K211" s="194"/>
      <c r="L211" s="194"/>
      <c r="M211" s="194"/>
      <c r="N211" s="194"/>
      <c r="O211" s="192"/>
      <c r="P211" s="55" t="s">
        <v>1069</v>
      </c>
      <c r="Q211" s="33" t="s">
        <v>86</v>
      </c>
      <c r="R211" s="34" t="s">
        <v>1070</v>
      </c>
      <c r="S211" s="44" t="s">
        <v>1071</v>
      </c>
      <c r="T211" s="46"/>
      <c r="U211" s="35" t="s">
        <v>1072</v>
      </c>
      <c r="V211" s="56"/>
      <c r="W211" s="46"/>
      <c r="X211" s="194"/>
      <c r="Y211" s="194"/>
      <c r="Z211" s="194"/>
      <c r="AA211" s="194"/>
      <c r="AB211" s="220"/>
    </row>
    <row r="212" spans="1:28" ht="18.600000000000001" thickTop="1">
      <c r="A212" s="249" t="s">
        <v>1073</v>
      </c>
      <c r="B212" s="26">
        <v>43701</v>
      </c>
      <c r="C212" s="27" t="s">
        <v>1074</v>
      </c>
      <c r="D212" s="28" t="s">
        <v>1075</v>
      </c>
      <c r="E212" s="199"/>
      <c r="F212" s="40" t="s">
        <v>1076</v>
      </c>
      <c r="G212" s="37" t="s">
        <v>1077</v>
      </c>
      <c r="H212" s="201">
        <v>4.5</v>
      </c>
      <c r="I212" s="193">
        <v>2000000</v>
      </c>
      <c r="J212" s="193">
        <v>160000</v>
      </c>
      <c r="K212" s="193">
        <v>20100</v>
      </c>
      <c r="L212" s="193">
        <v>15100</v>
      </c>
      <c r="M212" s="193">
        <v>12960</v>
      </c>
      <c r="N212" s="193">
        <f>SUM(I212:M212)</f>
        <v>2208160</v>
      </c>
      <c r="O212" s="191">
        <v>1200000</v>
      </c>
      <c r="P212" s="59" t="s">
        <v>1078</v>
      </c>
      <c r="Q212" s="29" t="s">
        <v>82</v>
      </c>
      <c r="R212" s="81"/>
      <c r="S212" s="48" t="s">
        <v>890</v>
      </c>
      <c r="T212" s="50"/>
      <c r="U212" s="30"/>
      <c r="V212" s="58"/>
      <c r="W212" s="52"/>
      <c r="X212" s="193"/>
      <c r="Y212" s="206">
        <f>X212*0.1</f>
        <v>0</v>
      </c>
      <c r="Z212" s="193"/>
      <c r="AA212" s="193">
        <f>SUM(X212:Z212)</f>
        <v>0</v>
      </c>
      <c r="AB212" s="219"/>
    </row>
    <row r="213" spans="1:28" ht="18.600000000000001" thickBot="1">
      <c r="A213" s="250"/>
      <c r="B213" s="31" t="s">
        <v>148</v>
      </c>
      <c r="C213" s="31">
        <v>82156</v>
      </c>
      <c r="D213" s="32" t="s">
        <v>101</v>
      </c>
      <c r="E213" s="200"/>
      <c r="F213" s="43" t="s">
        <v>1079</v>
      </c>
      <c r="G213" s="38">
        <v>20510</v>
      </c>
      <c r="H213" s="202"/>
      <c r="I213" s="194"/>
      <c r="J213" s="194"/>
      <c r="K213" s="194"/>
      <c r="L213" s="194"/>
      <c r="M213" s="194"/>
      <c r="N213" s="194"/>
      <c r="O213" s="192"/>
      <c r="P213" s="55" t="s">
        <v>1080</v>
      </c>
      <c r="Q213" s="33" t="s">
        <v>86</v>
      </c>
      <c r="R213" s="34" t="s">
        <v>1081</v>
      </c>
      <c r="S213" s="44" t="s">
        <v>1082</v>
      </c>
      <c r="T213" s="46"/>
      <c r="U213" s="35" t="s">
        <v>153</v>
      </c>
      <c r="V213" s="56"/>
      <c r="W213" s="46"/>
      <c r="X213" s="194"/>
      <c r="Y213" s="194"/>
      <c r="Z213" s="194"/>
      <c r="AA213" s="194"/>
      <c r="AB213" s="220"/>
    </row>
    <row r="214" spans="1:28" ht="18.600000000000001" thickTop="1">
      <c r="A214" s="249" t="s">
        <v>1083</v>
      </c>
      <c r="B214" s="26">
        <v>43706</v>
      </c>
      <c r="C214" s="27" t="s">
        <v>1084</v>
      </c>
      <c r="D214" s="28" t="s">
        <v>779</v>
      </c>
      <c r="E214" s="199"/>
      <c r="F214" s="40" t="s">
        <v>1085</v>
      </c>
      <c r="G214" s="37"/>
      <c r="H214" s="201">
        <v>3.5</v>
      </c>
      <c r="I214" s="193">
        <v>247000</v>
      </c>
      <c r="J214" s="193">
        <v>19760</v>
      </c>
      <c r="K214" s="193">
        <v>0</v>
      </c>
      <c r="L214" s="193">
        <v>10010</v>
      </c>
      <c r="M214" s="193">
        <v>12960</v>
      </c>
      <c r="N214" s="193">
        <f>SUM(I214:M214)</f>
        <v>289730</v>
      </c>
      <c r="O214" s="191">
        <v>150000</v>
      </c>
      <c r="P214" s="59" t="s">
        <v>1086</v>
      </c>
      <c r="Q214" s="29" t="s">
        <v>82</v>
      </c>
      <c r="R214" s="81"/>
      <c r="S214" s="48" t="s">
        <v>741</v>
      </c>
      <c r="T214" s="50"/>
      <c r="U214" s="30"/>
      <c r="V214" s="58"/>
      <c r="W214" s="52"/>
      <c r="X214" s="193"/>
      <c r="Y214" s="206">
        <f>X214*0.1</f>
        <v>0</v>
      </c>
      <c r="Z214" s="193"/>
      <c r="AA214" s="193">
        <f>SUM(X214:Z214)</f>
        <v>0</v>
      </c>
      <c r="AB214" s="219"/>
    </row>
    <row r="215" spans="1:28" ht="18.600000000000001" thickBot="1">
      <c r="A215" s="250"/>
      <c r="B215" s="31" t="s">
        <v>710</v>
      </c>
      <c r="C215" s="31">
        <v>50306</v>
      </c>
      <c r="D215" s="32" t="s">
        <v>593</v>
      </c>
      <c r="E215" s="200"/>
      <c r="F215" s="43" t="s">
        <v>1087</v>
      </c>
      <c r="G215" s="38">
        <v>49441</v>
      </c>
      <c r="H215" s="202"/>
      <c r="I215" s="194"/>
      <c r="J215" s="194"/>
      <c r="K215" s="194"/>
      <c r="L215" s="194"/>
      <c r="M215" s="194"/>
      <c r="N215" s="194"/>
      <c r="O215" s="192"/>
      <c r="P215" s="55" t="s">
        <v>1088</v>
      </c>
      <c r="Q215" s="33" t="s">
        <v>86</v>
      </c>
      <c r="R215" s="34" t="s">
        <v>1089</v>
      </c>
      <c r="S215" s="44" t="s">
        <v>1090</v>
      </c>
      <c r="T215" s="46"/>
      <c r="U215" s="35"/>
      <c r="V215" s="56"/>
      <c r="W215" s="46"/>
      <c r="X215" s="194"/>
      <c r="Y215" s="194"/>
      <c r="Z215" s="194"/>
      <c r="AA215" s="194"/>
      <c r="AB215" s="220"/>
    </row>
    <row r="216" spans="1:28" ht="18.600000000000001" thickTop="1">
      <c r="A216" s="249" t="s">
        <v>1091</v>
      </c>
      <c r="B216" s="26">
        <v>43719</v>
      </c>
      <c r="C216" s="27" t="s">
        <v>1092</v>
      </c>
      <c r="D216" s="28" t="s">
        <v>1093</v>
      </c>
      <c r="E216" s="199"/>
      <c r="F216" s="40" t="s">
        <v>1094</v>
      </c>
      <c r="G216" s="37" t="s">
        <v>1095</v>
      </c>
      <c r="H216" s="201">
        <v>4</v>
      </c>
      <c r="I216" s="193">
        <v>318000</v>
      </c>
      <c r="J216" s="193">
        <v>25440</v>
      </c>
      <c r="K216" s="193">
        <v>19770</v>
      </c>
      <c r="L216" s="193">
        <v>20140</v>
      </c>
      <c r="M216" s="193">
        <v>12420</v>
      </c>
      <c r="N216" s="193">
        <f>SUM(I216:M216)</f>
        <v>395770</v>
      </c>
      <c r="O216" s="191">
        <v>100000</v>
      </c>
      <c r="P216" s="59" t="s">
        <v>1096</v>
      </c>
      <c r="Q216" s="29" t="s">
        <v>82</v>
      </c>
      <c r="R216" s="81"/>
      <c r="S216" s="48"/>
      <c r="T216" s="50"/>
      <c r="U216" s="30"/>
      <c r="V216" s="58"/>
      <c r="W216" s="52"/>
      <c r="X216" s="193"/>
      <c r="Y216" s="206">
        <f>X216*0.1</f>
        <v>0</v>
      </c>
      <c r="Z216" s="193"/>
      <c r="AA216" s="193">
        <f>SUM(X216:Z216)</f>
        <v>0</v>
      </c>
      <c r="AB216" s="219"/>
    </row>
    <row r="217" spans="1:28" ht="18.600000000000001" thickBot="1">
      <c r="A217" s="250"/>
      <c r="B217" s="31" t="s">
        <v>575</v>
      </c>
      <c r="C217" s="31">
        <v>35238</v>
      </c>
      <c r="D217" s="32" t="s">
        <v>1097</v>
      </c>
      <c r="E217" s="200"/>
      <c r="F217" s="43" t="s">
        <v>1098</v>
      </c>
      <c r="G217" s="38">
        <v>18781</v>
      </c>
      <c r="H217" s="202"/>
      <c r="I217" s="194"/>
      <c r="J217" s="194"/>
      <c r="K217" s="194"/>
      <c r="L217" s="194"/>
      <c r="M217" s="194"/>
      <c r="N217" s="194"/>
      <c r="O217" s="192"/>
      <c r="P217" s="55" t="s">
        <v>794</v>
      </c>
      <c r="Q217" s="33" t="s">
        <v>86</v>
      </c>
      <c r="R217" s="34" t="s">
        <v>1099</v>
      </c>
      <c r="S217" s="44" t="s">
        <v>741</v>
      </c>
      <c r="T217" s="46"/>
      <c r="U217" s="35" t="s">
        <v>1100</v>
      </c>
      <c r="V217" s="56"/>
      <c r="W217" s="46"/>
      <c r="X217" s="194"/>
      <c r="Y217" s="194"/>
      <c r="Z217" s="194"/>
      <c r="AA217" s="194"/>
      <c r="AB217" s="220"/>
    </row>
    <row r="218" spans="1:28" ht="18.600000000000001" thickTop="1">
      <c r="A218" s="249" t="s">
        <v>1101</v>
      </c>
      <c r="B218" s="26">
        <v>43784</v>
      </c>
      <c r="C218" s="27" t="s">
        <v>1102</v>
      </c>
      <c r="D218" s="28" t="s">
        <v>1103</v>
      </c>
      <c r="E218" s="199"/>
      <c r="F218" s="54" t="s">
        <v>1104</v>
      </c>
      <c r="G218" s="37" t="s">
        <v>1105</v>
      </c>
      <c r="H218" s="201">
        <v>5</v>
      </c>
      <c r="I218" s="193">
        <v>1660000</v>
      </c>
      <c r="J218" s="193">
        <v>166000</v>
      </c>
      <c r="K218" s="193">
        <v>13100</v>
      </c>
      <c r="L218" s="193">
        <v>19330</v>
      </c>
      <c r="M218" s="193">
        <v>24200</v>
      </c>
      <c r="N218" s="193">
        <f>SUM(I218:M218)</f>
        <v>1882630</v>
      </c>
      <c r="O218" s="191">
        <v>1300000</v>
      </c>
      <c r="P218" s="59" t="s">
        <v>1106</v>
      </c>
      <c r="Q218" s="29" t="s">
        <v>82</v>
      </c>
      <c r="R218" s="81"/>
      <c r="S218" s="48" t="s">
        <v>1107</v>
      </c>
      <c r="T218" s="50"/>
      <c r="U218" s="30" t="s">
        <v>1108</v>
      </c>
      <c r="V218" s="58"/>
      <c r="W218" s="52"/>
      <c r="X218" s="193"/>
      <c r="Y218" s="206">
        <f>X218*0.1</f>
        <v>0</v>
      </c>
      <c r="Z218" s="193"/>
      <c r="AA218" s="193">
        <f>SUM(X218:Z218)</f>
        <v>0</v>
      </c>
      <c r="AB218" s="219"/>
    </row>
    <row r="219" spans="1:28" ht="18.600000000000001" thickBot="1">
      <c r="A219" s="250"/>
      <c r="B219" s="31" t="s">
        <v>120</v>
      </c>
      <c r="C219" s="31">
        <v>35081</v>
      </c>
      <c r="D219" s="32" t="s">
        <v>593</v>
      </c>
      <c r="E219" s="200"/>
      <c r="F219" s="43" t="s">
        <v>1109</v>
      </c>
      <c r="G219" s="38">
        <v>46258</v>
      </c>
      <c r="H219" s="202"/>
      <c r="I219" s="194"/>
      <c r="J219" s="194"/>
      <c r="K219" s="194"/>
      <c r="L219" s="194"/>
      <c r="M219" s="194"/>
      <c r="N219" s="194"/>
      <c r="O219" s="192"/>
      <c r="P219" s="55" t="s">
        <v>1110</v>
      </c>
      <c r="Q219" s="33" t="s">
        <v>86</v>
      </c>
      <c r="R219" s="34" t="s">
        <v>1111</v>
      </c>
      <c r="S219" s="44" t="s">
        <v>1112</v>
      </c>
      <c r="T219" s="46"/>
      <c r="U219" s="35" t="s">
        <v>153</v>
      </c>
      <c r="V219" s="56"/>
      <c r="W219" s="46"/>
      <c r="X219" s="194"/>
      <c r="Y219" s="194"/>
      <c r="Z219" s="194"/>
      <c r="AA219" s="194"/>
      <c r="AB219" s="220"/>
    </row>
    <row r="220" spans="1:28" ht="18.600000000000001" thickTop="1">
      <c r="A220" s="249" t="s">
        <v>1113</v>
      </c>
      <c r="B220" s="26">
        <v>43868</v>
      </c>
      <c r="C220" s="116"/>
      <c r="D220" s="28" t="s">
        <v>1114</v>
      </c>
      <c r="E220" s="199" t="s">
        <v>282</v>
      </c>
      <c r="F220" s="40" t="s">
        <v>1115</v>
      </c>
      <c r="G220" s="130" t="s">
        <v>1116</v>
      </c>
      <c r="H220" s="201">
        <v>5</v>
      </c>
      <c r="I220" s="193">
        <v>5000000</v>
      </c>
      <c r="J220" s="193">
        <v>500000</v>
      </c>
      <c r="K220" s="193">
        <v>4200</v>
      </c>
      <c r="L220" s="193">
        <v>22540</v>
      </c>
      <c r="M220" s="193">
        <v>24200</v>
      </c>
      <c r="N220" s="193">
        <f>SUM(I220:M221)</f>
        <v>5550940</v>
      </c>
      <c r="O220" s="191"/>
      <c r="P220" s="53" t="s">
        <v>1117</v>
      </c>
      <c r="Q220" s="29" t="s">
        <v>82</v>
      </c>
      <c r="R220" s="81"/>
      <c r="S220" s="48" t="s">
        <v>1118</v>
      </c>
      <c r="T220" s="50" t="s">
        <v>1119</v>
      </c>
      <c r="U220" s="30" t="s">
        <v>1120</v>
      </c>
      <c r="V220" s="51"/>
      <c r="W220" s="52"/>
      <c r="X220" s="193"/>
      <c r="Y220" s="206">
        <f>X220*0.1</f>
        <v>0</v>
      </c>
      <c r="Z220" s="193"/>
      <c r="AA220" s="193">
        <f>SUM(X220:Z220)</f>
        <v>0</v>
      </c>
      <c r="AB220" s="219"/>
    </row>
    <row r="221" spans="1:28" ht="18.600000000000001" thickBot="1">
      <c r="A221" s="250"/>
      <c r="B221" s="31" t="s">
        <v>120</v>
      </c>
      <c r="C221" s="31"/>
      <c r="D221" s="32" t="s">
        <v>941</v>
      </c>
      <c r="E221" s="200"/>
      <c r="F221" s="43" t="s">
        <v>1121</v>
      </c>
      <c r="G221" s="112">
        <v>3830</v>
      </c>
      <c r="H221" s="202"/>
      <c r="I221" s="194"/>
      <c r="J221" s="194"/>
      <c r="K221" s="194"/>
      <c r="L221" s="194"/>
      <c r="M221" s="194"/>
      <c r="N221" s="194"/>
      <c r="O221" s="192"/>
      <c r="P221" s="31" t="s">
        <v>1122</v>
      </c>
      <c r="Q221" s="33" t="s">
        <v>86</v>
      </c>
      <c r="R221" s="34" t="s">
        <v>92</v>
      </c>
      <c r="S221" s="44" t="s">
        <v>1042</v>
      </c>
      <c r="T221" s="46" t="s">
        <v>1123</v>
      </c>
      <c r="U221" s="118"/>
      <c r="V221" s="47"/>
      <c r="W221" s="46"/>
      <c r="X221" s="194"/>
      <c r="Y221" s="194"/>
      <c r="Z221" s="194"/>
      <c r="AA221" s="194"/>
      <c r="AB221" s="220"/>
    </row>
    <row r="222" spans="1:28" ht="18.600000000000001" thickTop="1">
      <c r="A222" s="249" t="s">
        <v>1124</v>
      </c>
      <c r="B222" s="26">
        <v>44000</v>
      </c>
      <c r="C222" s="27" t="s">
        <v>1125</v>
      </c>
      <c r="D222" s="28" t="s">
        <v>1126</v>
      </c>
      <c r="E222" s="199"/>
      <c r="F222" s="40" t="s">
        <v>1127</v>
      </c>
      <c r="G222" s="37"/>
      <c r="H222" s="201">
        <v>4</v>
      </c>
      <c r="I222" s="193">
        <v>1965000</v>
      </c>
      <c r="J222" s="193">
        <v>196500</v>
      </c>
      <c r="K222" s="193">
        <v>0</v>
      </c>
      <c r="L222" s="193">
        <v>19610</v>
      </c>
      <c r="M222" s="193">
        <v>13200</v>
      </c>
      <c r="N222" s="193">
        <f>SUM(I222:M222)</f>
        <v>2194310</v>
      </c>
      <c r="O222" s="191">
        <v>1400000</v>
      </c>
      <c r="P222" s="59" t="s">
        <v>1128</v>
      </c>
      <c r="Q222" s="29" t="s">
        <v>82</v>
      </c>
      <c r="R222" s="81"/>
      <c r="S222" s="48" t="s">
        <v>1129</v>
      </c>
      <c r="T222" s="50"/>
      <c r="U222" s="30"/>
      <c r="V222" s="58"/>
      <c r="W222" s="52"/>
      <c r="X222" s="193"/>
      <c r="Y222" s="206">
        <f>X222*0.1</f>
        <v>0</v>
      </c>
      <c r="Z222" s="193"/>
      <c r="AA222" s="193">
        <f>SUM(X222:Z222)</f>
        <v>0</v>
      </c>
      <c r="AB222" s="219"/>
    </row>
    <row r="223" spans="1:28" ht="18.600000000000001" thickBot="1">
      <c r="A223" s="250"/>
      <c r="B223" s="31" t="s">
        <v>373</v>
      </c>
      <c r="C223" s="31">
        <v>599</v>
      </c>
      <c r="D223" s="32" t="s">
        <v>101</v>
      </c>
      <c r="E223" s="200"/>
      <c r="F223" s="43" t="s">
        <v>1130</v>
      </c>
      <c r="G223" s="38">
        <v>40533</v>
      </c>
      <c r="H223" s="202"/>
      <c r="I223" s="194"/>
      <c r="J223" s="194"/>
      <c r="K223" s="194"/>
      <c r="L223" s="194"/>
      <c r="M223" s="194"/>
      <c r="N223" s="194"/>
      <c r="O223" s="192"/>
      <c r="P223" s="55" t="s">
        <v>1131</v>
      </c>
      <c r="Q223" s="33" t="s">
        <v>86</v>
      </c>
      <c r="R223" s="34" t="s">
        <v>1132</v>
      </c>
      <c r="S223" s="44" t="s">
        <v>1133</v>
      </c>
      <c r="T223" s="46"/>
      <c r="U223" s="35"/>
      <c r="V223" s="56"/>
      <c r="W223" s="46"/>
      <c r="X223" s="194"/>
      <c r="Y223" s="194"/>
      <c r="Z223" s="194"/>
      <c r="AA223" s="194"/>
      <c r="AB223" s="220"/>
    </row>
    <row r="224" spans="1:28" ht="18.600000000000001" thickTop="1">
      <c r="A224" s="249" t="s">
        <v>1134</v>
      </c>
      <c r="B224" s="26">
        <v>44007</v>
      </c>
      <c r="C224" s="27"/>
      <c r="D224" s="28" t="s">
        <v>1135</v>
      </c>
      <c r="E224" s="199" t="s">
        <v>282</v>
      </c>
      <c r="F224" s="54" t="s">
        <v>1136</v>
      </c>
      <c r="G224" s="130"/>
      <c r="H224" s="201"/>
      <c r="I224" s="193">
        <v>111000</v>
      </c>
      <c r="J224" s="193">
        <v>11100</v>
      </c>
      <c r="K224" s="193">
        <v>0</v>
      </c>
      <c r="L224" s="193">
        <v>0</v>
      </c>
      <c r="M224" s="193">
        <f>29527+2953</f>
        <v>32480</v>
      </c>
      <c r="N224" s="193">
        <f>SUM(I224:M224)</f>
        <v>154580</v>
      </c>
      <c r="O224" s="191"/>
      <c r="P224" s="137" t="s">
        <v>1137</v>
      </c>
      <c r="Q224" s="29" t="s">
        <v>82</v>
      </c>
      <c r="R224" s="81"/>
      <c r="S224" s="48" t="s">
        <v>1138</v>
      </c>
      <c r="T224" s="50"/>
      <c r="U224" s="131"/>
      <c r="V224" s="58"/>
      <c r="W224" s="52"/>
      <c r="X224" s="193"/>
      <c r="Y224" s="206">
        <f>X224*0.1</f>
        <v>0</v>
      </c>
      <c r="Z224" s="193"/>
      <c r="AA224" s="193">
        <f>SUM(X224:Z224)</f>
        <v>0</v>
      </c>
      <c r="AB224" s="219"/>
    </row>
    <row r="225" spans="1:28" ht="18.600000000000001" thickBot="1">
      <c r="A225" s="250"/>
      <c r="B225" s="31" t="s">
        <v>90</v>
      </c>
      <c r="C225" s="31" t="s">
        <v>1139</v>
      </c>
      <c r="D225" s="32" t="s">
        <v>325</v>
      </c>
      <c r="E225" s="200"/>
      <c r="F225" s="43" t="s">
        <v>1140</v>
      </c>
      <c r="G225" s="112">
        <v>0</v>
      </c>
      <c r="H225" s="202"/>
      <c r="I225" s="194"/>
      <c r="J225" s="194"/>
      <c r="K225" s="194"/>
      <c r="L225" s="194"/>
      <c r="M225" s="194"/>
      <c r="N225" s="194"/>
      <c r="O225" s="192"/>
      <c r="P225" s="46" t="s">
        <v>1141</v>
      </c>
      <c r="Q225" s="33" t="s">
        <v>86</v>
      </c>
      <c r="R225" s="34" t="s">
        <v>774</v>
      </c>
      <c r="S225" s="44" t="s">
        <v>1138</v>
      </c>
      <c r="T225" s="46"/>
      <c r="U225" s="118"/>
      <c r="V225" s="56"/>
      <c r="W225" s="46"/>
      <c r="X225" s="194"/>
      <c r="Y225" s="194"/>
      <c r="Z225" s="194"/>
      <c r="AA225" s="194"/>
      <c r="AB225" s="220"/>
    </row>
    <row r="226" spans="1:28" ht="18.600000000000001" thickTop="1">
      <c r="A226" s="249" t="s">
        <v>1142</v>
      </c>
      <c r="B226" s="26">
        <v>44015</v>
      </c>
      <c r="C226" s="27" t="s">
        <v>1143</v>
      </c>
      <c r="D226" s="28" t="s">
        <v>1144</v>
      </c>
      <c r="E226" s="199" t="s">
        <v>282</v>
      </c>
      <c r="F226" s="40" t="s">
        <v>1145</v>
      </c>
      <c r="G226" s="37" t="s">
        <v>1146</v>
      </c>
      <c r="H226" s="201">
        <v>4</v>
      </c>
      <c r="I226" s="193">
        <v>4080000</v>
      </c>
      <c r="J226" s="193">
        <v>408000</v>
      </c>
      <c r="K226" s="193">
        <v>34000</v>
      </c>
      <c r="L226" s="193">
        <v>20860</v>
      </c>
      <c r="M226" s="193">
        <v>13200</v>
      </c>
      <c r="N226" s="193">
        <f>SUM(I226:M226)</f>
        <v>4556060</v>
      </c>
      <c r="O226" s="191"/>
      <c r="P226" s="59" t="s">
        <v>1147</v>
      </c>
      <c r="Q226" s="29" t="s">
        <v>82</v>
      </c>
      <c r="R226" s="81"/>
      <c r="S226" s="48" t="s">
        <v>1059</v>
      </c>
      <c r="T226" s="50"/>
      <c r="U226" s="30" t="s">
        <v>1148</v>
      </c>
      <c r="V226" s="58"/>
      <c r="W226" s="52"/>
      <c r="X226" s="193"/>
      <c r="Y226" s="206">
        <f>X226*0.1</f>
        <v>0</v>
      </c>
      <c r="Z226" s="193"/>
      <c r="AA226" s="193">
        <f>SUM(X226:Z226)</f>
        <v>0</v>
      </c>
      <c r="AB226" s="219"/>
    </row>
    <row r="227" spans="1:28" ht="18.600000000000001" thickBot="1">
      <c r="A227" s="250"/>
      <c r="B227" s="31" t="s">
        <v>120</v>
      </c>
      <c r="C227" s="31">
        <v>58193</v>
      </c>
      <c r="D227" s="32" t="s">
        <v>593</v>
      </c>
      <c r="E227" s="200"/>
      <c r="F227" s="43" t="s">
        <v>1149</v>
      </c>
      <c r="G227" s="38">
        <v>37375</v>
      </c>
      <c r="H227" s="202"/>
      <c r="I227" s="194"/>
      <c r="J227" s="194"/>
      <c r="K227" s="194"/>
      <c r="L227" s="194"/>
      <c r="M227" s="194"/>
      <c r="N227" s="194"/>
      <c r="O227" s="192"/>
      <c r="P227" s="55" t="s">
        <v>1150</v>
      </c>
      <c r="Q227" s="33" t="s">
        <v>86</v>
      </c>
      <c r="R227" s="34" t="s">
        <v>1151</v>
      </c>
      <c r="S227" s="44" t="s">
        <v>1152</v>
      </c>
      <c r="T227" s="46"/>
      <c r="U227" s="35"/>
      <c r="V227" s="56"/>
      <c r="W227" s="46"/>
      <c r="X227" s="194"/>
      <c r="Y227" s="194"/>
      <c r="Z227" s="194"/>
      <c r="AA227" s="194"/>
      <c r="AB227" s="220"/>
    </row>
    <row r="228" spans="1:28" ht="18.600000000000001" thickTop="1">
      <c r="A228" s="249" t="s">
        <v>1153</v>
      </c>
      <c r="B228" s="26">
        <v>44021</v>
      </c>
      <c r="C228" s="27" t="s">
        <v>1154</v>
      </c>
      <c r="D228" s="28" t="s">
        <v>810</v>
      </c>
      <c r="E228" s="199"/>
      <c r="F228" s="40" t="s">
        <v>1155</v>
      </c>
      <c r="G228" s="37" t="s">
        <v>1156</v>
      </c>
      <c r="H228" s="201">
        <v>4</v>
      </c>
      <c r="I228" s="193">
        <v>1403000</v>
      </c>
      <c r="J228" s="193">
        <v>140300</v>
      </c>
      <c r="K228" s="193">
        <v>23000</v>
      </c>
      <c r="L228" s="193">
        <v>17700</v>
      </c>
      <c r="M228" s="193">
        <v>22000</v>
      </c>
      <c r="N228" s="193">
        <f>SUM(I228:M228)</f>
        <v>1606000</v>
      </c>
      <c r="O228" s="191">
        <v>800000</v>
      </c>
      <c r="P228" s="59" t="s">
        <v>1157</v>
      </c>
      <c r="Q228" s="29" t="s">
        <v>82</v>
      </c>
      <c r="R228" s="81"/>
      <c r="S228" s="48" t="s">
        <v>1059</v>
      </c>
      <c r="T228" s="50"/>
      <c r="U228" s="30" t="s">
        <v>1158</v>
      </c>
      <c r="V228" s="58"/>
      <c r="W228" s="52"/>
      <c r="X228" s="193"/>
      <c r="Y228" s="206">
        <f>X228*0.1</f>
        <v>0</v>
      </c>
      <c r="Z228" s="193"/>
      <c r="AA228" s="193">
        <f>SUM(X228:Z228)</f>
        <v>0</v>
      </c>
      <c r="AB228" s="219"/>
    </row>
    <row r="229" spans="1:28" ht="18.600000000000001" thickBot="1">
      <c r="A229" s="250"/>
      <c r="B229" s="31" t="s">
        <v>1159</v>
      </c>
      <c r="C229" s="31">
        <v>30066</v>
      </c>
      <c r="D229" s="32" t="s">
        <v>1160</v>
      </c>
      <c r="E229" s="200"/>
      <c r="F229" s="43" t="s">
        <v>1161</v>
      </c>
      <c r="G229" s="38">
        <v>51233</v>
      </c>
      <c r="H229" s="202"/>
      <c r="I229" s="194"/>
      <c r="J229" s="194"/>
      <c r="K229" s="194"/>
      <c r="L229" s="194"/>
      <c r="M229" s="194"/>
      <c r="N229" s="194"/>
      <c r="O229" s="192"/>
      <c r="P229" s="55" t="s">
        <v>1162</v>
      </c>
      <c r="Q229" s="33" t="s">
        <v>86</v>
      </c>
      <c r="R229" s="34" t="s">
        <v>1163</v>
      </c>
      <c r="S229" s="44" t="s">
        <v>1164</v>
      </c>
      <c r="T229" s="46"/>
      <c r="U229" s="35" t="s">
        <v>122</v>
      </c>
      <c r="V229" s="56"/>
      <c r="W229" s="46"/>
      <c r="X229" s="194"/>
      <c r="Y229" s="194"/>
      <c r="Z229" s="194"/>
      <c r="AA229" s="194"/>
      <c r="AB229" s="220"/>
    </row>
    <row r="230" spans="1:28" ht="18.600000000000001" thickTop="1">
      <c r="A230" s="249" t="s">
        <v>1165</v>
      </c>
      <c r="B230" s="26">
        <v>44037</v>
      </c>
      <c r="C230" s="27"/>
      <c r="D230" s="28" t="s">
        <v>1166</v>
      </c>
      <c r="E230" s="199"/>
      <c r="F230" s="40" t="s">
        <v>1167</v>
      </c>
      <c r="G230" s="37" t="s">
        <v>1168</v>
      </c>
      <c r="H230" s="201">
        <v>3</v>
      </c>
      <c r="I230" s="193">
        <v>225000</v>
      </c>
      <c r="J230" s="193">
        <v>22500</v>
      </c>
      <c r="K230" s="193">
        <v>20100</v>
      </c>
      <c r="L230" s="193">
        <v>8510</v>
      </c>
      <c r="M230" s="193">
        <f>35527+3553</f>
        <v>39080</v>
      </c>
      <c r="N230" s="193">
        <f>SUM(I230:M230)</f>
        <v>315190</v>
      </c>
      <c r="O230" s="191">
        <v>150000</v>
      </c>
      <c r="P230" s="59" t="s">
        <v>1169</v>
      </c>
      <c r="Q230" s="29" t="s">
        <v>82</v>
      </c>
      <c r="R230" s="81"/>
      <c r="S230" s="48" t="s">
        <v>89</v>
      </c>
      <c r="T230" s="50"/>
      <c r="U230" s="30"/>
      <c r="V230" s="58"/>
      <c r="W230" s="52"/>
      <c r="X230" s="193"/>
      <c r="Y230" s="206">
        <f>X230*0.1</f>
        <v>0</v>
      </c>
      <c r="Z230" s="193"/>
      <c r="AA230" s="193">
        <f>SUM(X230:Z230)</f>
        <v>0</v>
      </c>
      <c r="AB230" s="219"/>
    </row>
    <row r="231" spans="1:28" ht="18.600000000000001" thickBot="1">
      <c r="A231" s="250"/>
      <c r="B231" s="31" t="s">
        <v>90</v>
      </c>
      <c r="C231" s="31" t="s">
        <v>1170</v>
      </c>
      <c r="D231" s="32" t="s">
        <v>1171</v>
      </c>
      <c r="E231" s="200"/>
      <c r="F231" s="43" t="s">
        <v>1172</v>
      </c>
      <c r="G231" s="38">
        <v>14833</v>
      </c>
      <c r="H231" s="202"/>
      <c r="I231" s="194"/>
      <c r="J231" s="194"/>
      <c r="K231" s="194"/>
      <c r="L231" s="194"/>
      <c r="M231" s="194"/>
      <c r="N231" s="194"/>
      <c r="O231" s="192"/>
      <c r="P231" s="55" t="s">
        <v>1173</v>
      </c>
      <c r="Q231" s="33" t="s">
        <v>86</v>
      </c>
      <c r="R231" s="34" t="s">
        <v>1174</v>
      </c>
      <c r="S231" s="44" t="s">
        <v>89</v>
      </c>
      <c r="T231" s="46"/>
      <c r="U231" s="35"/>
      <c r="V231" s="56"/>
      <c r="W231" s="46"/>
      <c r="X231" s="194"/>
      <c r="Y231" s="194"/>
      <c r="Z231" s="194"/>
      <c r="AA231" s="194"/>
      <c r="AB231" s="220"/>
    </row>
    <row r="232" spans="1:28" ht="18.600000000000001" thickTop="1">
      <c r="A232" s="249" t="s">
        <v>1175</v>
      </c>
      <c r="B232" s="26">
        <v>44042</v>
      </c>
      <c r="C232" s="27" t="s">
        <v>1176</v>
      </c>
      <c r="D232" s="28" t="s">
        <v>1177</v>
      </c>
      <c r="E232" s="199"/>
      <c r="F232" s="40" t="s">
        <v>1178</v>
      </c>
      <c r="G232" s="37" t="s">
        <v>971</v>
      </c>
      <c r="H232" s="201">
        <v>4.5</v>
      </c>
      <c r="I232" s="193">
        <v>1505000</v>
      </c>
      <c r="J232" s="193">
        <v>150500</v>
      </c>
      <c r="K232" s="193">
        <v>26300</v>
      </c>
      <c r="L232" s="193">
        <v>20310</v>
      </c>
      <c r="M232" s="193">
        <v>13200</v>
      </c>
      <c r="N232" s="193">
        <f>SUM(I232:M232)</f>
        <v>1715310</v>
      </c>
      <c r="O232" s="191">
        <v>1100000</v>
      </c>
      <c r="P232" s="59" t="s">
        <v>1179</v>
      </c>
      <c r="Q232" s="29" t="s">
        <v>82</v>
      </c>
      <c r="R232" s="81"/>
      <c r="S232" s="48" t="s">
        <v>1180</v>
      </c>
      <c r="T232" s="50"/>
      <c r="U232" s="30"/>
      <c r="V232" s="58"/>
      <c r="W232" s="52"/>
      <c r="X232" s="193"/>
      <c r="Y232" s="206">
        <f>X232*0.1</f>
        <v>0</v>
      </c>
      <c r="Z232" s="193"/>
      <c r="AA232" s="193">
        <f>SUM(X232:Z232)</f>
        <v>0</v>
      </c>
      <c r="AB232" s="219"/>
    </row>
    <row r="233" spans="1:28" ht="18.600000000000001" thickBot="1">
      <c r="A233" s="250"/>
      <c r="B233" s="31" t="s">
        <v>373</v>
      </c>
      <c r="C233" s="31">
        <v>110</v>
      </c>
      <c r="D233" s="32" t="s">
        <v>101</v>
      </c>
      <c r="E233" s="200"/>
      <c r="F233" s="43" t="s">
        <v>1181</v>
      </c>
      <c r="G233" s="38">
        <v>48776</v>
      </c>
      <c r="H233" s="202"/>
      <c r="I233" s="194"/>
      <c r="J233" s="194"/>
      <c r="K233" s="194"/>
      <c r="L233" s="194"/>
      <c r="M233" s="194"/>
      <c r="N233" s="194"/>
      <c r="O233" s="192"/>
      <c r="P233" s="55" t="s">
        <v>773</v>
      </c>
      <c r="Q233" s="33" t="s">
        <v>86</v>
      </c>
      <c r="R233" s="34" t="s">
        <v>1033</v>
      </c>
      <c r="S233" s="44" t="s">
        <v>1042</v>
      </c>
      <c r="T233" s="46"/>
      <c r="U233" s="35" t="s">
        <v>1100</v>
      </c>
      <c r="V233" s="56"/>
      <c r="W233" s="46"/>
      <c r="X233" s="194"/>
      <c r="Y233" s="194"/>
      <c r="Z233" s="194"/>
      <c r="AA233" s="194"/>
      <c r="AB233" s="220"/>
    </row>
    <row r="234" spans="1:28" ht="18.600000000000001" thickTop="1">
      <c r="A234" s="249" t="s">
        <v>1182</v>
      </c>
      <c r="B234" s="26">
        <v>44047</v>
      </c>
      <c r="C234" s="27" t="s">
        <v>1183</v>
      </c>
      <c r="D234" s="28" t="s">
        <v>1184</v>
      </c>
      <c r="E234" s="199"/>
      <c r="F234" s="40" t="s">
        <v>299</v>
      </c>
      <c r="G234" s="37"/>
      <c r="H234" s="201">
        <v>4.5</v>
      </c>
      <c r="I234" s="193">
        <v>1944000</v>
      </c>
      <c r="J234" s="193">
        <v>194400</v>
      </c>
      <c r="K234" s="193">
        <v>0</v>
      </c>
      <c r="L234" s="193">
        <v>17700</v>
      </c>
      <c r="M234" s="193">
        <v>15950</v>
      </c>
      <c r="N234" s="193">
        <f>SUM(I234:M234)</f>
        <v>2172050</v>
      </c>
      <c r="O234" s="191">
        <v>1500000</v>
      </c>
      <c r="P234" s="59" t="s">
        <v>1185</v>
      </c>
      <c r="Q234" s="29" t="s">
        <v>82</v>
      </c>
      <c r="R234" s="81"/>
      <c r="S234" s="48"/>
      <c r="T234" s="50"/>
      <c r="U234" s="30"/>
      <c r="V234" s="58"/>
      <c r="W234" s="52"/>
      <c r="X234" s="193"/>
      <c r="Y234" s="206">
        <f>X234*0.1</f>
        <v>0</v>
      </c>
      <c r="Z234" s="193"/>
      <c r="AA234" s="193">
        <f>SUM(X234:Z234)</f>
        <v>0</v>
      </c>
      <c r="AB234" s="219"/>
    </row>
    <row r="235" spans="1:28" ht="18.600000000000001" thickBot="1">
      <c r="A235" s="250"/>
      <c r="B235" s="31" t="s">
        <v>982</v>
      </c>
      <c r="C235" s="31">
        <v>5003</v>
      </c>
      <c r="D235" s="32" t="s">
        <v>1186</v>
      </c>
      <c r="E235" s="200"/>
      <c r="F235" s="43" t="s">
        <v>1187</v>
      </c>
      <c r="G235" s="38">
        <v>21296</v>
      </c>
      <c r="H235" s="202"/>
      <c r="I235" s="194"/>
      <c r="J235" s="194"/>
      <c r="K235" s="194"/>
      <c r="L235" s="194"/>
      <c r="M235" s="194"/>
      <c r="N235" s="194"/>
      <c r="O235" s="192"/>
      <c r="P235" s="55" t="s">
        <v>1188</v>
      </c>
      <c r="Q235" s="33" t="s">
        <v>86</v>
      </c>
      <c r="R235" s="34" t="s">
        <v>1189</v>
      </c>
      <c r="S235" s="44" t="s">
        <v>1190</v>
      </c>
      <c r="T235" s="46"/>
      <c r="U235" s="35"/>
      <c r="V235" s="56"/>
      <c r="W235" s="46"/>
      <c r="X235" s="194"/>
      <c r="Y235" s="194"/>
      <c r="Z235" s="194"/>
      <c r="AA235" s="194"/>
      <c r="AB235" s="220"/>
    </row>
    <row r="236" spans="1:28" ht="18.600000000000001" thickTop="1">
      <c r="A236" s="249" t="s">
        <v>1191</v>
      </c>
      <c r="B236" s="26">
        <v>44054</v>
      </c>
      <c r="C236" s="27"/>
      <c r="D236" s="28" t="s">
        <v>1192</v>
      </c>
      <c r="E236" s="199"/>
      <c r="F236" s="40" t="s">
        <v>1193</v>
      </c>
      <c r="G236" s="37" t="s">
        <v>971</v>
      </c>
      <c r="H236" s="201">
        <v>2</v>
      </c>
      <c r="I236" s="193">
        <v>100000</v>
      </c>
      <c r="J236" s="193">
        <v>10000</v>
      </c>
      <c r="K236" s="193">
        <v>0</v>
      </c>
      <c r="L236" s="193">
        <v>7540</v>
      </c>
      <c r="M236" s="193">
        <v>5500</v>
      </c>
      <c r="N236" s="193">
        <f>SUM(I236:M236)</f>
        <v>123040</v>
      </c>
      <c r="O236" s="191">
        <v>20000</v>
      </c>
      <c r="P236" s="59" t="s">
        <v>1194</v>
      </c>
      <c r="Q236" s="29" t="s">
        <v>82</v>
      </c>
      <c r="R236" s="81"/>
      <c r="S236" s="48"/>
      <c r="T236" s="50"/>
      <c r="U236" s="30"/>
      <c r="V236" s="58"/>
      <c r="W236" s="52"/>
      <c r="X236" s="193"/>
      <c r="Y236" s="206">
        <f>X236*0.1</f>
        <v>0</v>
      </c>
      <c r="Z236" s="193"/>
      <c r="AA236" s="193">
        <f>SUM(X236:Z236)</f>
        <v>0</v>
      </c>
      <c r="AB236" s="219"/>
    </row>
    <row r="237" spans="1:28" ht="18.600000000000001" thickBot="1">
      <c r="A237" s="250"/>
      <c r="B237" s="31" t="s">
        <v>1195</v>
      </c>
      <c r="C237" s="31" t="s">
        <v>1196</v>
      </c>
      <c r="D237" s="32" t="s">
        <v>101</v>
      </c>
      <c r="E237" s="200"/>
      <c r="F237" s="43" t="s">
        <v>1197</v>
      </c>
      <c r="G237" s="38">
        <v>213000</v>
      </c>
      <c r="H237" s="202"/>
      <c r="I237" s="194"/>
      <c r="J237" s="194"/>
      <c r="K237" s="194"/>
      <c r="L237" s="194"/>
      <c r="M237" s="194"/>
      <c r="N237" s="194"/>
      <c r="O237" s="192"/>
      <c r="P237" s="55" t="s">
        <v>1198</v>
      </c>
      <c r="Q237" s="33" t="s">
        <v>86</v>
      </c>
      <c r="R237" s="34" t="s">
        <v>1199</v>
      </c>
      <c r="S237" s="44"/>
      <c r="T237" s="46"/>
      <c r="U237" s="35"/>
      <c r="V237" s="56"/>
      <c r="W237" s="46"/>
      <c r="X237" s="194"/>
      <c r="Y237" s="194"/>
      <c r="Z237" s="194"/>
      <c r="AA237" s="194"/>
      <c r="AB237" s="220"/>
    </row>
    <row r="238" spans="1:28" ht="18.600000000000001" thickTop="1">
      <c r="A238" s="249" t="s">
        <v>1200</v>
      </c>
      <c r="B238" s="26">
        <v>44062</v>
      </c>
      <c r="C238" s="27" t="s">
        <v>1201</v>
      </c>
      <c r="D238" s="28" t="s">
        <v>1202</v>
      </c>
      <c r="E238" s="199"/>
      <c r="F238" s="40" t="s">
        <v>1203</v>
      </c>
      <c r="G238" s="37" t="s">
        <v>1204</v>
      </c>
      <c r="H238" s="201">
        <v>4</v>
      </c>
      <c r="I238" s="193">
        <v>2046000</v>
      </c>
      <c r="J238" s="193">
        <v>204600</v>
      </c>
      <c r="K238" s="193">
        <v>29700</v>
      </c>
      <c r="L238" s="193">
        <v>26610</v>
      </c>
      <c r="M238" s="193">
        <v>13200</v>
      </c>
      <c r="N238" s="193">
        <f>SUM(I238:M238)</f>
        <v>2320110</v>
      </c>
      <c r="O238" s="191">
        <v>1300000</v>
      </c>
      <c r="P238" s="59" t="s">
        <v>1205</v>
      </c>
      <c r="Q238" s="29" t="s">
        <v>82</v>
      </c>
      <c r="R238" s="81"/>
      <c r="S238" s="48"/>
      <c r="T238" s="50"/>
      <c r="U238" s="30"/>
      <c r="V238" s="58"/>
      <c r="W238" s="52"/>
      <c r="X238" s="193"/>
      <c r="Y238" s="206">
        <f>X238*0.1</f>
        <v>0</v>
      </c>
      <c r="Z238" s="193"/>
      <c r="AA238" s="193">
        <f>SUM(X238:Z238)</f>
        <v>0</v>
      </c>
      <c r="AB238" s="219"/>
    </row>
    <row r="239" spans="1:28" ht="18.600000000000001" thickBot="1">
      <c r="A239" s="250"/>
      <c r="B239" s="31" t="s">
        <v>742</v>
      </c>
      <c r="C239" s="31">
        <v>80018</v>
      </c>
      <c r="D239" s="32" t="s">
        <v>593</v>
      </c>
      <c r="E239" s="200"/>
      <c r="F239" s="43" t="s">
        <v>1206</v>
      </c>
      <c r="G239" s="38">
        <v>45152</v>
      </c>
      <c r="H239" s="202"/>
      <c r="I239" s="194"/>
      <c r="J239" s="194"/>
      <c r="K239" s="194"/>
      <c r="L239" s="194"/>
      <c r="M239" s="194"/>
      <c r="N239" s="194"/>
      <c r="O239" s="192"/>
      <c r="P239" s="55" t="s">
        <v>1207</v>
      </c>
      <c r="Q239" s="33" t="s">
        <v>86</v>
      </c>
      <c r="R239" s="34" t="s">
        <v>1208</v>
      </c>
      <c r="S239" s="44" t="s">
        <v>746</v>
      </c>
      <c r="T239" s="46"/>
      <c r="U239" s="35" t="s">
        <v>1100</v>
      </c>
      <c r="V239" s="56"/>
      <c r="W239" s="46"/>
      <c r="X239" s="194"/>
      <c r="Y239" s="194"/>
      <c r="Z239" s="194"/>
      <c r="AA239" s="194"/>
      <c r="AB239" s="220"/>
    </row>
    <row r="240" spans="1:28" ht="18.600000000000001" thickTop="1">
      <c r="A240" s="249" t="s">
        <v>1209</v>
      </c>
      <c r="B240" s="26">
        <v>44064</v>
      </c>
      <c r="C240" s="27" t="s">
        <v>1210</v>
      </c>
      <c r="D240" s="28" t="s">
        <v>1211</v>
      </c>
      <c r="E240" s="199" t="s">
        <v>282</v>
      </c>
      <c r="F240" s="40" t="s">
        <v>1212</v>
      </c>
      <c r="G240" s="37" t="s">
        <v>1213</v>
      </c>
      <c r="H240" s="201">
        <v>4.5</v>
      </c>
      <c r="I240" s="193">
        <v>1315000</v>
      </c>
      <c r="J240" s="193">
        <v>131500</v>
      </c>
      <c r="K240" s="193">
        <v>23000</v>
      </c>
      <c r="L240" s="193">
        <v>15440</v>
      </c>
      <c r="M240" s="193">
        <v>13200</v>
      </c>
      <c r="N240" s="193">
        <f>SUM(I240:M240)</f>
        <v>1498140</v>
      </c>
      <c r="O240" s="191">
        <v>900000</v>
      </c>
      <c r="P240" s="59" t="s">
        <v>1214</v>
      </c>
      <c r="Q240" s="29" t="s">
        <v>82</v>
      </c>
      <c r="R240" s="81"/>
      <c r="S240" s="48" t="s">
        <v>1215</v>
      </c>
      <c r="T240" s="50"/>
      <c r="U240" s="30" t="s">
        <v>1216</v>
      </c>
      <c r="V240" s="58"/>
      <c r="W240" s="52"/>
      <c r="X240" s="193"/>
      <c r="Y240" s="206">
        <f>X240*0.1</f>
        <v>0</v>
      </c>
      <c r="Z240" s="193"/>
      <c r="AA240" s="193">
        <f>SUM(X240:Z240)</f>
        <v>0</v>
      </c>
      <c r="AB240" s="219"/>
    </row>
    <row r="241" spans="1:28" ht="18.600000000000001" thickBot="1">
      <c r="A241" s="250"/>
      <c r="B241" s="31" t="s">
        <v>120</v>
      </c>
      <c r="C241" s="31">
        <v>58133</v>
      </c>
      <c r="D241" s="32" t="s">
        <v>91</v>
      </c>
      <c r="E241" s="200"/>
      <c r="F241" s="43" t="s">
        <v>1217</v>
      </c>
      <c r="G241" s="38">
        <v>39627</v>
      </c>
      <c r="H241" s="202"/>
      <c r="I241" s="194"/>
      <c r="J241" s="194"/>
      <c r="K241" s="194"/>
      <c r="L241" s="194"/>
      <c r="M241" s="194"/>
      <c r="N241" s="194"/>
      <c r="O241" s="192"/>
      <c r="P241" s="55" t="s">
        <v>1218</v>
      </c>
      <c r="Q241" s="33" t="s">
        <v>86</v>
      </c>
      <c r="R241" s="34" t="s">
        <v>1219</v>
      </c>
      <c r="S241" s="44" t="s">
        <v>927</v>
      </c>
      <c r="T241" s="46"/>
      <c r="U241" s="35"/>
      <c r="V241" s="56"/>
      <c r="W241" s="46"/>
      <c r="X241" s="194"/>
      <c r="Y241" s="194"/>
      <c r="Z241" s="194"/>
      <c r="AA241" s="194"/>
      <c r="AB241" s="220"/>
    </row>
    <row r="242" spans="1:28" ht="18.600000000000001" thickTop="1">
      <c r="A242" s="249" t="s">
        <v>1220</v>
      </c>
      <c r="B242" s="26">
        <v>44078</v>
      </c>
      <c r="C242" s="27" t="s">
        <v>1221</v>
      </c>
      <c r="D242" s="28" t="s">
        <v>1222</v>
      </c>
      <c r="E242" s="199"/>
      <c r="F242" s="40" t="s">
        <v>1223</v>
      </c>
      <c r="G242" s="37"/>
      <c r="H242" s="201">
        <v>4.5</v>
      </c>
      <c r="I242" s="193">
        <v>2015000</v>
      </c>
      <c r="J242" s="193">
        <v>201500</v>
      </c>
      <c r="K242" s="193">
        <v>0</v>
      </c>
      <c r="L242" s="193">
        <v>18110</v>
      </c>
      <c r="M242" s="193">
        <v>13200</v>
      </c>
      <c r="N242" s="193">
        <f>SUM(I242:M242)</f>
        <v>2247810</v>
      </c>
      <c r="O242" s="191">
        <v>1600000</v>
      </c>
      <c r="P242" s="59" t="s">
        <v>1224</v>
      </c>
      <c r="Q242" s="29" t="s">
        <v>82</v>
      </c>
      <c r="R242" s="81"/>
      <c r="S242" s="48"/>
      <c r="T242" s="50"/>
      <c r="U242" s="30"/>
      <c r="V242" s="58"/>
      <c r="W242" s="52"/>
      <c r="X242" s="193"/>
      <c r="Y242" s="206">
        <f>X242*0.1</f>
        <v>0</v>
      </c>
      <c r="Z242" s="193"/>
      <c r="AA242" s="193">
        <f>SUM(X242:Z242)</f>
        <v>0</v>
      </c>
      <c r="AB242" s="219"/>
    </row>
    <row r="243" spans="1:28" ht="18.600000000000001" thickBot="1">
      <c r="A243" s="250"/>
      <c r="B243" s="31" t="s">
        <v>120</v>
      </c>
      <c r="C243" s="31">
        <v>20305</v>
      </c>
      <c r="D243" s="32" t="s">
        <v>941</v>
      </c>
      <c r="E243" s="200"/>
      <c r="F243" s="43" t="s">
        <v>1225</v>
      </c>
      <c r="G243" s="38">
        <v>50167</v>
      </c>
      <c r="H243" s="202"/>
      <c r="I243" s="194"/>
      <c r="J243" s="194"/>
      <c r="K243" s="194"/>
      <c r="L243" s="194"/>
      <c r="M243" s="194"/>
      <c r="N243" s="194"/>
      <c r="O243" s="192"/>
      <c r="P243" s="55" t="s">
        <v>1226</v>
      </c>
      <c r="Q243" s="33" t="s">
        <v>86</v>
      </c>
      <c r="R243" s="34" t="s">
        <v>1227</v>
      </c>
      <c r="S243" s="44" t="s">
        <v>409</v>
      </c>
      <c r="T243" s="46"/>
      <c r="U243" s="35"/>
      <c r="V243" s="56"/>
      <c r="W243" s="46"/>
      <c r="X243" s="194"/>
      <c r="Y243" s="194"/>
      <c r="Z243" s="194"/>
      <c r="AA243" s="194"/>
      <c r="AB243" s="220"/>
    </row>
    <row r="244" spans="1:28" ht="18.600000000000001" thickTop="1">
      <c r="A244" s="249" t="s">
        <v>1228</v>
      </c>
      <c r="B244" s="26">
        <v>44081</v>
      </c>
      <c r="C244" s="27" t="s">
        <v>1229</v>
      </c>
      <c r="D244" s="28" t="s">
        <v>1230</v>
      </c>
      <c r="E244" s="199"/>
      <c r="F244" s="40" t="s">
        <v>1231</v>
      </c>
      <c r="G244" s="37"/>
      <c r="H244" s="201">
        <v>4</v>
      </c>
      <c r="I244" s="193">
        <v>1885000</v>
      </c>
      <c r="J244" s="193">
        <v>188500</v>
      </c>
      <c r="K244" s="193">
        <v>0</v>
      </c>
      <c r="L244" s="193">
        <v>17540</v>
      </c>
      <c r="M244" s="193">
        <v>11000</v>
      </c>
      <c r="N244" s="193">
        <f>SUM(I244:M244)</f>
        <v>2102040</v>
      </c>
      <c r="O244" s="191">
        <v>1200000</v>
      </c>
      <c r="P244" s="59" t="s">
        <v>1232</v>
      </c>
      <c r="Q244" s="29" t="s">
        <v>82</v>
      </c>
      <c r="R244" s="81"/>
      <c r="S244" s="48" t="s">
        <v>741</v>
      </c>
      <c r="T244" s="50"/>
      <c r="U244" s="30"/>
      <c r="V244" s="58"/>
      <c r="W244" s="52"/>
      <c r="X244" s="193"/>
      <c r="Y244" s="206">
        <f>X244*0.1</f>
        <v>0</v>
      </c>
      <c r="Z244" s="193"/>
      <c r="AA244" s="193">
        <f>SUM(X244:Z244)</f>
        <v>0</v>
      </c>
      <c r="AB244" s="219"/>
    </row>
    <row r="245" spans="1:28" ht="18.600000000000001" thickBot="1">
      <c r="A245" s="250"/>
      <c r="B245" s="31" t="s">
        <v>84</v>
      </c>
      <c r="C245" s="31">
        <v>37029</v>
      </c>
      <c r="D245" s="32" t="s">
        <v>1097</v>
      </c>
      <c r="E245" s="200"/>
      <c r="F245" s="43" t="s">
        <v>1233</v>
      </c>
      <c r="G245" s="38">
        <v>45267</v>
      </c>
      <c r="H245" s="202"/>
      <c r="I245" s="194"/>
      <c r="J245" s="194"/>
      <c r="K245" s="194"/>
      <c r="L245" s="194"/>
      <c r="M245" s="194"/>
      <c r="N245" s="194"/>
      <c r="O245" s="192"/>
      <c r="P245" s="55" t="s">
        <v>848</v>
      </c>
      <c r="Q245" s="33" t="s">
        <v>86</v>
      </c>
      <c r="R245" s="34" t="s">
        <v>1234</v>
      </c>
      <c r="S245" s="44" t="s">
        <v>89</v>
      </c>
      <c r="T245" s="46"/>
      <c r="U245" s="35"/>
      <c r="V245" s="56"/>
      <c r="W245" s="46"/>
      <c r="X245" s="194"/>
      <c r="Y245" s="194"/>
      <c r="Z245" s="194"/>
      <c r="AA245" s="194"/>
      <c r="AB245" s="220"/>
    </row>
    <row r="246" spans="1:28" ht="18.600000000000001" thickTop="1">
      <c r="A246" s="249" t="s">
        <v>1235</v>
      </c>
      <c r="B246" s="26">
        <v>44084</v>
      </c>
      <c r="C246" s="27" t="s">
        <v>1236</v>
      </c>
      <c r="D246" s="28" t="s">
        <v>412</v>
      </c>
      <c r="E246" s="199"/>
      <c r="F246" s="40" t="s">
        <v>1237</v>
      </c>
      <c r="G246" s="37"/>
      <c r="H246" s="201">
        <v>4.5</v>
      </c>
      <c r="I246" s="193">
        <v>3170000</v>
      </c>
      <c r="J246" s="193">
        <v>317000</v>
      </c>
      <c r="K246" s="193">
        <v>0</v>
      </c>
      <c r="L246" s="193">
        <v>27600</v>
      </c>
      <c r="M246" s="193">
        <v>13200</v>
      </c>
      <c r="N246" s="193">
        <f>SUM(I246:M246)</f>
        <v>3527800</v>
      </c>
      <c r="O246" s="191">
        <v>2500000</v>
      </c>
      <c r="P246" s="59" t="s">
        <v>1238</v>
      </c>
      <c r="Q246" s="29" t="s">
        <v>82</v>
      </c>
      <c r="R246" s="81"/>
      <c r="S246" s="48" t="s">
        <v>1239</v>
      </c>
      <c r="T246" s="50"/>
      <c r="U246" s="30"/>
      <c r="V246" s="58"/>
      <c r="W246" s="52"/>
      <c r="X246" s="193"/>
      <c r="Y246" s="206">
        <f>X246*0.1</f>
        <v>0</v>
      </c>
      <c r="Z246" s="193"/>
      <c r="AA246" s="193">
        <f>SUM(X246:Z246)</f>
        <v>0</v>
      </c>
      <c r="AB246" s="219"/>
    </row>
    <row r="247" spans="1:28" ht="18.600000000000001" thickBot="1">
      <c r="A247" s="250"/>
      <c r="B247" s="31" t="s">
        <v>373</v>
      </c>
      <c r="C247" s="31">
        <v>35</v>
      </c>
      <c r="D247" s="32" t="s">
        <v>44</v>
      </c>
      <c r="E247" s="200"/>
      <c r="F247" s="43" t="s">
        <v>1240</v>
      </c>
      <c r="G247" s="38">
        <v>46183</v>
      </c>
      <c r="H247" s="202"/>
      <c r="I247" s="194"/>
      <c r="J247" s="194"/>
      <c r="K247" s="194"/>
      <c r="L247" s="194"/>
      <c r="M247" s="194"/>
      <c r="N247" s="194"/>
      <c r="O247" s="192"/>
      <c r="P247" s="55" t="s">
        <v>744</v>
      </c>
      <c r="Q247" s="33" t="s">
        <v>86</v>
      </c>
      <c r="R247" s="34" t="s">
        <v>1241</v>
      </c>
      <c r="S247" s="44" t="s">
        <v>960</v>
      </c>
      <c r="T247" s="46"/>
      <c r="U247" s="35"/>
      <c r="V247" s="56"/>
      <c r="W247" s="46"/>
      <c r="X247" s="194"/>
      <c r="Y247" s="194"/>
      <c r="Z247" s="194"/>
      <c r="AA247" s="194"/>
      <c r="AB247" s="220"/>
    </row>
    <row r="248" spans="1:28" ht="18.600000000000001" thickTop="1">
      <c r="A248" s="249" t="s">
        <v>1242</v>
      </c>
      <c r="B248" s="26">
        <v>44084</v>
      </c>
      <c r="C248" s="27" t="s">
        <v>1243</v>
      </c>
      <c r="D248" s="28" t="s">
        <v>810</v>
      </c>
      <c r="E248" s="199"/>
      <c r="F248" s="40" t="s">
        <v>1244</v>
      </c>
      <c r="G248" s="37" t="s">
        <v>1245</v>
      </c>
      <c r="H248" s="201">
        <v>4.5</v>
      </c>
      <c r="I248" s="193">
        <v>1555000</v>
      </c>
      <c r="J248" s="193">
        <v>155500</v>
      </c>
      <c r="K248" s="193">
        <v>17200</v>
      </c>
      <c r="L248" s="193">
        <v>18960</v>
      </c>
      <c r="M248" s="193">
        <v>13200</v>
      </c>
      <c r="N248" s="193">
        <f>SUM(I248:M248)</f>
        <v>1759860</v>
      </c>
      <c r="O248" s="191">
        <v>1200000</v>
      </c>
      <c r="P248" s="59" t="s">
        <v>1246</v>
      </c>
      <c r="Q248" s="29" t="s">
        <v>82</v>
      </c>
      <c r="R248" s="81"/>
      <c r="S248" s="48" t="s">
        <v>1247</v>
      </c>
      <c r="T248" s="50" t="s">
        <v>1248</v>
      </c>
      <c r="U248" s="30" t="s">
        <v>1249</v>
      </c>
      <c r="V248" s="58"/>
      <c r="W248" s="52"/>
      <c r="X248" s="193"/>
      <c r="Y248" s="206">
        <f>X248*0.1</f>
        <v>0</v>
      </c>
      <c r="Z248" s="193"/>
      <c r="AA248" s="193">
        <f>SUM(X248:Z248)</f>
        <v>0</v>
      </c>
      <c r="AB248" s="219"/>
    </row>
    <row r="249" spans="1:28" ht="18.600000000000001" thickBot="1">
      <c r="A249" s="250"/>
      <c r="B249" s="31" t="s">
        <v>261</v>
      </c>
      <c r="C249" s="31">
        <v>75085</v>
      </c>
      <c r="D249" s="32" t="s">
        <v>1250</v>
      </c>
      <c r="E249" s="200"/>
      <c r="F249" s="43" t="s">
        <v>1251</v>
      </c>
      <c r="G249" s="38">
        <v>45417</v>
      </c>
      <c r="H249" s="202"/>
      <c r="I249" s="194"/>
      <c r="J249" s="194"/>
      <c r="K249" s="194"/>
      <c r="L249" s="194"/>
      <c r="M249" s="194"/>
      <c r="N249" s="194"/>
      <c r="O249" s="192"/>
      <c r="P249" s="55" t="s">
        <v>1252</v>
      </c>
      <c r="Q249" s="33" t="s">
        <v>86</v>
      </c>
      <c r="R249" s="34" t="s">
        <v>1253</v>
      </c>
      <c r="S249" s="44" t="s">
        <v>640</v>
      </c>
      <c r="T249" s="46"/>
      <c r="U249" s="35" t="s">
        <v>1254</v>
      </c>
      <c r="V249" s="56"/>
      <c r="W249" s="46"/>
      <c r="X249" s="194"/>
      <c r="Y249" s="194"/>
      <c r="Z249" s="194"/>
      <c r="AA249" s="194"/>
      <c r="AB249" s="220"/>
    </row>
    <row r="250" spans="1:28" ht="18.600000000000001" thickTop="1">
      <c r="A250" s="249" t="s">
        <v>1255</v>
      </c>
      <c r="B250" s="26">
        <v>44088</v>
      </c>
      <c r="C250" s="27" t="s">
        <v>1102</v>
      </c>
      <c r="D250" s="28" t="s">
        <v>1256</v>
      </c>
      <c r="E250" s="199"/>
      <c r="F250" s="40" t="s">
        <v>1257</v>
      </c>
      <c r="G250" s="37" t="s">
        <v>1258</v>
      </c>
      <c r="H250" s="201">
        <v>4</v>
      </c>
      <c r="I250" s="193">
        <v>2970000</v>
      </c>
      <c r="J250" s="193">
        <v>297000</v>
      </c>
      <c r="K250" s="193">
        <v>25500</v>
      </c>
      <c r="L250" s="193">
        <v>18110</v>
      </c>
      <c r="M250" s="193">
        <v>11000</v>
      </c>
      <c r="N250" s="193">
        <f>SUM(I250:M250)</f>
        <v>3321610</v>
      </c>
      <c r="O250" s="191">
        <v>2200000</v>
      </c>
      <c r="P250" s="59" t="s">
        <v>1259</v>
      </c>
      <c r="Q250" s="29" t="s">
        <v>82</v>
      </c>
      <c r="R250" s="81"/>
      <c r="S250" s="48" t="s">
        <v>741</v>
      </c>
      <c r="T250" s="50"/>
      <c r="U250" s="30" t="s">
        <v>1260</v>
      </c>
      <c r="V250" s="58"/>
      <c r="W250" s="52"/>
      <c r="X250" s="193"/>
      <c r="Y250" s="206">
        <f>X250*0.1</f>
        <v>0</v>
      </c>
      <c r="Z250" s="193"/>
      <c r="AA250" s="193">
        <f>SUM(X250:Z250)</f>
        <v>0</v>
      </c>
      <c r="AB250" s="219"/>
    </row>
    <row r="251" spans="1:28" ht="18.600000000000001" thickBot="1">
      <c r="A251" s="250"/>
      <c r="B251" s="31" t="s">
        <v>84</v>
      </c>
      <c r="C251" s="31">
        <v>36036</v>
      </c>
      <c r="D251" s="32" t="s">
        <v>101</v>
      </c>
      <c r="E251" s="200"/>
      <c r="F251" s="43" t="s">
        <v>1261</v>
      </c>
      <c r="G251" s="38">
        <v>37780</v>
      </c>
      <c r="H251" s="202"/>
      <c r="I251" s="194"/>
      <c r="J251" s="194"/>
      <c r="K251" s="194"/>
      <c r="L251" s="194"/>
      <c r="M251" s="194"/>
      <c r="N251" s="194"/>
      <c r="O251" s="192"/>
      <c r="P251" s="55" t="s">
        <v>1262</v>
      </c>
      <c r="Q251" s="33" t="s">
        <v>86</v>
      </c>
      <c r="R251" s="34" t="s">
        <v>1263</v>
      </c>
      <c r="S251" s="44" t="s">
        <v>1264</v>
      </c>
      <c r="T251" s="46"/>
      <c r="U251" s="35" t="s">
        <v>1100</v>
      </c>
      <c r="V251" s="56"/>
      <c r="W251" s="46"/>
      <c r="X251" s="194"/>
      <c r="Y251" s="194"/>
      <c r="Z251" s="194"/>
      <c r="AA251" s="194"/>
      <c r="AB251" s="220"/>
    </row>
    <row r="252" spans="1:28" ht="18.600000000000001" thickTop="1">
      <c r="A252" s="249" t="s">
        <v>1265</v>
      </c>
      <c r="B252" s="26">
        <v>44091</v>
      </c>
      <c r="C252" s="27" t="s">
        <v>1266</v>
      </c>
      <c r="D252" s="28" t="s">
        <v>1267</v>
      </c>
      <c r="E252" s="199"/>
      <c r="F252" s="40" t="s">
        <v>1268</v>
      </c>
      <c r="G252" s="37" t="s">
        <v>883</v>
      </c>
      <c r="H252" s="201">
        <v>4</v>
      </c>
      <c r="I252" s="193">
        <v>2350000</v>
      </c>
      <c r="J252" s="193">
        <v>235000</v>
      </c>
      <c r="K252" s="193">
        <v>0</v>
      </c>
      <c r="L252" s="193">
        <v>18170</v>
      </c>
      <c r="M252" s="193">
        <v>13200</v>
      </c>
      <c r="N252" s="193">
        <f>SUM(I252:M252)</f>
        <v>2616370</v>
      </c>
      <c r="O252" s="191">
        <v>1600000</v>
      </c>
      <c r="P252" s="59" t="s">
        <v>1269</v>
      </c>
      <c r="Q252" s="29" t="s">
        <v>82</v>
      </c>
      <c r="R252" s="81"/>
      <c r="S252" s="48" t="s">
        <v>89</v>
      </c>
      <c r="T252" s="138"/>
      <c r="U252" s="30"/>
      <c r="V252" s="58"/>
      <c r="W252" s="52"/>
      <c r="X252" s="193"/>
      <c r="Y252" s="206">
        <f>X252*0.1</f>
        <v>0</v>
      </c>
      <c r="Z252" s="193"/>
      <c r="AA252" s="193">
        <f>SUM(X252:Z252)</f>
        <v>0</v>
      </c>
      <c r="AB252" s="219"/>
    </row>
    <row r="253" spans="1:28" ht="18.600000000000001" thickBot="1">
      <c r="A253" s="250"/>
      <c r="B253" s="31" t="s">
        <v>261</v>
      </c>
      <c r="C253" s="31">
        <v>75293</v>
      </c>
      <c r="D253" s="32" t="s">
        <v>229</v>
      </c>
      <c r="E253" s="200"/>
      <c r="F253" s="43" t="s">
        <v>1270</v>
      </c>
      <c r="G253" s="38">
        <v>50320</v>
      </c>
      <c r="H253" s="202"/>
      <c r="I253" s="194"/>
      <c r="J253" s="194"/>
      <c r="K253" s="194"/>
      <c r="L253" s="194"/>
      <c r="M253" s="194"/>
      <c r="N253" s="194"/>
      <c r="O253" s="192"/>
      <c r="P253" s="55" t="s">
        <v>1271</v>
      </c>
      <c r="Q253" s="33" t="s">
        <v>86</v>
      </c>
      <c r="R253" s="34" t="s">
        <v>1272</v>
      </c>
      <c r="S253" s="44" t="s">
        <v>1273</v>
      </c>
      <c r="T253" s="46"/>
      <c r="U253" s="35"/>
      <c r="V253" s="56"/>
      <c r="W253" s="46"/>
      <c r="X253" s="194"/>
      <c r="Y253" s="194"/>
      <c r="Z253" s="194"/>
      <c r="AA253" s="194"/>
      <c r="AB253" s="220"/>
    </row>
    <row r="254" spans="1:28" ht="18.600000000000001" thickTop="1">
      <c r="A254" s="249" t="s">
        <v>1274</v>
      </c>
      <c r="B254" s="26">
        <v>44096</v>
      </c>
      <c r="C254" s="27"/>
      <c r="D254" s="28" t="s">
        <v>1275</v>
      </c>
      <c r="E254" s="199"/>
      <c r="F254" s="40" t="s">
        <v>1276</v>
      </c>
      <c r="G254" s="37" t="s">
        <v>1277</v>
      </c>
      <c r="H254" s="201" t="s">
        <v>825</v>
      </c>
      <c r="I254" s="193">
        <v>305000</v>
      </c>
      <c r="J254" s="193">
        <v>30500</v>
      </c>
      <c r="K254" s="193"/>
      <c r="L254" s="193">
        <v>8400</v>
      </c>
      <c r="M254" s="193">
        <f>39737+3974</f>
        <v>43711</v>
      </c>
      <c r="N254" s="193">
        <f>SUM(I254:M254)</f>
        <v>387611</v>
      </c>
      <c r="O254" s="191">
        <v>150000</v>
      </c>
      <c r="P254" s="59" t="s">
        <v>1278</v>
      </c>
      <c r="Q254" s="29" t="s">
        <v>82</v>
      </c>
      <c r="R254" s="81"/>
      <c r="S254" s="48" t="s">
        <v>1279</v>
      </c>
      <c r="T254" s="50" t="s">
        <v>1280</v>
      </c>
      <c r="U254" s="30" t="s">
        <v>1281</v>
      </c>
      <c r="V254" s="58"/>
      <c r="W254" s="52"/>
      <c r="X254" s="193"/>
      <c r="Y254" s="206">
        <f>X254*0.1</f>
        <v>0</v>
      </c>
      <c r="Z254" s="193"/>
      <c r="AA254" s="193">
        <f>SUM(X254:Z254)</f>
        <v>0</v>
      </c>
      <c r="AB254" s="219"/>
    </row>
    <row r="255" spans="1:28" ht="18.600000000000001" thickBot="1">
      <c r="A255" s="250"/>
      <c r="B255" s="31" t="s">
        <v>90</v>
      </c>
      <c r="C255" s="31" t="s">
        <v>1282</v>
      </c>
      <c r="D255" s="32" t="s">
        <v>699</v>
      </c>
      <c r="E255" s="200"/>
      <c r="F255" s="43" t="s">
        <v>1283</v>
      </c>
      <c r="G255" s="38">
        <v>51451</v>
      </c>
      <c r="H255" s="202"/>
      <c r="I255" s="194"/>
      <c r="J255" s="194"/>
      <c r="K255" s="194"/>
      <c r="L255" s="194"/>
      <c r="M255" s="194"/>
      <c r="N255" s="194"/>
      <c r="O255" s="192"/>
      <c r="P255" s="55" t="s">
        <v>1284</v>
      </c>
      <c r="Q255" s="33" t="s">
        <v>86</v>
      </c>
      <c r="R255" s="34" t="s">
        <v>1285</v>
      </c>
      <c r="S255" s="44" t="s">
        <v>1279</v>
      </c>
      <c r="T255" s="46" t="s">
        <v>1286</v>
      </c>
      <c r="U255" s="35" t="s">
        <v>1254</v>
      </c>
      <c r="V255" s="56"/>
      <c r="W255" s="46"/>
      <c r="X255" s="194"/>
      <c r="Y255" s="194"/>
      <c r="Z255" s="194"/>
      <c r="AA255" s="194"/>
      <c r="AB255" s="220"/>
    </row>
    <row r="256" spans="1:28" ht="18.600000000000001" thickTop="1">
      <c r="A256" s="249" t="s">
        <v>1287</v>
      </c>
      <c r="B256" s="26">
        <v>44099</v>
      </c>
      <c r="C256" s="27" t="s">
        <v>1288</v>
      </c>
      <c r="D256" s="28" t="s">
        <v>118</v>
      </c>
      <c r="E256" s="199"/>
      <c r="F256" s="40" t="s">
        <v>404</v>
      </c>
      <c r="G256" s="37" t="s">
        <v>1289</v>
      </c>
      <c r="H256" s="201">
        <v>4</v>
      </c>
      <c r="I256" s="193">
        <v>1580000</v>
      </c>
      <c r="J256" s="193">
        <v>158000</v>
      </c>
      <c r="K256" s="193">
        <v>17200</v>
      </c>
      <c r="L256" s="193">
        <v>17700</v>
      </c>
      <c r="M256" s="193">
        <v>13200</v>
      </c>
      <c r="N256" s="193">
        <f>SUM(I256:M256)</f>
        <v>1786100</v>
      </c>
      <c r="O256" s="191">
        <v>1400000</v>
      </c>
      <c r="P256" s="59" t="s">
        <v>1290</v>
      </c>
      <c r="Q256" s="29" t="s">
        <v>82</v>
      </c>
      <c r="R256" s="81"/>
      <c r="S256" s="48" t="s">
        <v>1291</v>
      </c>
      <c r="T256" s="50" t="s">
        <v>1292</v>
      </c>
      <c r="U256" s="30"/>
      <c r="V256" s="58"/>
      <c r="W256" s="52"/>
      <c r="X256" s="193"/>
      <c r="Y256" s="206">
        <f>X256*0.1</f>
        <v>0</v>
      </c>
      <c r="Z256" s="193"/>
      <c r="AA256" s="193">
        <f>SUM(X256:Z256)</f>
        <v>0</v>
      </c>
      <c r="AB256" s="219"/>
    </row>
    <row r="257" spans="1:28" ht="18.600000000000001" thickBot="1">
      <c r="A257" s="250"/>
      <c r="B257" s="31" t="s">
        <v>120</v>
      </c>
      <c r="C257" s="31">
        <v>58258</v>
      </c>
      <c r="D257" s="32" t="s">
        <v>91</v>
      </c>
      <c r="E257" s="200"/>
      <c r="F257" s="43" t="s">
        <v>1293</v>
      </c>
      <c r="G257" s="38">
        <v>40463</v>
      </c>
      <c r="H257" s="202"/>
      <c r="I257" s="194"/>
      <c r="J257" s="194"/>
      <c r="K257" s="194"/>
      <c r="L257" s="194"/>
      <c r="M257" s="194"/>
      <c r="N257" s="194"/>
      <c r="O257" s="192"/>
      <c r="P257" s="55" t="s">
        <v>1294</v>
      </c>
      <c r="Q257" s="33" t="s">
        <v>86</v>
      </c>
      <c r="R257" s="34" t="s">
        <v>1295</v>
      </c>
      <c r="S257" s="44" t="s">
        <v>640</v>
      </c>
      <c r="T257" s="46"/>
      <c r="U257" s="35" t="s">
        <v>103</v>
      </c>
      <c r="V257" s="56"/>
      <c r="W257" s="46"/>
      <c r="X257" s="194"/>
      <c r="Y257" s="194"/>
      <c r="Z257" s="194"/>
      <c r="AA257" s="194"/>
      <c r="AB257" s="220"/>
    </row>
    <row r="258" spans="1:28" ht="18.600000000000001" thickTop="1">
      <c r="A258" s="249" t="s">
        <v>1296</v>
      </c>
      <c r="B258" s="26">
        <v>44105</v>
      </c>
      <c r="C258" s="27" t="s">
        <v>1297</v>
      </c>
      <c r="D258" s="28" t="s">
        <v>937</v>
      </c>
      <c r="E258" s="199"/>
      <c r="F258" s="40" t="s">
        <v>1298</v>
      </c>
      <c r="G258" s="37" t="s">
        <v>1299</v>
      </c>
      <c r="H258" s="201">
        <v>4</v>
      </c>
      <c r="I258" s="193">
        <v>1470000</v>
      </c>
      <c r="J258" s="193">
        <v>147000</v>
      </c>
      <c r="K258" s="193">
        <v>16400</v>
      </c>
      <c r="L258" s="193">
        <v>20310</v>
      </c>
      <c r="M258" s="193">
        <v>13200</v>
      </c>
      <c r="N258" s="193">
        <f>SUM(I258:M258)</f>
        <v>1666910</v>
      </c>
      <c r="O258" s="191">
        <v>1000000</v>
      </c>
      <c r="P258" s="59" t="s">
        <v>1300</v>
      </c>
      <c r="Q258" s="29" t="s">
        <v>82</v>
      </c>
      <c r="R258" s="81"/>
      <c r="S258" s="48" t="s">
        <v>1180</v>
      </c>
      <c r="T258" s="50"/>
      <c r="U258" s="30"/>
      <c r="V258" s="58"/>
      <c r="W258" s="52"/>
      <c r="X258" s="193"/>
      <c r="Y258" s="206">
        <f>X258*0.1</f>
        <v>0</v>
      </c>
      <c r="Z258" s="193"/>
      <c r="AA258" s="193">
        <f>SUM(X258:Z258)</f>
        <v>0</v>
      </c>
      <c r="AB258" s="219"/>
    </row>
    <row r="259" spans="1:28" ht="18.600000000000001" thickBot="1">
      <c r="A259" s="250"/>
      <c r="B259" s="31" t="s">
        <v>373</v>
      </c>
      <c r="C259" s="31">
        <v>94</v>
      </c>
      <c r="D259" s="32" t="s">
        <v>101</v>
      </c>
      <c r="E259" s="200"/>
      <c r="F259" s="43" t="s">
        <v>1301</v>
      </c>
      <c r="G259" s="38">
        <v>56559</v>
      </c>
      <c r="H259" s="202"/>
      <c r="I259" s="194"/>
      <c r="J259" s="194"/>
      <c r="K259" s="194"/>
      <c r="L259" s="194"/>
      <c r="M259" s="194"/>
      <c r="N259" s="194"/>
      <c r="O259" s="192"/>
      <c r="P259" s="55" t="s">
        <v>902</v>
      </c>
      <c r="Q259" s="33" t="s">
        <v>86</v>
      </c>
      <c r="R259" s="34" t="s">
        <v>1295</v>
      </c>
      <c r="S259" s="44" t="s">
        <v>1152</v>
      </c>
      <c r="T259" s="46"/>
      <c r="U259" s="35" t="s">
        <v>122</v>
      </c>
      <c r="V259" s="56"/>
      <c r="W259" s="46"/>
      <c r="X259" s="194"/>
      <c r="Y259" s="194"/>
      <c r="Z259" s="194"/>
      <c r="AA259" s="194"/>
      <c r="AB259" s="220"/>
    </row>
    <row r="260" spans="1:28" ht="18.600000000000001" thickTop="1">
      <c r="A260" s="249" t="s">
        <v>1302</v>
      </c>
      <c r="B260" s="26">
        <v>44112</v>
      </c>
      <c r="C260" s="27" t="s">
        <v>1303</v>
      </c>
      <c r="D260" s="28" t="s">
        <v>654</v>
      </c>
      <c r="E260" s="199"/>
      <c r="F260" s="40" t="s">
        <v>1304</v>
      </c>
      <c r="G260" s="37"/>
      <c r="H260" s="201">
        <v>4.5</v>
      </c>
      <c r="I260" s="193">
        <v>3065000</v>
      </c>
      <c r="J260" s="193">
        <v>306500</v>
      </c>
      <c r="K260" s="193">
        <v>0</v>
      </c>
      <c r="L260" s="193">
        <v>19630</v>
      </c>
      <c r="M260" s="193">
        <v>13200</v>
      </c>
      <c r="N260" s="193">
        <f>SUM(I260:M260)</f>
        <v>3404330</v>
      </c>
      <c r="O260" s="191">
        <v>2200000</v>
      </c>
      <c r="P260" s="59" t="s">
        <v>1305</v>
      </c>
      <c r="Q260" s="29" t="s">
        <v>82</v>
      </c>
      <c r="R260" s="81"/>
      <c r="S260" s="48" t="s">
        <v>741</v>
      </c>
      <c r="T260" s="50" t="s">
        <v>1306</v>
      </c>
      <c r="U260" s="30"/>
      <c r="V260" s="58"/>
      <c r="W260" s="52"/>
      <c r="X260" s="193"/>
      <c r="Y260" s="206">
        <f>X260*0.1</f>
        <v>0</v>
      </c>
      <c r="Z260" s="193"/>
      <c r="AA260" s="193">
        <f>SUM(X260:Z260)</f>
        <v>0</v>
      </c>
      <c r="AB260" s="219"/>
    </row>
    <row r="261" spans="1:28" ht="18.600000000000001" thickBot="1">
      <c r="A261" s="250"/>
      <c r="B261" s="31" t="s">
        <v>373</v>
      </c>
      <c r="C261" s="31">
        <v>15</v>
      </c>
      <c r="D261" s="32" t="s">
        <v>48</v>
      </c>
      <c r="E261" s="200"/>
      <c r="F261" s="43" t="s">
        <v>1307</v>
      </c>
      <c r="G261" s="38">
        <v>16542</v>
      </c>
      <c r="H261" s="202"/>
      <c r="I261" s="194"/>
      <c r="J261" s="194"/>
      <c r="K261" s="194"/>
      <c r="L261" s="194"/>
      <c r="M261" s="194"/>
      <c r="N261" s="194"/>
      <c r="O261" s="192"/>
      <c r="P261" s="55" t="s">
        <v>1308</v>
      </c>
      <c r="Q261" s="33" t="s">
        <v>86</v>
      </c>
      <c r="R261" s="34" t="s">
        <v>1309</v>
      </c>
      <c r="S261" s="44" t="s">
        <v>1310</v>
      </c>
      <c r="T261" s="46"/>
      <c r="U261" s="35"/>
      <c r="V261" s="56"/>
      <c r="W261" s="46"/>
      <c r="X261" s="194"/>
      <c r="Y261" s="194"/>
      <c r="Z261" s="194"/>
      <c r="AA261" s="194"/>
      <c r="AB261" s="220"/>
    </row>
    <row r="262" spans="1:28" ht="18.600000000000001" thickTop="1">
      <c r="A262" s="249" t="s">
        <v>1311</v>
      </c>
      <c r="B262" s="26">
        <v>44119</v>
      </c>
      <c r="C262" s="27" t="s">
        <v>1312</v>
      </c>
      <c r="D262" s="28" t="s">
        <v>1313</v>
      </c>
      <c r="E262" s="199"/>
      <c r="F262" s="40" t="s">
        <v>1314</v>
      </c>
      <c r="G262" s="37" t="s">
        <v>1315</v>
      </c>
      <c r="H262" s="201">
        <v>4.5</v>
      </c>
      <c r="I262" s="193">
        <v>2625000</v>
      </c>
      <c r="J262" s="193">
        <v>262500</v>
      </c>
      <c r="K262" s="193">
        <v>21200</v>
      </c>
      <c r="L262" s="193">
        <v>26150</v>
      </c>
      <c r="M262" s="193">
        <v>13200</v>
      </c>
      <c r="N262" s="193">
        <f>SUM(I262:M262)</f>
        <v>2948050</v>
      </c>
      <c r="O262" s="191">
        <v>2000000</v>
      </c>
      <c r="P262" s="59" t="s">
        <v>1316</v>
      </c>
      <c r="Q262" s="29" t="s">
        <v>82</v>
      </c>
      <c r="R262" s="81"/>
      <c r="S262" s="48"/>
      <c r="T262" s="50"/>
      <c r="U262" s="30" t="s">
        <v>1317</v>
      </c>
      <c r="V262" s="58"/>
      <c r="W262" s="52"/>
      <c r="X262" s="193"/>
      <c r="Y262" s="206">
        <f>X262*0.1</f>
        <v>0</v>
      </c>
      <c r="Z262" s="193"/>
      <c r="AA262" s="193">
        <f>SUM(X262:Z262)</f>
        <v>0</v>
      </c>
      <c r="AB262" s="219"/>
    </row>
    <row r="263" spans="1:28" ht="18.600000000000001" thickBot="1">
      <c r="A263" s="250"/>
      <c r="B263" s="31" t="s">
        <v>261</v>
      </c>
      <c r="C263" s="31">
        <v>75256</v>
      </c>
      <c r="D263" s="32" t="s">
        <v>593</v>
      </c>
      <c r="E263" s="200"/>
      <c r="F263" s="43" t="s">
        <v>1318</v>
      </c>
      <c r="G263" s="38">
        <v>48597</v>
      </c>
      <c r="H263" s="202"/>
      <c r="I263" s="194"/>
      <c r="J263" s="194"/>
      <c r="K263" s="194"/>
      <c r="L263" s="194"/>
      <c r="M263" s="194"/>
      <c r="N263" s="194"/>
      <c r="O263" s="192"/>
      <c r="P263" s="55" t="s">
        <v>1319</v>
      </c>
      <c r="Q263" s="33" t="s">
        <v>86</v>
      </c>
      <c r="R263" s="34" t="s">
        <v>1320</v>
      </c>
      <c r="S263" s="44"/>
      <c r="T263" s="46"/>
      <c r="U263" s="35" t="s">
        <v>216</v>
      </c>
      <c r="V263" s="56"/>
      <c r="W263" s="46"/>
      <c r="X263" s="194"/>
      <c r="Y263" s="194"/>
      <c r="Z263" s="194"/>
      <c r="AA263" s="194"/>
      <c r="AB263" s="220"/>
    </row>
    <row r="264" spans="1:28" ht="18.600000000000001" thickTop="1">
      <c r="A264" s="249" t="s">
        <v>1321</v>
      </c>
      <c r="B264" s="26">
        <v>44119</v>
      </c>
      <c r="C264" s="27" t="s">
        <v>1322</v>
      </c>
      <c r="D264" s="28" t="s">
        <v>937</v>
      </c>
      <c r="E264" s="199"/>
      <c r="F264" s="40" t="s">
        <v>1323</v>
      </c>
      <c r="G264" s="37" t="s">
        <v>1324</v>
      </c>
      <c r="H264" s="201">
        <v>4</v>
      </c>
      <c r="I264" s="193">
        <v>2490000</v>
      </c>
      <c r="J264" s="193">
        <v>249000</v>
      </c>
      <c r="K264" s="193">
        <v>21200</v>
      </c>
      <c r="L264" s="193">
        <v>18110</v>
      </c>
      <c r="M264" s="193">
        <v>22000</v>
      </c>
      <c r="N264" s="193">
        <f>SUM(I264:M264)</f>
        <v>2800310</v>
      </c>
      <c r="O264" s="191">
        <v>1800000</v>
      </c>
      <c r="P264" s="59" t="s">
        <v>1325</v>
      </c>
      <c r="Q264" s="29" t="s">
        <v>82</v>
      </c>
      <c r="R264" s="81"/>
      <c r="S264" s="48" t="s">
        <v>1326</v>
      </c>
      <c r="T264" s="50"/>
      <c r="U264" s="30" t="s">
        <v>1327</v>
      </c>
      <c r="V264" s="58"/>
      <c r="W264" s="52"/>
      <c r="X264" s="193"/>
      <c r="Y264" s="206">
        <f>X264*0.1</f>
        <v>0</v>
      </c>
      <c r="Z264" s="193"/>
      <c r="AA264" s="193">
        <f>SUM(X264:Z264)</f>
        <v>0</v>
      </c>
      <c r="AB264" s="219"/>
    </row>
    <row r="265" spans="1:28" ht="18.600000000000001" thickBot="1">
      <c r="A265" s="250"/>
      <c r="B265" s="31" t="s">
        <v>1328</v>
      </c>
      <c r="C265" s="31">
        <v>30264</v>
      </c>
      <c r="D265" s="32" t="s">
        <v>101</v>
      </c>
      <c r="E265" s="200"/>
      <c r="F265" s="43" t="s">
        <v>1329</v>
      </c>
      <c r="G265" s="38">
        <v>31939</v>
      </c>
      <c r="H265" s="202"/>
      <c r="I265" s="194"/>
      <c r="J265" s="194"/>
      <c r="K265" s="194"/>
      <c r="L265" s="194"/>
      <c r="M265" s="194"/>
      <c r="N265" s="194"/>
      <c r="O265" s="192"/>
      <c r="P265" s="55" t="s">
        <v>1330</v>
      </c>
      <c r="Q265" s="33" t="s">
        <v>86</v>
      </c>
      <c r="R265" s="34" t="s">
        <v>1320</v>
      </c>
      <c r="S265" s="44" t="s">
        <v>1331</v>
      </c>
      <c r="T265" s="46"/>
      <c r="U265" s="35" t="s">
        <v>216</v>
      </c>
      <c r="V265" s="56"/>
      <c r="W265" s="46"/>
      <c r="X265" s="194"/>
      <c r="Y265" s="194"/>
      <c r="Z265" s="194"/>
      <c r="AA265" s="194"/>
      <c r="AB265" s="220"/>
    </row>
    <row r="266" spans="1:28" ht="18.600000000000001" thickTop="1">
      <c r="A266" s="249" t="s">
        <v>1332</v>
      </c>
      <c r="B266" s="26">
        <v>44127</v>
      </c>
      <c r="C266" s="27" t="s">
        <v>1333</v>
      </c>
      <c r="D266" s="28" t="s">
        <v>1334</v>
      </c>
      <c r="E266" s="199"/>
      <c r="F266" s="40" t="s">
        <v>1335</v>
      </c>
      <c r="G266" s="37" t="s">
        <v>1336</v>
      </c>
      <c r="H266" s="201">
        <v>4</v>
      </c>
      <c r="I266" s="193">
        <v>2600000</v>
      </c>
      <c r="J266" s="193">
        <v>260000</v>
      </c>
      <c r="K266" s="193">
        <v>27700</v>
      </c>
      <c r="L266" s="193">
        <v>18070</v>
      </c>
      <c r="M266" s="193">
        <v>13200</v>
      </c>
      <c r="N266" s="193">
        <f>SUM(I266:M266)</f>
        <v>2918970</v>
      </c>
      <c r="O266" s="191">
        <v>2000000</v>
      </c>
      <c r="P266" s="59" t="s">
        <v>1337</v>
      </c>
      <c r="Q266" s="29" t="s">
        <v>82</v>
      </c>
      <c r="R266" s="81"/>
      <c r="S266" s="48" t="s">
        <v>1338</v>
      </c>
      <c r="T266" s="50"/>
      <c r="U266" s="30"/>
      <c r="V266" s="58"/>
      <c r="W266" s="52"/>
      <c r="X266" s="193"/>
      <c r="Y266" s="206">
        <f>X266*0.1</f>
        <v>0</v>
      </c>
      <c r="Z266" s="193"/>
      <c r="AA266" s="193">
        <f>SUM(X266:Z266)</f>
        <v>0</v>
      </c>
      <c r="AB266" s="219"/>
    </row>
    <row r="267" spans="1:28" ht="18.600000000000001" thickBot="1">
      <c r="A267" s="250"/>
      <c r="B267" s="31" t="s">
        <v>120</v>
      </c>
      <c r="C267" s="31">
        <v>58285</v>
      </c>
      <c r="D267" s="32" t="s">
        <v>91</v>
      </c>
      <c r="E267" s="200"/>
      <c r="F267" s="43" t="s">
        <v>1339</v>
      </c>
      <c r="G267" s="38">
        <v>20175</v>
      </c>
      <c r="H267" s="202"/>
      <c r="I267" s="194"/>
      <c r="J267" s="194"/>
      <c r="K267" s="194"/>
      <c r="L267" s="194"/>
      <c r="M267" s="194"/>
      <c r="N267" s="194"/>
      <c r="O267" s="192"/>
      <c r="P267" s="55" t="s">
        <v>1340</v>
      </c>
      <c r="Q267" s="33" t="s">
        <v>86</v>
      </c>
      <c r="R267" s="34" t="s">
        <v>1341</v>
      </c>
      <c r="S267" s="44" t="s">
        <v>1342</v>
      </c>
      <c r="T267" s="46"/>
      <c r="U267" s="35" t="s">
        <v>1100</v>
      </c>
      <c r="V267" s="56"/>
      <c r="W267" s="46"/>
      <c r="X267" s="194"/>
      <c r="Y267" s="194"/>
      <c r="Z267" s="194"/>
      <c r="AA267" s="194"/>
      <c r="AB267" s="220"/>
    </row>
    <row r="268" spans="1:28" ht="18.600000000000001" thickTop="1">
      <c r="A268" s="249" t="s">
        <v>1343</v>
      </c>
      <c r="B268" s="26">
        <v>44132</v>
      </c>
      <c r="C268" s="27" t="s">
        <v>1297</v>
      </c>
      <c r="D268" s="28" t="s">
        <v>443</v>
      </c>
      <c r="E268" s="199"/>
      <c r="F268" s="40" t="s">
        <v>811</v>
      </c>
      <c r="G268" s="37" t="s">
        <v>1324</v>
      </c>
      <c r="H268" s="201">
        <v>4.5</v>
      </c>
      <c r="I268" s="193">
        <v>2143000</v>
      </c>
      <c r="J268" s="193">
        <v>214300</v>
      </c>
      <c r="K268" s="193">
        <v>16400</v>
      </c>
      <c r="L268" s="193">
        <v>18960</v>
      </c>
      <c r="M268" s="193">
        <v>22000</v>
      </c>
      <c r="N268" s="193">
        <f>SUM(I268:M268)</f>
        <v>2414660</v>
      </c>
      <c r="O268" s="191">
        <v>1700000</v>
      </c>
      <c r="P268" s="59" t="s">
        <v>1344</v>
      </c>
      <c r="Q268" s="29" t="s">
        <v>82</v>
      </c>
      <c r="R268" s="81"/>
      <c r="S268" s="48" t="s">
        <v>677</v>
      </c>
      <c r="T268" s="50"/>
      <c r="U268" s="30"/>
      <c r="V268" s="58"/>
      <c r="W268" s="52"/>
      <c r="X268" s="193"/>
      <c r="Y268" s="206">
        <f>X268*0.1</f>
        <v>0</v>
      </c>
      <c r="Z268" s="193"/>
      <c r="AA268" s="193">
        <f>SUM(X268:Z268)</f>
        <v>0</v>
      </c>
      <c r="AB268" s="219"/>
    </row>
    <row r="269" spans="1:28" ht="18.600000000000001" thickBot="1">
      <c r="A269" s="250"/>
      <c r="B269" s="31" t="s">
        <v>1345</v>
      </c>
      <c r="C269" s="31">
        <v>35142</v>
      </c>
      <c r="D269" s="32" t="s">
        <v>229</v>
      </c>
      <c r="E269" s="200"/>
      <c r="F269" s="43" t="s">
        <v>1346</v>
      </c>
      <c r="G269" s="38">
        <v>38451</v>
      </c>
      <c r="H269" s="202"/>
      <c r="I269" s="194"/>
      <c r="J269" s="194"/>
      <c r="K269" s="194"/>
      <c r="L269" s="194"/>
      <c r="M269" s="194"/>
      <c r="N269" s="194"/>
      <c r="O269" s="192"/>
      <c r="P269" s="55" t="s">
        <v>1347</v>
      </c>
      <c r="Q269" s="33" t="s">
        <v>86</v>
      </c>
      <c r="R269" s="34" t="s">
        <v>1348</v>
      </c>
      <c r="S269" s="44" t="s">
        <v>640</v>
      </c>
      <c r="T269" s="46"/>
      <c r="U269" s="35"/>
      <c r="V269" s="56"/>
      <c r="W269" s="46"/>
      <c r="X269" s="194"/>
      <c r="Y269" s="194"/>
      <c r="Z269" s="194"/>
      <c r="AA269" s="194"/>
      <c r="AB269" s="220"/>
    </row>
    <row r="270" spans="1:28" ht="18.600000000000001" thickTop="1">
      <c r="A270" s="249" t="s">
        <v>1349</v>
      </c>
      <c r="B270" s="26">
        <v>44137</v>
      </c>
      <c r="C270" s="27" t="s">
        <v>117</v>
      </c>
      <c r="D270" s="28" t="s">
        <v>542</v>
      </c>
      <c r="E270" s="199"/>
      <c r="F270" s="40" t="s">
        <v>404</v>
      </c>
      <c r="G270" s="37"/>
      <c r="H270" s="201">
        <v>4</v>
      </c>
      <c r="I270" s="193">
        <v>2240000</v>
      </c>
      <c r="J270" s="193">
        <v>224000</v>
      </c>
      <c r="K270" s="193">
        <v>0</v>
      </c>
      <c r="L270" s="193">
        <v>18960</v>
      </c>
      <c r="M270" s="193">
        <v>11000</v>
      </c>
      <c r="N270" s="193">
        <f>SUM(I270:M270)</f>
        <v>2493960</v>
      </c>
      <c r="O270" s="191">
        <v>1600000</v>
      </c>
      <c r="P270" s="59" t="s">
        <v>1350</v>
      </c>
      <c r="Q270" s="29" t="s">
        <v>82</v>
      </c>
      <c r="R270" s="81"/>
      <c r="S270" s="48" t="s">
        <v>1279</v>
      </c>
      <c r="T270" s="50"/>
      <c r="U270" s="30"/>
      <c r="V270" s="58"/>
      <c r="W270" s="52"/>
      <c r="X270" s="193"/>
      <c r="Y270" s="206">
        <f>X270*0.1</f>
        <v>0</v>
      </c>
      <c r="Z270" s="193"/>
      <c r="AA270" s="193">
        <f>SUM(X270:Z270)</f>
        <v>0</v>
      </c>
      <c r="AB270" s="219"/>
    </row>
    <row r="271" spans="1:28" ht="18.600000000000001" thickBot="1">
      <c r="A271" s="250"/>
      <c r="B271" s="31" t="s">
        <v>84</v>
      </c>
      <c r="C271" s="31">
        <v>30505</v>
      </c>
      <c r="D271" s="32" t="s">
        <v>454</v>
      </c>
      <c r="E271" s="200"/>
      <c r="F271" s="43" t="s">
        <v>1351</v>
      </c>
      <c r="G271" s="38">
        <v>29687</v>
      </c>
      <c r="H271" s="202"/>
      <c r="I271" s="194"/>
      <c r="J271" s="194"/>
      <c r="K271" s="194"/>
      <c r="L271" s="194"/>
      <c r="M271" s="194"/>
      <c r="N271" s="194"/>
      <c r="O271" s="192"/>
      <c r="P271" s="55" t="s">
        <v>1352</v>
      </c>
      <c r="Q271" s="33" t="s">
        <v>86</v>
      </c>
      <c r="R271" s="34" t="s">
        <v>1353</v>
      </c>
      <c r="S271" s="44" t="s">
        <v>1354</v>
      </c>
      <c r="T271" s="46"/>
      <c r="U271" s="35"/>
      <c r="V271" s="56"/>
      <c r="W271" s="46"/>
      <c r="X271" s="194"/>
      <c r="Y271" s="194"/>
      <c r="Z271" s="194"/>
      <c r="AA271" s="194"/>
      <c r="AB271" s="220"/>
    </row>
    <row r="272" spans="1:28" ht="18.600000000000001" thickTop="1">
      <c r="A272" s="249" t="s">
        <v>1355</v>
      </c>
      <c r="B272" s="26">
        <v>44140</v>
      </c>
      <c r="C272" s="27" t="s">
        <v>1356</v>
      </c>
      <c r="D272" s="28" t="s">
        <v>1357</v>
      </c>
      <c r="E272" s="199"/>
      <c r="F272" s="54" t="s">
        <v>1358</v>
      </c>
      <c r="G272" s="37" t="s">
        <v>1359</v>
      </c>
      <c r="H272" s="201">
        <v>4.5</v>
      </c>
      <c r="I272" s="193">
        <v>2850000</v>
      </c>
      <c r="J272" s="193">
        <v>285000</v>
      </c>
      <c r="K272" s="193">
        <v>13100</v>
      </c>
      <c r="L272" s="193">
        <v>17600</v>
      </c>
      <c r="M272" s="193">
        <v>22000</v>
      </c>
      <c r="N272" s="193">
        <f>SUM(I272:M272)</f>
        <v>3187700</v>
      </c>
      <c r="O272" s="191">
        <v>2200000</v>
      </c>
      <c r="P272" s="59" t="s">
        <v>1360</v>
      </c>
      <c r="Q272" s="29" t="s">
        <v>82</v>
      </c>
      <c r="R272" s="81"/>
      <c r="S272" s="48" t="s">
        <v>741</v>
      </c>
      <c r="T272" s="50"/>
      <c r="U272" s="30" t="s">
        <v>1361</v>
      </c>
      <c r="V272" s="58"/>
      <c r="W272" s="52"/>
      <c r="X272" s="193"/>
      <c r="Y272" s="206">
        <f>X272*0.1</f>
        <v>0</v>
      </c>
      <c r="Z272" s="193"/>
      <c r="AA272" s="193">
        <f>SUM(X272:Z272)</f>
        <v>0</v>
      </c>
      <c r="AB272" s="219"/>
    </row>
    <row r="273" spans="1:28" ht="18.600000000000001" thickBot="1">
      <c r="A273" s="250"/>
      <c r="B273" s="31" t="s">
        <v>373</v>
      </c>
      <c r="C273" s="31">
        <v>145</v>
      </c>
      <c r="D273" s="32" t="s">
        <v>454</v>
      </c>
      <c r="E273" s="200"/>
      <c r="F273" s="43" t="s">
        <v>1362</v>
      </c>
      <c r="G273" s="38">
        <v>5682</v>
      </c>
      <c r="H273" s="202"/>
      <c r="I273" s="194"/>
      <c r="J273" s="194"/>
      <c r="K273" s="194"/>
      <c r="L273" s="194"/>
      <c r="M273" s="194"/>
      <c r="N273" s="194"/>
      <c r="O273" s="192"/>
      <c r="P273" s="55" t="s">
        <v>773</v>
      </c>
      <c r="Q273" s="33" t="s">
        <v>86</v>
      </c>
      <c r="R273" s="34" t="s">
        <v>1363</v>
      </c>
      <c r="S273" s="44" t="s">
        <v>83</v>
      </c>
      <c r="T273" s="46"/>
      <c r="U273" s="35" t="s">
        <v>1364</v>
      </c>
      <c r="V273" s="56"/>
      <c r="W273" s="46"/>
      <c r="X273" s="194"/>
      <c r="Y273" s="194"/>
      <c r="Z273" s="194"/>
      <c r="AA273" s="194"/>
      <c r="AB273" s="220"/>
    </row>
    <row r="274" spans="1:28" ht="18.600000000000001" thickTop="1">
      <c r="A274" s="249" t="s">
        <v>1365</v>
      </c>
      <c r="B274" s="26">
        <v>44146</v>
      </c>
      <c r="C274" s="27" t="s">
        <v>548</v>
      </c>
      <c r="D274" s="28" t="s">
        <v>1192</v>
      </c>
      <c r="E274" s="199"/>
      <c r="F274" s="40" t="s">
        <v>1366</v>
      </c>
      <c r="G274" s="37"/>
      <c r="H274" s="201">
        <v>4</v>
      </c>
      <c r="I274" s="193">
        <v>1700000</v>
      </c>
      <c r="J274" s="193">
        <v>170000</v>
      </c>
      <c r="K274" s="193">
        <v>0</v>
      </c>
      <c r="L274" s="193">
        <v>15570</v>
      </c>
      <c r="M274" s="193">
        <v>15950</v>
      </c>
      <c r="N274" s="193">
        <f>SUM(I274:M274)</f>
        <v>1901520</v>
      </c>
      <c r="O274" s="191">
        <v>1300000</v>
      </c>
      <c r="P274" s="59" t="s">
        <v>1367</v>
      </c>
      <c r="Q274" s="29" t="s">
        <v>82</v>
      </c>
      <c r="R274" s="81"/>
      <c r="S274" s="48" t="s">
        <v>1368</v>
      </c>
      <c r="T274" s="50"/>
      <c r="U274" s="30"/>
      <c r="V274" s="58"/>
      <c r="W274" s="52"/>
      <c r="X274" s="193"/>
      <c r="Y274" s="206">
        <f>X274*0.1</f>
        <v>0</v>
      </c>
      <c r="Z274" s="193"/>
      <c r="AA274" s="193">
        <f>SUM(X274:Z274)</f>
        <v>0</v>
      </c>
      <c r="AB274" s="219"/>
    </row>
    <row r="275" spans="1:28" ht="18.600000000000001" thickBot="1">
      <c r="A275" s="250"/>
      <c r="B275" s="31" t="s">
        <v>815</v>
      </c>
      <c r="C275" s="31">
        <v>33235</v>
      </c>
      <c r="D275" s="32" t="s">
        <v>48</v>
      </c>
      <c r="E275" s="200"/>
      <c r="F275" s="43" t="s">
        <v>1369</v>
      </c>
      <c r="G275" s="38">
        <v>50111</v>
      </c>
      <c r="H275" s="202"/>
      <c r="I275" s="194"/>
      <c r="J275" s="194"/>
      <c r="K275" s="194"/>
      <c r="L275" s="194"/>
      <c r="M275" s="194"/>
      <c r="N275" s="194"/>
      <c r="O275" s="192"/>
      <c r="P275" s="55" t="s">
        <v>1370</v>
      </c>
      <c r="Q275" s="33" t="s">
        <v>86</v>
      </c>
      <c r="R275" s="34" t="s">
        <v>1371</v>
      </c>
      <c r="S275" s="44" t="s">
        <v>1372</v>
      </c>
      <c r="T275" s="46"/>
      <c r="U275" s="35"/>
      <c r="V275" s="56"/>
      <c r="W275" s="46"/>
      <c r="X275" s="194"/>
      <c r="Y275" s="194"/>
      <c r="Z275" s="194"/>
      <c r="AA275" s="194"/>
      <c r="AB275" s="220"/>
    </row>
    <row r="276" spans="1:28" ht="18.600000000000001" thickTop="1">
      <c r="A276" s="249" t="s">
        <v>1373</v>
      </c>
      <c r="B276" s="26">
        <v>44146</v>
      </c>
      <c r="C276" s="27"/>
      <c r="D276" s="28" t="s">
        <v>492</v>
      </c>
      <c r="E276" s="199" t="s">
        <v>282</v>
      </c>
      <c r="F276" s="40" t="s">
        <v>1374</v>
      </c>
      <c r="G276" s="37" t="s">
        <v>1213</v>
      </c>
      <c r="H276" s="201">
        <v>4</v>
      </c>
      <c r="I276" s="193">
        <v>2504000</v>
      </c>
      <c r="J276" s="193">
        <v>250400</v>
      </c>
      <c r="K276" s="193">
        <v>11500</v>
      </c>
      <c r="L276" s="193">
        <v>11740</v>
      </c>
      <c r="M276" s="193">
        <v>22000</v>
      </c>
      <c r="N276" s="193">
        <f>SUM(I276:M276)</f>
        <v>2799640</v>
      </c>
      <c r="O276" s="191">
        <v>2000000</v>
      </c>
      <c r="P276" s="59" t="s">
        <v>1375</v>
      </c>
      <c r="Q276" s="29" t="s">
        <v>82</v>
      </c>
      <c r="R276" s="81"/>
      <c r="S276" s="48" t="s">
        <v>940</v>
      </c>
      <c r="T276" s="50"/>
      <c r="U276" s="30" t="s">
        <v>1376</v>
      </c>
      <c r="V276" s="58"/>
      <c r="W276" s="52"/>
      <c r="X276" s="193"/>
      <c r="Y276" s="206">
        <f>X276*0.1</f>
        <v>0</v>
      </c>
      <c r="Z276" s="193"/>
      <c r="AA276" s="193">
        <f>SUM(X276:Z276)</f>
        <v>0</v>
      </c>
      <c r="AB276" s="219"/>
    </row>
    <row r="277" spans="1:28" ht="18.600000000000001" thickBot="1">
      <c r="A277" s="250"/>
      <c r="B277" s="31" t="s">
        <v>1345</v>
      </c>
      <c r="C277" s="31">
        <v>35079</v>
      </c>
      <c r="D277" s="32" t="s">
        <v>325</v>
      </c>
      <c r="E277" s="200"/>
      <c r="F277" s="43" t="s">
        <v>1377</v>
      </c>
      <c r="G277" s="38">
        <v>23841</v>
      </c>
      <c r="H277" s="202"/>
      <c r="I277" s="194"/>
      <c r="J277" s="194"/>
      <c r="K277" s="194"/>
      <c r="L277" s="194"/>
      <c r="M277" s="194"/>
      <c r="N277" s="194"/>
      <c r="O277" s="192"/>
      <c r="P277" s="55" t="s">
        <v>1378</v>
      </c>
      <c r="Q277" s="33" t="s">
        <v>86</v>
      </c>
      <c r="R277" s="34" t="s">
        <v>1379</v>
      </c>
      <c r="S277" s="44" t="s">
        <v>677</v>
      </c>
      <c r="T277" s="46"/>
      <c r="U277" s="35" t="s">
        <v>1254</v>
      </c>
      <c r="V277" s="56"/>
      <c r="W277" s="46"/>
      <c r="X277" s="194"/>
      <c r="Y277" s="194"/>
      <c r="Z277" s="194"/>
      <c r="AA277" s="194"/>
      <c r="AB277" s="220"/>
    </row>
    <row r="278" spans="1:28" ht="18.600000000000001" thickTop="1">
      <c r="A278" s="249" t="s">
        <v>1380</v>
      </c>
      <c r="B278" s="26">
        <v>44147</v>
      </c>
      <c r="C278" s="27" t="s">
        <v>1381</v>
      </c>
      <c r="D278" s="28" t="s">
        <v>633</v>
      </c>
      <c r="E278" s="199"/>
      <c r="F278" s="40" t="s">
        <v>1382</v>
      </c>
      <c r="G278" s="37"/>
      <c r="H278" s="201">
        <v>4</v>
      </c>
      <c r="I278" s="193">
        <v>1690000</v>
      </c>
      <c r="J278" s="193">
        <v>169000</v>
      </c>
      <c r="K278" s="193">
        <v>0</v>
      </c>
      <c r="L278" s="193">
        <v>17700</v>
      </c>
      <c r="M278" s="193">
        <v>13200</v>
      </c>
      <c r="N278" s="193">
        <f>SUM(I278:M278)</f>
        <v>1889900</v>
      </c>
      <c r="O278" s="191">
        <v>1200000</v>
      </c>
      <c r="P278" s="59" t="s">
        <v>1383</v>
      </c>
      <c r="Q278" s="29" t="s">
        <v>82</v>
      </c>
      <c r="R278" s="81"/>
      <c r="S278" s="48" t="s">
        <v>1059</v>
      </c>
      <c r="T278" s="50"/>
      <c r="U278" s="30"/>
      <c r="V278" s="58"/>
      <c r="W278" s="52"/>
      <c r="X278" s="193"/>
      <c r="Y278" s="206">
        <f>X278*0.1</f>
        <v>0</v>
      </c>
      <c r="Z278" s="193"/>
      <c r="AA278" s="193">
        <f>SUM(X278:Z278)</f>
        <v>0</v>
      </c>
      <c r="AB278" s="219"/>
    </row>
    <row r="279" spans="1:28" ht="18.600000000000001" thickBot="1">
      <c r="A279" s="250"/>
      <c r="B279" s="31" t="s">
        <v>261</v>
      </c>
      <c r="C279" s="31">
        <v>75432</v>
      </c>
      <c r="D279" s="32" t="s">
        <v>891</v>
      </c>
      <c r="E279" s="200"/>
      <c r="F279" s="43" t="s">
        <v>1384</v>
      </c>
      <c r="G279" s="38">
        <v>11941</v>
      </c>
      <c r="H279" s="202"/>
      <c r="I279" s="194"/>
      <c r="J279" s="194"/>
      <c r="K279" s="194"/>
      <c r="L279" s="194"/>
      <c r="M279" s="194"/>
      <c r="N279" s="194"/>
      <c r="O279" s="192"/>
      <c r="P279" s="55" t="s">
        <v>1385</v>
      </c>
      <c r="Q279" s="33" t="s">
        <v>86</v>
      </c>
      <c r="R279" s="34" t="s">
        <v>1379</v>
      </c>
      <c r="S279" s="44" t="s">
        <v>746</v>
      </c>
      <c r="T279" s="46"/>
      <c r="U279" s="35"/>
      <c r="V279" s="56"/>
      <c r="W279" s="46"/>
      <c r="X279" s="194"/>
      <c r="Y279" s="194"/>
      <c r="Z279" s="194"/>
      <c r="AA279" s="194"/>
      <c r="AB279" s="220"/>
    </row>
    <row r="280" spans="1:28" ht="18.600000000000001" thickTop="1">
      <c r="A280" s="249" t="s">
        <v>1386</v>
      </c>
      <c r="B280" s="26">
        <v>44147</v>
      </c>
      <c r="C280" s="27" t="s">
        <v>1381</v>
      </c>
      <c r="D280" s="28" t="s">
        <v>1387</v>
      </c>
      <c r="E280" s="199" t="s">
        <v>282</v>
      </c>
      <c r="F280" s="40" t="s">
        <v>1388</v>
      </c>
      <c r="G280" s="37" t="s">
        <v>1389</v>
      </c>
      <c r="H280" s="201">
        <v>4</v>
      </c>
      <c r="I280" s="193">
        <v>2345000</v>
      </c>
      <c r="J280" s="193">
        <v>234500</v>
      </c>
      <c r="K280" s="193">
        <v>13100</v>
      </c>
      <c r="L280" s="193">
        <v>22640</v>
      </c>
      <c r="M280" s="193">
        <v>13200</v>
      </c>
      <c r="N280" s="193">
        <f>SUM(I280:M280)</f>
        <v>2628440</v>
      </c>
      <c r="O280" s="191">
        <v>2000000</v>
      </c>
      <c r="P280" s="59" t="s">
        <v>1390</v>
      </c>
      <c r="Q280" s="29" t="s">
        <v>82</v>
      </c>
      <c r="R280" s="81"/>
      <c r="S280" s="48" t="s">
        <v>1059</v>
      </c>
      <c r="T280" s="50"/>
      <c r="U280" s="30" t="s">
        <v>1391</v>
      </c>
      <c r="V280" s="58"/>
      <c r="W280" s="52"/>
      <c r="X280" s="193"/>
      <c r="Y280" s="206">
        <f>X280*0.1</f>
        <v>0</v>
      </c>
      <c r="Z280" s="193"/>
      <c r="AA280" s="193">
        <f>SUM(X280:Z280)</f>
        <v>0</v>
      </c>
      <c r="AB280" s="219"/>
    </row>
    <row r="281" spans="1:28" ht="18.600000000000001" thickBot="1">
      <c r="A281" s="250"/>
      <c r="B281" s="31" t="s">
        <v>261</v>
      </c>
      <c r="C281" s="31">
        <v>75632</v>
      </c>
      <c r="D281" s="32" t="s">
        <v>91</v>
      </c>
      <c r="E281" s="200"/>
      <c r="F281" s="43" t="s">
        <v>1392</v>
      </c>
      <c r="G281" s="38">
        <v>40126</v>
      </c>
      <c r="H281" s="202"/>
      <c r="I281" s="194"/>
      <c r="J281" s="194"/>
      <c r="K281" s="194"/>
      <c r="L281" s="194"/>
      <c r="M281" s="194"/>
      <c r="N281" s="194"/>
      <c r="O281" s="192"/>
      <c r="P281" s="55" t="s">
        <v>1393</v>
      </c>
      <c r="Q281" s="33" t="s">
        <v>86</v>
      </c>
      <c r="R281" s="34" t="s">
        <v>1379</v>
      </c>
      <c r="S281" s="44" t="s">
        <v>1394</v>
      </c>
      <c r="T281" s="46"/>
      <c r="U281" s="35" t="s">
        <v>216</v>
      </c>
      <c r="V281" s="56"/>
      <c r="W281" s="46"/>
      <c r="X281" s="194"/>
      <c r="Y281" s="194"/>
      <c r="Z281" s="194"/>
      <c r="AA281" s="194"/>
      <c r="AB281" s="220"/>
    </row>
    <row r="282" spans="1:28" ht="18.600000000000001" thickTop="1">
      <c r="A282" s="249" t="s">
        <v>1395</v>
      </c>
      <c r="B282" s="26">
        <v>44148</v>
      </c>
      <c r="C282" s="27" t="s">
        <v>1396</v>
      </c>
      <c r="D282" s="28" t="s">
        <v>1103</v>
      </c>
      <c r="E282" s="199"/>
      <c r="F282" s="40" t="s">
        <v>1397</v>
      </c>
      <c r="G282" s="37"/>
      <c r="H282" s="201">
        <v>4.5</v>
      </c>
      <c r="I282" s="193">
        <v>1705000</v>
      </c>
      <c r="J282" s="193">
        <v>170500</v>
      </c>
      <c r="K282" s="193">
        <v>0</v>
      </c>
      <c r="L282" s="193">
        <v>18110</v>
      </c>
      <c r="M282" s="193">
        <v>13200</v>
      </c>
      <c r="N282" s="193">
        <f>SUM(I282:M282)</f>
        <v>1906810</v>
      </c>
      <c r="O282" s="191">
        <v>1300000</v>
      </c>
      <c r="P282" s="59" t="s">
        <v>1398</v>
      </c>
      <c r="Q282" s="29" t="s">
        <v>82</v>
      </c>
      <c r="R282" s="81"/>
      <c r="S282" s="48" t="s">
        <v>1326</v>
      </c>
      <c r="T282" s="50"/>
      <c r="U282" s="30"/>
      <c r="V282" s="58"/>
      <c r="W282" s="52"/>
      <c r="X282" s="193"/>
      <c r="Y282" s="206">
        <f>X282*0.1</f>
        <v>0</v>
      </c>
      <c r="Z282" s="193"/>
      <c r="AA282" s="193">
        <f>SUM(X282:Z282)</f>
        <v>0</v>
      </c>
      <c r="AB282" s="219"/>
    </row>
    <row r="283" spans="1:28" ht="18.600000000000001" thickBot="1">
      <c r="A283" s="250"/>
      <c r="B283" s="31" t="s">
        <v>1399</v>
      </c>
      <c r="C283" s="31">
        <v>80054</v>
      </c>
      <c r="D283" s="32" t="s">
        <v>593</v>
      </c>
      <c r="E283" s="200"/>
      <c r="F283" s="43" t="s">
        <v>1400</v>
      </c>
      <c r="G283" s="38">
        <v>14079</v>
      </c>
      <c r="H283" s="202"/>
      <c r="I283" s="194"/>
      <c r="J283" s="194"/>
      <c r="K283" s="194"/>
      <c r="L283" s="194"/>
      <c r="M283" s="194"/>
      <c r="N283" s="194"/>
      <c r="O283" s="192"/>
      <c r="P283" s="55" t="s">
        <v>1401</v>
      </c>
      <c r="Q283" s="33" t="s">
        <v>86</v>
      </c>
      <c r="R283" s="34" t="s">
        <v>1379</v>
      </c>
      <c r="S283" s="44" t="s">
        <v>746</v>
      </c>
      <c r="T283" s="46"/>
      <c r="U283" s="35"/>
      <c r="V283" s="56"/>
      <c r="W283" s="46"/>
      <c r="X283" s="194"/>
      <c r="Y283" s="194"/>
      <c r="Z283" s="194"/>
      <c r="AA283" s="194"/>
      <c r="AB283" s="220"/>
    </row>
    <row r="284" spans="1:28" ht="18.600000000000001" thickTop="1">
      <c r="A284" s="249" t="s">
        <v>1402</v>
      </c>
      <c r="B284" s="26">
        <v>44148</v>
      </c>
      <c r="C284" s="27" t="s">
        <v>112</v>
      </c>
      <c r="D284" s="28" t="s">
        <v>1403</v>
      </c>
      <c r="E284" s="199"/>
      <c r="F284" s="40" t="s">
        <v>299</v>
      </c>
      <c r="G284" s="37" t="s">
        <v>87</v>
      </c>
      <c r="H284" s="201">
        <v>4.5</v>
      </c>
      <c r="I284" s="193">
        <v>1788000</v>
      </c>
      <c r="J284" s="193">
        <v>178800</v>
      </c>
      <c r="K284" s="193">
        <v>13100</v>
      </c>
      <c r="L284" s="193">
        <v>17700</v>
      </c>
      <c r="M284" s="193">
        <v>22000</v>
      </c>
      <c r="N284" s="193">
        <f>SUM(I284:M284)</f>
        <v>2019600</v>
      </c>
      <c r="O284" s="191">
        <v>1300000</v>
      </c>
      <c r="P284" s="59" t="s">
        <v>1404</v>
      </c>
      <c r="Q284" s="29" t="s">
        <v>82</v>
      </c>
      <c r="R284" s="81"/>
      <c r="S284" s="48" t="s">
        <v>1326</v>
      </c>
      <c r="T284" s="50"/>
      <c r="U284" s="30" t="s">
        <v>1405</v>
      </c>
      <c r="V284" s="58"/>
      <c r="W284" s="52"/>
      <c r="X284" s="193"/>
      <c r="Y284" s="206">
        <f>X284*0.1</f>
        <v>0</v>
      </c>
      <c r="Z284" s="193"/>
      <c r="AA284" s="193">
        <f>SUM(X284:Z284)</f>
        <v>0</v>
      </c>
      <c r="AB284" s="219"/>
    </row>
    <row r="285" spans="1:28" ht="18.600000000000001" thickBot="1">
      <c r="A285" s="250"/>
      <c r="B285" s="31" t="s">
        <v>115</v>
      </c>
      <c r="C285" s="31">
        <v>40046</v>
      </c>
      <c r="D285" s="32" t="s">
        <v>816</v>
      </c>
      <c r="E285" s="200"/>
      <c r="F285" s="43" t="s">
        <v>1406</v>
      </c>
      <c r="G285" s="38">
        <v>40515</v>
      </c>
      <c r="H285" s="202"/>
      <c r="I285" s="194"/>
      <c r="J285" s="194"/>
      <c r="K285" s="194"/>
      <c r="L285" s="194"/>
      <c r="M285" s="194"/>
      <c r="N285" s="194"/>
      <c r="O285" s="192"/>
      <c r="P285" s="55" t="s">
        <v>1407</v>
      </c>
      <c r="Q285" s="33" t="s">
        <v>86</v>
      </c>
      <c r="R285" s="34" t="s">
        <v>1379</v>
      </c>
      <c r="S285" s="44" t="s">
        <v>1408</v>
      </c>
      <c r="T285" s="46" t="s">
        <v>1409</v>
      </c>
      <c r="U285" s="35" t="s">
        <v>216</v>
      </c>
      <c r="V285" s="56"/>
      <c r="W285" s="46"/>
      <c r="X285" s="194"/>
      <c r="Y285" s="194"/>
      <c r="Z285" s="194"/>
      <c r="AA285" s="194"/>
      <c r="AB285" s="220"/>
    </row>
    <row r="286" spans="1:28" ht="18.600000000000001" thickTop="1">
      <c r="A286" s="249" t="s">
        <v>1410</v>
      </c>
      <c r="B286" s="26">
        <v>44148</v>
      </c>
      <c r="C286" s="27" t="s">
        <v>1411</v>
      </c>
      <c r="D286" s="28" t="s">
        <v>1412</v>
      </c>
      <c r="E286" s="199"/>
      <c r="F286" s="40" t="s">
        <v>1212</v>
      </c>
      <c r="G286" s="37" t="s">
        <v>1413</v>
      </c>
      <c r="H286" s="201">
        <v>4.5</v>
      </c>
      <c r="I286" s="193">
        <v>1555000</v>
      </c>
      <c r="J286" s="193">
        <v>155500</v>
      </c>
      <c r="K286" s="193">
        <v>13100</v>
      </c>
      <c r="L286" s="193">
        <v>14620</v>
      </c>
      <c r="M286" s="193">
        <v>13200</v>
      </c>
      <c r="N286" s="193">
        <f>SUM(I286:M286)</f>
        <v>1751420</v>
      </c>
      <c r="O286" s="191">
        <v>1100000</v>
      </c>
      <c r="P286" s="59" t="s">
        <v>1414</v>
      </c>
      <c r="Q286" s="29" t="s">
        <v>82</v>
      </c>
      <c r="R286" s="81"/>
      <c r="S286" s="48" t="s">
        <v>89</v>
      </c>
      <c r="T286" s="50"/>
      <c r="U286" s="30"/>
      <c r="V286" s="58"/>
      <c r="W286" s="52"/>
      <c r="X286" s="193"/>
      <c r="Y286" s="206">
        <f>X286*0.1</f>
        <v>0</v>
      </c>
      <c r="Z286" s="193"/>
      <c r="AA286" s="193">
        <f>SUM(X286:Z286)</f>
        <v>0</v>
      </c>
      <c r="AB286" s="219"/>
    </row>
    <row r="287" spans="1:28" ht="18.600000000000001" thickBot="1">
      <c r="A287" s="250"/>
      <c r="B287" s="31" t="s">
        <v>120</v>
      </c>
      <c r="C287" s="31">
        <v>58317</v>
      </c>
      <c r="D287" s="32" t="s">
        <v>1415</v>
      </c>
      <c r="E287" s="200"/>
      <c r="F287" s="43" t="s">
        <v>1416</v>
      </c>
      <c r="G287" s="38">
        <v>16820</v>
      </c>
      <c r="H287" s="202"/>
      <c r="I287" s="194"/>
      <c r="J287" s="194"/>
      <c r="K287" s="194"/>
      <c r="L287" s="194"/>
      <c r="M287" s="194"/>
      <c r="N287" s="194"/>
      <c r="O287" s="192"/>
      <c r="P287" s="55" t="s">
        <v>1417</v>
      </c>
      <c r="Q287" s="33" t="s">
        <v>86</v>
      </c>
      <c r="R287" s="34" t="s">
        <v>1379</v>
      </c>
      <c r="S287" s="44" t="s">
        <v>1418</v>
      </c>
      <c r="T287" s="46"/>
      <c r="U287" s="35"/>
      <c r="V287" s="56"/>
      <c r="W287" s="46"/>
      <c r="X287" s="194"/>
      <c r="Y287" s="194"/>
      <c r="Z287" s="194"/>
      <c r="AA287" s="194"/>
      <c r="AB287" s="220"/>
    </row>
    <row r="288" spans="1:28" ht="18.600000000000001" thickTop="1">
      <c r="A288" s="249" t="s">
        <v>1419</v>
      </c>
      <c r="B288" s="26">
        <v>44149</v>
      </c>
      <c r="C288" s="27" t="s">
        <v>1420</v>
      </c>
      <c r="D288" s="28" t="s">
        <v>654</v>
      </c>
      <c r="E288" s="199"/>
      <c r="F288" s="40" t="s">
        <v>1421</v>
      </c>
      <c r="G288" s="37" t="s">
        <v>1389</v>
      </c>
      <c r="H288" s="201">
        <v>4</v>
      </c>
      <c r="I288" s="193">
        <v>1410000</v>
      </c>
      <c r="J288" s="193">
        <v>141000</v>
      </c>
      <c r="K288" s="193">
        <v>13100</v>
      </c>
      <c r="L288" s="193">
        <v>19750</v>
      </c>
      <c r="M288" s="193">
        <v>13200</v>
      </c>
      <c r="N288" s="193">
        <f>SUM(I288:M288)</f>
        <v>1597050</v>
      </c>
      <c r="O288" s="191">
        <v>900000</v>
      </c>
      <c r="P288" s="59" t="s">
        <v>1422</v>
      </c>
      <c r="Q288" s="29" t="s">
        <v>82</v>
      </c>
      <c r="R288" s="81"/>
      <c r="S288" s="48" t="s">
        <v>89</v>
      </c>
      <c r="T288" s="50"/>
      <c r="U288" s="30" t="s">
        <v>1423</v>
      </c>
      <c r="V288" s="58"/>
      <c r="W288" s="52"/>
      <c r="X288" s="193"/>
      <c r="Y288" s="206">
        <f>X288*0.1</f>
        <v>0</v>
      </c>
      <c r="Z288" s="193"/>
      <c r="AA288" s="193">
        <f>SUM(X288:Z288)</f>
        <v>0</v>
      </c>
      <c r="AB288" s="219"/>
    </row>
    <row r="289" spans="1:28" ht="18.600000000000001" thickBot="1">
      <c r="A289" s="250"/>
      <c r="B289" s="31" t="s">
        <v>148</v>
      </c>
      <c r="C289" s="31">
        <v>82283</v>
      </c>
      <c r="D289" s="32" t="s">
        <v>101</v>
      </c>
      <c r="E289" s="200"/>
      <c r="F289" s="43" t="s">
        <v>1424</v>
      </c>
      <c r="G289" s="38">
        <v>41488</v>
      </c>
      <c r="H289" s="202"/>
      <c r="I289" s="194"/>
      <c r="J289" s="194"/>
      <c r="K289" s="194"/>
      <c r="L289" s="194"/>
      <c r="M289" s="194"/>
      <c r="N289" s="194"/>
      <c r="O289" s="192"/>
      <c r="P289" s="55" t="s">
        <v>1425</v>
      </c>
      <c r="Q289" s="33" t="s">
        <v>86</v>
      </c>
      <c r="R289" s="34" t="s">
        <v>1426</v>
      </c>
      <c r="S289" s="44" t="s">
        <v>1427</v>
      </c>
      <c r="T289" s="46" t="s">
        <v>1428</v>
      </c>
      <c r="U289" s="35" t="s">
        <v>216</v>
      </c>
      <c r="V289" s="56"/>
      <c r="W289" s="46"/>
      <c r="X289" s="194"/>
      <c r="Y289" s="194"/>
      <c r="Z289" s="194"/>
      <c r="AA289" s="194"/>
      <c r="AB289" s="220"/>
    </row>
    <row r="290" spans="1:28" ht="18.600000000000001" thickTop="1">
      <c r="A290" s="249" t="s">
        <v>1429</v>
      </c>
      <c r="B290" s="26">
        <v>44154</v>
      </c>
      <c r="C290" s="27" t="s">
        <v>1430</v>
      </c>
      <c r="D290" s="28" t="s">
        <v>1431</v>
      </c>
      <c r="E290" s="199"/>
      <c r="F290" s="40" t="s">
        <v>1432</v>
      </c>
      <c r="G290" s="37" t="s">
        <v>1336</v>
      </c>
      <c r="H290" s="201">
        <v>4</v>
      </c>
      <c r="I290" s="193">
        <v>2850000</v>
      </c>
      <c r="J290" s="193">
        <v>285000</v>
      </c>
      <c r="K290" s="193">
        <v>13100</v>
      </c>
      <c r="L290" s="193">
        <v>19540</v>
      </c>
      <c r="M290" s="193">
        <v>13200</v>
      </c>
      <c r="N290" s="193">
        <f>SUM(I290:M290)</f>
        <v>3180840</v>
      </c>
      <c r="O290" s="191">
        <v>2500000</v>
      </c>
      <c r="P290" s="59" t="s">
        <v>1433</v>
      </c>
      <c r="Q290" s="29" t="s">
        <v>82</v>
      </c>
      <c r="R290" s="81"/>
      <c r="S290" s="48" t="s">
        <v>1059</v>
      </c>
      <c r="T290" s="50"/>
      <c r="U290" s="30" t="s">
        <v>1434</v>
      </c>
      <c r="V290" s="58"/>
      <c r="W290" s="52"/>
      <c r="X290" s="193"/>
      <c r="Y290" s="206">
        <f>X290*0.1</f>
        <v>0</v>
      </c>
      <c r="Z290" s="193"/>
      <c r="AA290" s="193">
        <f>SUM(X290:Z290)</f>
        <v>0</v>
      </c>
      <c r="AB290" s="219"/>
    </row>
    <row r="291" spans="1:28" ht="18.600000000000001" thickBot="1">
      <c r="A291" s="250"/>
      <c r="B291" s="31" t="s">
        <v>373</v>
      </c>
      <c r="C291" s="31">
        <v>7</v>
      </c>
      <c r="D291" s="32" t="s">
        <v>44</v>
      </c>
      <c r="E291" s="200"/>
      <c r="F291" s="43" t="s">
        <v>1435</v>
      </c>
      <c r="G291" s="38">
        <v>27191</v>
      </c>
      <c r="H291" s="202"/>
      <c r="I291" s="194"/>
      <c r="J291" s="194"/>
      <c r="K291" s="194"/>
      <c r="L291" s="194"/>
      <c r="M291" s="194"/>
      <c r="N291" s="194"/>
      <c r="O291" s="192"/>
      <c r="P291" s="55" t="s">
        <v>1436</v>
      </c>
      <c r="Q291" s="33" t="s">
        <v>86</v>
      </c>
      <c r="R291" s="34" t="s">
        <v>819</v>
      </c>
      <c r="S291" s="44" t="s">
        <v>746</v>
      </c>
      <c r="T291" s="46"/>
      <c r="U291" s="35" t="s">
        <v>216</v>
      </c>
      <c r="V291" s="56"/>
      <c r="W291" s="46"/>
      <c r="X291" s="194"/>
      <c r="Y291" s="194"/>
      <c r="Z291" s="194"/>
      <c r="AA291" s="194"/>
      <c r="AB291" s="220"/>
    </row>
    <row r="292" spans="1:28" ht="18.600000000000001" thickTop="1">
      <c r="A292" s="249" t="s">
        <v>1437</v>
      </c>
      <c r="B292" s="26">
        <v>44154</v>
      </c>
      <c r="C292" s="27" t="s">
        <v>1430</v>
      </c>
      <c r="D292" s="28" t="s">
        <v>118</v>
      </c>
      <c r="E292" s="199"/>
      <c r="F292" s="40" t="s">
        <v>404</v>
      </c>
      <c r="G292" s="37" t="s">
        <v>119</v>
      </c>
      <c r="H292" s="201">
        <v>4</v>
      </c>
      <c r="I292" s="193">
        <v>1275000</v>
      </c>
      <c r="J292" s="193">
        <v>127500</v>
      </c>
      <c r="K292" s="193">
        <v>11500</v>
      </c>
      <c r="L292" s="193">
        <v>18960</v>
      </c>
      <c r="M292" s="193">
        <v>13200</v>
      </c>
      <c r="N292" s="193">
        <f>SUM(I292:M292)</f>
        <v>1446160</v>
      </c>
      <c r="O292" s="191">
        <v>1100000</v>
      </c>
      <c r="P292" s="59" t="s">
        <v>1438</v>
      </c>
      <c r="Q292" s="29" t="s">
        <v>82</v>
      </c>
      <c r="R292" s="81"/>
      <c r="S292" s="48" t="s">
        <v>677</v>
      </c>
      <c r="T292" s="50"/>
      <c r="U292" s="30"/>
      <c r="V292" s="58"/>
      <c r="W292" s="52"/>
      <c r="X292" s="193"/>
      <c r="Y292" s="206">
        <f>X292*0.1</f>
        <v>0</v>
      </c>
      <c r="Z292" s="193"/>
      <c r="AA292" s="193">
        <f>SUM(X292:Z292)</f>
        <v>0</v>
      </c>
      <c r="AB292" s="219"/>
    </row>
    <row r="293" spans="1:28" ht="18.600000000000001" thickBot="1">
      <c r="A293" s="250"/>
      <c r="B293" s="31" t="s">
        <v>373</v>
      </c>
      <c r="C293" s="31">
        <v>374</v>
      </c>
      <c r="D293" s="32" t="s">
        <v>1439</v>
      </c>
      <c r="E293" s="200"/>
      <c r="F293" s="43" t="s">
        <v>1440</v>
      </c>
      <c r="G293" s="38">
        <v>30344</v>
      </c>
      <c r="H293" s="202"/>
      <c r="I293" s="194"/>
      <c r="J293" s="194"/>
      <c r="K293" s="194"/>
      <c r="L293" s="194"/>
      <c r="M293" s="194"/>
      <c r="N293" s="194"/>
      <c r="O293" s="192"/>
      <c r="P293" s="55" t="s">
        <v>773</v>
      </c>
      <c r="Q293" s="33" t="s">
        <v>86</v>
      </c>
      <c r="R293" s="34" t="s">
        <v>1441</v>
      </c>
      <c r="S293" s="44" t="s">
        <v>640</v>
      </c>
      <c r="T293" s="46"/>
      <c r="U293" s="35"/>
      <c r="V293" s="56"/>
      <c r="W293" s="46"/>
      <c r="X293" s="194"/>
      <c r="Y293" s="194"/>
      <c r="Z293" s="194"/>
      <c r="AA293" s="194"/>
      <c r="AB293" s="220"/>
    </row>
    <row r="294" spans="1:28" ht="18.600000000000001" thickTop="1">
      <c r="A294" s="249" t="s">
        <v>1442</v>
      </c>
      <c r="B294" s="26">
        <v>44154</v>
      </c>
      <c r="C294" s="27" t="s">
        <v>1430</v>
      </c>
      <c r="D294" s="28" t="s">
        <v>1443</v>
      </c>
      <c r="E294" s="199"/>
      <c r="F294" s="40" t="s">
        <v>1388</v>
      </c>
      <c r="G294" s="37"/>
      <c r="H294" s="201">
        <v>5</v>
      </c>
      <c r="I294" s="193">
        <v>2520000</v>
      </c>
      <c r="J294" s="193">
        <v>252000</v>
      </c>
      <c r="K294" s="193">
        <v>0</v>
      </c>
      <c r="L294" s="193">
        <v>22640</v>
      </c>
      <c r="M294" s="193">
        <v>13200</v>
      </c>
      <c r="N294" s="193">
        <f>SUM(I294:M294)</f>
        <v>2807840</v>
      </c>
      <c r="O294" s="191">
        <v>2100000</v>
      </c>
      <c r="P294" s="59" t="s">
        <v>1444</v>
      </c>
      <c r="Q294" s="29" t="s">
        <v>82</v>
      </c>
      <c r="R294" s="81"/>
      <c r="S294" s="48" t="s">
        <v>1059</v>
      </c>
      <c r="T294" s="50"/>
      <c r="U294" s="30"/>
      <c r="V294" s="58"/>
      <c r="W294" s="52"/>
      <c r="X294" s="193"/>
      <c r="Y294" s="206">
        <f>X294*0.1</f>
        <v>0</v>
      </c>
      <c r="Z294" s="193"/>
      <c r="AA294" s="193">
        <f>SUM(X294:Z294)</f>
        <v>0</v>
      </c>
      <c r="AB294" s="219"/>
    </row>
    <row r="295" spans="1:28" ht="18.600000000000001" thickBot="1">
      <c r="A295" s="250"/>
      <c r="B295" s="31" t="s">
        <v>373</v>
      </c>
      <c r="C295" s="31">
        <v>581</v>
      </c>
      <c r="D295" s="32" t="s">
        <v>941</v>
      </c>
      <c r="E295" s="200"/>
      <c r="F295" s="43" t="s">
        <v>1445</v>
      </c>
      <c r="G295" s="38">
        <v>26534</v>
      </c>
      <c r="H295" s="202"/>
      <c r="I295" s="194"/>
      <c r="J295" s="194"/>
      <c r="K295" s="194"/>
      <c r="L295" s="194"/>
      <c r="M295" s="194"/>
      <c r="N295" s="194"/>
      <c r="O295" s="192"/>
      <c r="P295" s="55" t="s">
        <v>1131</v>
      </c>
      <c r="Q295" s="33" t="s">
        <v>86</v>
      </c>
      <c r="R295" s="34" t="s">
        <v>1441</v>
      </c>
      <c r="S295" s="44" t="s">
        <v>1446</v>
      </c>
      <c r="T295" s="46" t="s">
        <v>1428</v>
      </c>
      <c r="U295" s="35"/>
      <c r="V295" s="56"/>
      <c r="W295" s="46"/>
      <c r="X295" s="194"/>
      <c r="Y295" s="194"/>
      <c r="Z295" s="194"/>
      <c r="AA295" s="194"/>
      <c r="AB295" s="220"/>
    </row>
    <row r="296" spans="1:28" ht="18.600000000000001" thickTop="1">
      <c r="A296" s="249" t="s">
        <v>1447</v>
      </c>
      <c r="B296" s="26">
        <v>44168</v>
      </c>
      <c r="C296" s="27" t="s">
        <v>1448</v>
      </c>
      <c r="D296" s="28" t="s">
        <v>1103</v>
      </c>
      <c r="E296" s="199"/>
      <c r="F296" s="40" t="s">
        <v>1449</v>
      </c>
      <c r="G296" s="37"/>
      <c r="H296" s="201">
        <v>4</v>
      </c>
      <c r="I296" s="193">
        <v>1520000</v>
      </c>
      <c r="J296" s="193">
        <v>152000</v>
      </c>
      <c r="K296" s="193">
        <v>0</v>
      </c>
      <c r="L296" s="193">
        <v>18960</v>
      </c>
      <c r="M296" s="193">
        <v>13200</v>
      </c>
      <c r="N296" s="193">
        <f>SUM(I296:M296)</f>
        <v>1704160</v>
      </c>
      <c r="O296" s="191">
        <v>1300000</v>
      </c>
      <c r="P296" s="59" t="s">
        <v>1450</v>
      </c>
      <c r="Q296" s="29" t="s">
        <v>82</v>
      </c>
      <c r="R296" s="81"/>
      <c r="S296" s="48" t="s">
        <v>677</v>
      </c>
      <c r="T296" s="50"/>
      <c r="U296" s="30"/>
      <c r="V296" s="58"/>
      <c r="W296" s="52"/>
      <c r="X296" s="193"/>
      <c r="Y296" s="206">
        <f>X296*0.1</f>
        <v>0</v>
      </c>
      <c r="Z296" s="193"/>
      <c r="AA296" s="193">
        <f>SUM(X296:Z296)</f>
        <v>0</v>
      </c>
      <c r="AB296" s="219"/>
    </row>
    <row r="297" spans="1:28" ht="18.600000000000001" thickBot="1">
      <c r="A297" s="250"/>
      <c r="B297" s="31" t="s">
        <v>373</v>
      </c>
      <c r="C297" s="31">
        <v>365</v>
      </c>
      <c r="D297" s="32" t="s">
        <v>1451</v>
      </c>
      <c r="E297" s="200"/>
      <c r="F297" s="43" t="s">
        <v>1452</v>
      </c>
      <c r="G297" s="38">
        <v>56438</v>
      </c>
      <c r="H297" s="202"/>
      <c r="I297" s="194"/>
      <c r="J297" s="194"/>
      <c r="K297" s="194"/>
      <c r="L297" s="194"/>
      <c r="M297" s="194"/>
      <c r="N297" s="194"/>
      <c r="O297" s="192"/>
      <c r="P297" s="55" t="s">
        <v>773</v>
      </c>
      <c r="Q297" s="33" t="s">
        <v>86</v>
      </c>
      <c r="R297" s="34" t="s">
        <v>1453</v>
      </c>
      <c r="S297" s="44"/>
      <c r="T297" s="46"/>
      <c r="U297" s="35"/>
      <c r="V297" s="56"/>
      <c r="W297" s="46"/>
      <c r="X297" s="194"/>
      <c r="Y297" s="194"/>
      <c r="Z297" s="194"/>
      <c r="AA297" s="194"/>
      <c r="AB297" s="220"/>
    </row>
    <row r="298" spans="1:28" ht="18.600000000000001" thickTop="1">
      <c r="A298" s="249" t="s">
        <v>1454</v>
      </c>
      <c r="B298" s="26">
        <v>44175</v>
      </c>
      <c r="C298" s="27" t="s">
        <v>1455</v>
      </c>
      <c r="D298" s="28" t="s">
        <v>395</v>
      </c>
      <c r="E298" s="199"/>
      <c r="F298" s="40" t="s">
        <v>1456</v>
      </c>
      <c r="G298" s="37" t="s">
        <v>1457</v>
      </c>
      <c r="H298" s="201">
        <v>4</v>
      </c>
      <c r="I298" s="193">
        <v>2658000</v>
      </c>
      <c r="J298" s="193">
        <v>265800</v>
      </c>
      <c r="K298" s="193">
        <v>9800</v>
      </c>
      <c r="L298" s="193">
        <v>17990</v>
      </c>
      <c r="M298" s="193">
        <v>19800</v>
      </c>
      <c r="N298" s="193">
        <f>SUM(I298:M298)</f>
        <v>2971390</v>
      </c>
      <c r="O298" s="191">
        <v>1700000</v>
      </c>
      <c r="P298" s="59" t="s">
        <v>1458</v>
      </c>
      <c r="Q298" s="29" t="s">
        <v>82</v>
      </c>
      <c r="R298" s="81"/>
      <c r="S298" s="48" t="s">
        <v>940</v>
      </c>
      <c r="T298" s="50"/>
      <c r="U298" s="30"/>
      <c r="V298" s="58"/>
      <c r="W298" s="52"/>
      <c r="X298" s="193"/>
      <c r="Y298" s="206">
        <f>X298*0.1</f>
        <v>0</v>
      </c>
      <c r="Z298" s="193"/>
      <c r="AA298" s="193">
        <f>SUM(X298:Z298)</f>
        <v>0</v>
      </c>
      <c r="AB298" s="219"/>
    </row>
    <row r="299" spans="1:28" ht="18.600000000000001" thickBot="1">
      <c r="A299" s="250"/>
      <c r="B299" s="31" t="s">
        <v>1459</v>
      </c>
      <c r="C299" s="31">
        <v>10076</v>
      </c>
      <c r="D299" s="32" t="s">
        <v>170</v>
      </c>
      <c r="E299" s="200"/>
      <c r="F299" s="43" t="s">
        <v>1460</v>
      </c>
      <c r="G299" s="38">
        <v>48403</v>
      </c>
      <c r="H299" s="202"/>
      <c r="I299" s="194"/>
      <c r="J299" s="194"/>
      <c r="K299" s="194"/>
      <c r="L299" s="194"/>
      <c r="M299" s="194"/>
      <c r="N299" s="194"/>
      <c r="O299" s="192"/>
      <c r="P299" s="55" t="s">
        <v>1461</v>
      </c>
      <c r="Q299" s="33" t="s">
        <v>86</v>
      </c>
      <c r="R299" s="34" t="s">
        <v>1462</v>
      </c>
      <c r="S299" s="44" t="s">
        <v>640</v>
      </c>
      <c r="T299" s="46"/>
      <c r="U299" s="35" t="s">
        <v>1100</v>
      </c>
      <c r="V299" s="56"/>
      <c r="W299" s="46"/>
      <c r="X299" s="194"/>
      <c r="Y299" s="194"/>
      <c r="Z299" s="194"/>
      <c r="AA299" s="194"/>
      <c r="AB299" s="220"/>
    </row>
    <row r="300" spans="1:28" ht="18.600000000000001" thickTop="1">
      <c r="A300" s="249" t="s">
        <v>1463</v>
      </c>
      <c r="B300" s="26">
        <v>44182</v>
      </c>
      <c r="C300" s="27" t="s">
        <v>1464</v>
      </c>
      <c r="D300" s="28" t="s">
        <v>1465</v>
      </c>
      <c r="E300" s="199"/>
      <c r="F300" s="40" t="s">
        <v>1466</v>
      </c>
      <c r="G300" s="37" t="s">
        <v>1315</v>
      </c>
      <c r="H300" s="201">
        <v>4</v>
      </c>
      <c r="I300" s="193">
        <v>3600000</v>
      </c>
      <c r="J300" s="193">
        <v>360000</v>
      </c>
      <c r="K300" s="193">
        <v>19100</v>
      </c>
      <c r="L300" s="193">
        <v>23320</v>
      </c>
      <c r="M300" s="193">
        <v>13200</v>
      </c>
      <c r="N300" s="193">
        <f>SUM(I300:M300)</f>
        <v>4015620</v>
      </c>
      <c r="O300" s="191">
        <v>3100000</v>
      </c>
      <c r="P300" s="59" t="s">
        <v>1467</v>
      </c>
      <c r="Q300" s="29" t="s">
        <v>82</v>
      </c>
      <c r="R300" s="81"/>
      <c r="S300" s="48" t="s">
        <v>1059</v>
      </c>
      <c r="T300" s="50"/>
      <c r="U300" s="30"/>
      <c r="V300" s="58"/>
      <c r="W300" s="52"/>
      <c r="X300" s="193"/>
      <c r="Y300" s="206">
        <f>X300*0.1</f>
        <v>0</v>
      </c>
      <c r="Z300" s="193"/>
      <c r="AA300" s="193">
        <f>SUM(X300:Z300)</f>
        <v>0</v>
      </c>
      <c r="AB300" s="219"/>
    </row>
    <row r="301" spans="1:28" ht="18.600000000000001" thickBot="1">
      <c r="A301" s="250"/>
      <c r="B301" s="31" t="s">
        <v>373</v>
      </c>
      <c r="C301" s="31">
        <v>197</v>
      </c>
      <c r="D301" s="32" t="s">
        <v>1468</v>
      </c>
      <c r="E301" s="200"/>
      <c r="F301" s="43" t="s">
        <v>1469</v>
      </c>
      <c r="G301" s="38">
        <v>38279</v>
      </c>
      <c r="H301" s="202"/>
      <c r="I301" s="194"/>
      <c r="J301" s="194"/>
      <c r="K301" s="194"/>
      <c r="L301" s="194"/>
      <c r="M301" s="194"/>
      <c r="N301" s="194"/>
      <c r="O301" s="192"/>
      <c r="P301" s="55" t="s">
        <v>1470</v>
      </c>
      <c r="Q301" s="33" t="s">
        <v>86</v>
      </c>
      <c r="R301" s="34" t="s">
        <v>1471</v>
      </c>
      <c r="S301" s="44" t="s">
        <v>746</v>
      </c>
      <c r="T301" s="46"/>
      <c r="U301" s="35" t="s">
        <v>1100</v>
      </c>
      <c r="V301" s="56"/>
      <c r="W301" s="46"/>
      <c r="X301" s="194"/>
      <c r="Y301" s="194"/>
      <c r="Z301" s="194"/>
      <c r="AA301" s="194"/>
      <c r="AB301" s="220"/>
    </row>
    <row r="302" spans="1:28" ht="18.600000000000001" thickTop="1">
      <c r="A302" s="249" t="s">
        <v>1472</v>
      </c>
      <c r="B302" s="26">
        <v>44183</v>
      </c>
      <c r="C302" s="27" t="s">
        <v>1473</v>
      </c>
      <c r="D302" s="28" t="s">
        <v>1474</v>
      </c>
      <c r="E302" s="199"/>
      <c r="F302" s="40" t="s">
        <v>1475</v>
      </c>
      <c r="G302" s="37" t="s">
        <v>1476</v>
      </c>
      <c r="H302" s="201">
        <v>5</v>
      </c>
      <c r="I302" s="193">
        <v>2235000</v>
      </c>
      <c r="J302" s="193">
        <v>223500</v>
      </c>
      <c r="K302" s="193">
        <v>12700</v>
      </c>
      <c r="L302" s="193">
        <v>18110</v>
      </c>
      <c r="M302" s="193">
        <v>13200</v>
      </c>
      <c r="N302" s="193">
        <f>SUM(I302:M302)</f>
        <v>2502510</v>
      </c>
      <c r="O302" s="191">
        <v>1800000</v>
      </c>
      <c r="P302" s="59" t="s">
        <v>1477</v>
      </c>
      <c r="Q302" s="29" t="s">
        <v>82</v>
      </c>
      <c r="R302" s="81"/>
      <c r="S302" s="48" t="s">
        <v>1215</v>
      </c>
      <c r="T302" s="50"/>
      <c r="U302" s="30"/>
      <c r="V302" s="58"/>
      <c r="W302" s="52"/>
      <c r="X302" s="193"/>
      <c r="Y302" s="206">
        <f>X302*0.1</f>
        <v>0</v>
      </c>
      <c r="Z302" s="193"/>
      <c r="AA302" s="193">
        <f>SUM(X302:Z302)</f>
        <v>0</v>
      </c>
      <c r="AB302" s="219"/>
    </row>
    <row r="303" spans="1:28" ht="18.600000000000001" thickBot="1">
      <c r="A303" s="250"/>
      <c r="B303" s="31" t="s">
        <v>120</v>
      </c>
      <c r="C303" s="31">
        <v>58182</v>
      </c>
      <c r="D303" s="32" t="s">
        <v>1478</v>
      </c>
      <c r="E303" s="200"/>
      <c r="F303" s="43" t="s">
        <v>1479</v>
      </c>
      <c r="G303" s="38">
        <v>47800</v>
      </c>
      <c r="H303" s="202"/>
      <c r="I303" s="194"/>
      <c r="J303" s="194"/>
      <c r="K303" s="194"/>
      <c r="L303" s="194"/>
      <c r="M303" s="194"/>
      <c r="N303" s="194"/>
      <c r="O303" s="192"/>
      <c r="P303" s="55" t="s">
        <v>1480</v>
      </c>
      <c r="Q303" s="33" t="s">
        <v>86</v>
      </c>
      <c r="R303" s="34" t="s">
        <v>1481</v>
      </c>
      <c r="S303" s="44" t="s">
        <v>1482</v>
      </c>
      <c r="T303" s="46"/>
      <c r="U303" s="35" t="s">
        <v>122</v>
      </c>
      <c r="V303" s="56"/>
      <c r="W303" s="46"/>
      <c r="X303" s="194"/>
      <c r="Y303" s="194"/>
      <c r="Z303" s="194"/>
      <c r="AA303" s="194"/>
      <c r="AB303" s="220"/>
    </row>
    <row r="304" spans="1:28" ht="18.600000000000001" thickTop="1">
      <c r="A304" s="249" t="s">
        <v>1483</v>
      </c>
      <c r="B304" s="26">
        <v>44190</v>
      </c>
      <c r="C304" s="27"/>
      <c r="D304" s="28" t="s">
        <v>1484</v>
      </c>
      <c r="E304" s="199"/>
      <c r="F304" s="40" t="s">
        <v>1485</v>
      </c>
      <c r="G304" s="37" t="s">
        <v>1486</v>
      </c>
      <c r="H304" s="201" t="s">
        <v>825</v>
      </c>
      <c r="I304" s="193">
        <v>355000</v>
      </c>
      <c r="J304" s="193">
        <v>35500</v>
      </c>
      <c r="K304" s="193">
        <v>0</v>
      </c>
      <c r="L304" s="193">
        <v>7860</v>
      </c>
      <c r="M304" s="193">
        <f>42369+4237</f>
        <v>46606</v>
      </c>
      <c r="N304" s="193">
        <f>SUM(I304:M304)</f>
        <v>444966</v>
      </c>
      <c r="O304" s="191">
        <v>150000</v>
      </c>
      <c r="P304" s="59" t="s">
        <v>1487</v>
      </c>
      <c r="Q304" s="29" t="s">
        <v>82</v>
      </c>
      <c r="R304" s="81"/>
      <c r="S304" s="48" t="s">
        <v>1488</v>
      </c>
      <c r="T304" s="50"/>
      <c r="U304" s="30" t="s">
        <v>1489</v>
      </c>
      <c r="V304" s="58"/>
      <c r="W304" s="52"/>
      <c r="X304" s="193"/>
      <c r="Y304" s="206">
        <f>X304*0.1</f>
        <v>0</v>
      </c>
      <c r="Z304" s="193"/>
      <c r="AA304" s="193">
        <f>SUM(X304:Z304)</f>
        <v>0</v>
      </c>
      <c r="AB304" s="219"/>
    </row>
    <row r="305" spans="1:28" ht="18.600000000000001" thickBot="1">
      <c r="A305" s="250"/>
      <c r="B305" s="31" t="s">
        <v>90</v>
      </c>
      <c r="C305" s="31" t="s">
        <v>1490</v>
      </c>
      <c r="D305" s="32" t="s">
        <v>101</v>
      </c>
      <c r="E305" s="200"/>
      <c r="F305" s="43" t="s">
        <v>1491</v>
      </c>
      <c r="G305" s="38">
        <v>54394</v>
      </c>
      <c r="H305" s="202"/>
      <c r="I305" s="194"/>
      <c r="J305" s="194"/>
      <c r="K305" s="194"/>
      <c r="L305" s="194"/>
      <c r="M305" s="194"/>
      <c r="N305" s="194"/>
      <c r="O305" s="192"/>
      <c r="P305" s="55" t="s">
        <v>1492</v>
      </c>
      <c r="Q305" s="33" t="s">
        <v>86</v>
      </c>
      <c r="R305" s="34" t="s">
        <v>1493</v>
      </c>
      <c r="S305" s="44" t="s">
        <v>1494</v>
      </c>
      <c r="T305" s="46" t="s">
        <v>1495</v>
      </c>
      <c r="U305" s="35" t="s">
        <v>1254</v>
      </c>
      <c r="V305" s="56"/>
      <c r="W305" s="46"/>
      <c r="X305" s="194"/>
      <c r="Y305" s="194"/>
      <c r="Z305" s="194"/>
      <c r="AA305" s="194"/>
      <c r="AB305" s="220"/>
    </row>
    <row r="306" spans="1:28" ht="18.600000000000001" thickTop="1">
      <c r="A306" s="249" t="s">
        <v>1496</v>
      </c>
      <c r="B306" s="26">
        <v>44208</v>
      </c>
      <c r="C306" s="27" t="s">
        <v>1497</v>
      </c>
      <c r="D306" s="28" t="s">
        <v>80</v>
      </c>
      <c r="E306" s="199"/>
      <c r="F306" s="40" t="s">
        <v>1498</v>
      </c>
      <c r="G306" s="37" t="s">
        <v>1289</v>
      </c>
      <c r="H306" s="201">
        <v>4.5</v>
      </c>
      <c r="I306" s="193">
        <v>2050000</v>
      </c>
      <c r="J306" s="193">
        <v>205000</v>
      </c>
      <c r="K306" s="193">
        <v>8500</v>
      </c>
      <c r="L306" s="193">
        <v>18110</v>
      </c>
      <c r="M306" s="193">
        <v>13200</v>
      </c>
      <c r="N306" s="193">
        <f>SUM(I306:M306)</f>
        <v>2294810</v>
      </c>
      <c r="O306" s="191">
        <v>1700000</v>
      </c>
      <c r="P306" s="59" t="s">
        <v>1499</v>
      </c>
      <c r="Q306" s="29" t="s">
        <v>82</v>
      </c>
      <c r="R306" s="81"/>
      <c r="S306" s="48" t="s">
        <v>1500</v>
      </c>
      <c r="T306" s="50"/>
      <c r="U306" s="30"/>
      <c r="V306" s="58"/>
      <c r="W306" s="52"/>
      <c r="X306" s="193"/>
      <c r="Y306" s="206">
        <f>X306*0.1</f>
        <v>0</v>
      </c>
      <c r="Z306" s="193"/>
      <c r="AA306" s="193">
        <f>SUM(X306:Z306)</f>
        <v>0</v>
      </c>
      <c r="AB306" s="219"/>
    </row>
    <row r="307" spans="1:28" ht="18.600000000000001" thickBot="1">
      <c r="A307" s="250"/>
      <c r="B307" s="31" t="s">
        <v>100</v>
      </c>
      <c r="C307" s="31">
        <v>82027</v>
      </c>
      <c r="D307" s="32" t="s">
        <v>101</v>
      </c>
      <c r="E307" s="200"/>
      <c r="F307" s="43" t="s">
        <v>1501</v>
      </c>
      <c r="G307" s="38">
        <v>58355</v>
      </c>
      <c r="H307" s="202"/>
      <c r="I307" s="194"/>
      <c r="J307" s="194"/>
      <c r="K307" s="194"/>
      <c r="L307" s="194"/>
      <c r="M307" s="194"/>
      <c r="N307" s="194"/>
      <c r="O307" s="192"/>
      <c r="P307" s="55" t="s">
        <v>1502</v>
      </c>
      <c r="Q307" s="33" t="s">
        <v>86</v>
      </c>
      <c r="R307" s="34" t="s">
        <v>1503</v>
      </c>
      <c r="S307" s="44" t="s">
        <v>1504</v>
      </c>
      <c r="T307" s="46"/>
      <c r="U307" s="35" t="s">
        <v>1100</v>
      </c>
      <c r="V307" s="56"/>
      <c r="W307" s="46"/>
      <c r="X307" s="194"/>
      <c r="Y307" s="194"/>
      <c r="Z307" s="194"/>
      <c r="AA307" s="194"/>
      <c r="AB307" s="220"/>
    </row>
    <row r="308" spans="1:28" ht="18.600000000000001" thickTop="1">
      <c r="A308" s="249" t="s">
        <v>1505</v>
      </c>
      <c r="B308" s="26">
        <v>44210</v>
      </c>
      <c r="C308" s="27" t="s">
        <v>1506</v>
      </c>
      <c r="D308" s="28" t="s">
        <v>1313</v>
      </c>
      <c r="E308" s="199"/>
      <c r="F308" s="40" t="s">
        <v>1507</v>
      </c>
      <c r="G308" s="37" t="s">
        <v>1508</v>
      </c>
      <c r="H308" s="201">
        <v>4.5</v>
      </c>
      <c r="I308" s="193">
        <v>2875000</v>
      </c>
      <c r="J308" s="193">
        <v>287500</v>
      </c>
      <c r="K308" s="193">
        <v>8500</v>
      </c>
      <c r="L308" s="193">
        <v>23470</v>
      </c>
      <c r="M308" s="193">
        <v>13200</v>
      </c>
      <c r="N308" s="193">
        <f>SUM(I308:M308)</f>
        <v>3207670</v>
      </c>
      <c r="O308" s="191">
        <v>2200000</v>
      </c>
      <c r="P308" s="59" t="s">
        <v>1509</v>
      </c>
      <c r="Q308" s="29" t="s">
        <v>82</v>
      </c>
      <c r="R308" s="81"/>
      <c r="S308" s="48" t="s">
        <v>1494</v>
      </c>
      <c r="T308" s="50"/>
      <c r="U308" s="30" t="s">
        <v>1510</v>
      </c>
      <c r="V308" s="58"/>
      <c r="W308" s="52"/>
      <c r="X308" s="193"/>
      <c r="Y308" s="206">
        <f>X308*0.1</f>
        <v>0</v>
      </c>
      <c r="Z308" s="193"/>
      <c r="AA308" s="193">
        <f>SUM(X308:Z308)</f>
        <v>0</v>
      </c>
      <c r="AB308" s="219"/>
    </row>
    <row r="309" spans="1:28" ht="18.600000000000001" thickBot="1">
      <c r="A309" s="250"/>
      <c r="B309" s="31" t="s">
        <v>261</v>
      </c>
      <c r="C309" s="31">
        <v>75677</v>
      </c>
      <c r="D309" s="32" t="s">
        <v>101</v>
      </c>
      <c r="E309" s="200"/>
      <c r="F309" s="43" t="s">
        <v>1511</v>
      </c>
      <c r="G309" s="38">
        <v>46871</v>
      </c>
      <c r="H309" s="202"/>
      <c r="I309" s="194"/>
      <c r="J309" s="194"/>
      <c r="K309" s="194"/>
      <c r="L309" s="194"/>
      <c r="M309" s="194"/>
      <c r="N309" s="194"/>
      <c r="O309" s="192"/>
      <c r="P309" s="55" t="s">
        <v>1512</v>
      </c>
      <c r="Q309" s="33" t="s">
        <v>86</v>
      </c>
      <c r="R309" s="34" t="s">
        <v>1513</v>
      </c>
      <c r="S309" s="44" t="s">
        <v>1514</v>
      </c>
      <c r="T309" s="46"/>
      <c r="U309" s="35" t="s">
        <v>1515</v>
      </c>
      <c r="V309" s="56"/>
      <c r="W309" s="46"/>
      <c r="X309" s="194"/>
      <c r="Y309" s="194"/>
      <c r="Z309" s="194"/>
      <c r="AA309" s="194"/>
      <c r="AB309" s="220"/>
    </row>
    <row r="310" spans="1:28" ht="18.600000000000001" thickTop="1">
      <c r="A310" s="249" t="s">
        <v>1516</v>
      </c>
      <c r="B310" s="26">
        <v>44214</v>
      </c>
      <c r="C310" s="27"/>
      <c r="D310" s="28" t="s">
        <v>1517</v>
      </c>
      <c r="E310" s="199"/>
      <c r="F310" s="40" t="s">
        <v>1518</v>
      </c>
      <c r="G310" s="37" t="s">
        <v>1519</v>
      </c>
      <c r="H310" s="201">
        <v>3.5</v>
      </c>
      <c r="I310" s="193">
        <v>630000</v>
      </c>
      <c r="J310" s="193">
        <v>63000</v>
      </c>
      <c r="K310" s="193">
        <v>0</v>
      </c>
      <c r="L310" s="193">
        <v>9550</v>
      </c>
      <c r="M310" s="193">
        <v>11000</v>
      </c>
      <c r="N310" s="193">
        <f>SUM(I310:M310)</f>
        <v>713550</v>
      </c>
      <c r="O310" s="191">
        <v>400000</v>
      </c>
      <c r="P310" s="59" t="s">
        <v>1520</v>
      </c>
      <c r="Q310" s="29" t="s">
        <v>82</v>
      </c>
      <c r="R310" s="81"/>
      <c r="S310" s="48"/>
      <c r="T310" s="50"/>
      <c r="U310" s="30" t="s">
        <v>1521</v>
      </c>
      <c r="V310" s="58"/>
      <c r="W310" s="52"/>
      <c r="X310" s="193"/>
      <c r="Y310" s="206">
        <f>X310*0.1</f>
        <v>0</v>
      </c>
      <c r="Z310" s="193"/>
      <c r="AA310" s="193">
        <f>SUM(X310:Z310)</f>
        <v>0</v>
      </c>
      <c r="AB310" s="219"/>
    </row>
    <row r="311" spans="1:28" ht="18.600000000000001" thickBot="1">
      <c r="A311" s="250"/>
      <c r="B311" s="31" t="s">
        <v>1195</v>
      </c>
      <c r="C311" s="31" t="s">
        <v>1522</v>
      </c>
      <c r="D311" s="32" t="s">
        <v>1523</v>
      </c>
      <c r="E311" s="200"/>
      <c r="F311" s="43" t="s">
        <v>1524</v>
      </c>
      <c r="G311" s="38">
        <v>51000</v>
      </c>
      <c r="H311" s="202"/>
      <c r="I311" s="194"/>
      <c r="J311" s="194"/>
      <c r="K311" s="194"/>
      <c r="L311" s="194"/>
      <c r="M311" s="194"/>
      <c r="N311" s="194"/>
      <c r="O311" s="192"/>
      <c r="P311" s="55" t="s">
        <v>1525</v>
      </c>
      <c r="Q311" s="33" t="s">
        <v>86</v>
      </c>
      <c r="R311" s="34" t="s">
        <v>1526</v>
      </c>
      <c r="S311" s="44" t="s">
        <v>1527</v>
      </c>
      <c r="T311" s="46"/>
      <c r="U311" s="35" t="s">
        <v>1528</v>
      </c>
      <c r="V311" s="56"/>
      <c r="W311" s="46"/>
      <c r="X311" s="194"/>
      <c r="Y311" s="194"/>
      <c r="Z311" s="194"/>
      <c r="AA311" s="194"/>
      <c r="AB311" s="220"/>
    </row>
    <row r="312" spans="1:28" ht="18.600000000000001" thickTop="1">
      <c r="A312" s="249" t="s">
        <v>1529</v>
      </c>
      <c r="B312" s="26">
        <v>44225</v>
      </c>
      <c r="C312" s="27" t="s">
        <v>1530</v>
      </c>
      <c r="D312" s="28" t="s">
        <v>1484</v>
      </c>
      <c r="E312" s="199"/>
      <c r="F312" s="40" t="s">
        <v>1531</v>
      </c>
      <c r="G312" s="37" t="s">
        <v>1413</v>
      </c>
      <c r="H312" s="201">
        <v>4.5</v>
      </c>
      <c r="I312" s="193">
        <v>2390000</v>
      </c>
      <c r="J312" s="193">
        <v>239000</v>
      </c>
      <c r="K312" s="193">
        <v>6500</v>
      </c>
      <c r="L312" s="193">
        <v>16240</v>
      </c>
      <c r="M312" s="193">
        <v>13200</v>
      </c>
      <c r="N312" s="193">
        <f>SUM(I312:M312)</f>
        <v>2664940</v>
      </c>
      <c r="O312" s="191">
        <v>2000000</v>
      </c>
      <c r="P312" s="59" t="s">
        <v>1532</v>
      </c>
      <c r="Q312" s="29" t="s">
        <v>82</v>
      </c>
      <c r="R312" s="81"/>
      <c r="S312" s="48" t="s">
        <v>1533</v>
      </c>
      <c r="T312" s="50"/>
      <c r="U312" s="30"/>
      <c r="V312" s="58"/>
      <c r="W312" s="52"/>
      <c r="X312" s="193"/>
      <c r="Y312" s="206">
        <f>X312*0.1</f>
        <v>0</v>
      </c>
      <c r="Z312" s="193"/>
      <c r="AA312" s="193">
        <f>SUM(X312:Z312)</f>
        <v>0</v>
      </c>
      <c r="AB312" s="219"/>
    </row>
    <row r="313" spans="1:28" ht="18.600000000000001" thickBot="1">
      <c r="A313" s="250"/>
      <c r="B313" s="31" t="s">
        <v>1399</v>
      </c>
      <c r="C313" s="31">
        <v>88022</v>
      </c>
      <c r="D313" s="32" t="s">
        <v>627</v>
      </c>
      <c r="E313" s="200"/>
      <c r="F313" s="43" t="s">
        <v>1534</v>
      </c>
      <c r="G313" s="38">
        <v>30828</v>
      </c>
      <c r="H313" s="202"/>
      <c r="I313" s="194"/>
      <c r="J313" s="194"/>
      <c r="K313" s="194"/>
      <c r="L313" s="194"/>
      <c r="M313" s="194"/>
      <c r="N313" s="194"/>
      <c r="O313" s="192"/>
      <c r="P313" s="55" t="s">
        <v>1535</v>
      </c>
      <c r="Q313" s="33" t="s">
        <v>86</v>
      </c>
      <c r="R313" s="34" t="s">
        <v>1536</v>
      </c>
      <c r="S313" s="44" t="s">
        <v>1504</v>
      </c>
      <c r="T313" s="46"/>
      <c r="U313" s="35"/>
      <c r="V313" s="56"/>
      <c r="W313" s="46"/>
      <c r="X313" s="194"/>
      <c r="Y313" s="194"/>
      <c r="Z313" s="194"/>
      <c r="AA313" s="194"/>
      <c r="AB313" s="220"/>
    </row>
    <row r="314" spans="1:28" ht="18.600000000000001" thickTop="1">
      <c r="A314" s="249" t="s">
        <v>1537</v>
      </c>
      <c r="B314" s="26">
        <v>44226</v>
      </c>
      <c r="C314" s="27" t="s">
        <v>1538</v>
      </c>
      <c r="D314" s="28" t="s">
        <v>451</v>
      </c>
      <c r="E314" s="199"/>
      <c r="F314" s="40" t="s">
        <v>114</v>
      </c>
      <c r="G314" s="37"/>
      <c r="H314" s="201">
        <v>4.5</v>
      </c>
      <c r="I314" s="193">
        <v>1580000</v>
      </c>
      <c r="J314" s="193">
        <v>158000</v>
      </c>
      <c r="K314" s="193">
        <v>0</v>
      </c>
      <c r="L314" s="193">
        <v>14590</v>
      </c>
      <c r="M314" s="193">
        <v>13200</v>
      </c>
      <c r="N314" s="193">
        <f>SUM(I314:M314)</f>
        <v>1765790</v>
      </c>
      <c r="O314" s="191">
        <v>1300000</v>
      </c>
      <c r="P314" s="59" t="s">
        <v>1539</v>
      </c>
      <c r="Q314" s="29" t="s">
        <v>82</v>
      </c>
      <c r="R314" s="81"/>
      <c r="S314" s="48" t="s">
        <v>1540</v>
      </c>
      <c r="T314" s="50"/>
      <c r="U314" s="30"/>
      <c r="V314" s="58"/>
      <c r="W314" s="52"/>
      <c r="X314" s="193"/>
      <c r="Y314" s="206">
        <f>X314*0.1</f>
        <v>0</v>
      </c>
      <c r="Z314" s="193"/>
      <c r="AA314" s="193">
        <f>SUM(X314:Z314)</f>
        <v>0</v>
      </c>
      <c r="AB314" s="219"/>
    </row>
    <row r="315" spans="1:28" ht="18.600000000000001" thickBot="1">
      <c r="A315" s="250"/>
      <c r="B315" s="31" t="s">
        <v>148</v>
      </c>
      <c r="C315" s="31">
        <v>82193</v>
      </c>
      <c r="D315" s="32" t="s">
        <v>48</v>
      </c>
      <c r="E315" s="200"/>
      <c r="F315" s="43" t="s">
        <v>1541</v>
      </c>
      <c r="G315" s="38">
        <v>38372</v>
      </c>
      <c r="H315" s="202"/>
      <c r="I315" s="194"/>
      <c r="J315" s="194"/>
      <c r="K315" s="194"/>
      <c r="L315" s="194"/>
      <c r="M315" s="194"/>
      <c r="N315" s="194"/>
      <c r="O315" s="192"/>
      <c r="P315" s="55" t="s">
        <v>1542</v>
      </c>
      <c r="Q315" s="33" t="s">
        <v>86</v>
      </c>
      <c r="R315" s="34" t="s">
        <v>1526</v>
      </c>
      <c r="S315" s="44" t="s">
        <v>1543</v>
      </c>
      <c r="T315" s="139" t="s">
        <v>1544</v>
      </c>
      <c r="U315" s="35"/>
      <c r="V315" s="56"/>
      <c r="W315" s="46"/>
      <c r="X315" s="194"/>
      <c r="Y315" s="194"/>
      <c r="Z315" s="194"/>
      <c r="AA315" s="194"/>
      <c r="AB315" s="220"/>
    </row>
    <row r="316" spans="1:28" ht="18.600000000000001" thickTop="1">
      <c r="A316" s="249" t="s">
        <v>1545</v>
      </c>
      <c r="B316" s="26">
        <v>44233</v>
      </c>
      <c r="C316" s="27" t="s">
        <v>1546</v>
      </c>
      <c r="D316" s="28" t="s">
        <v>665</v>
      </c>
      <c r="E316" s="199"/>
      <c r="F316" s="40" t="s">
        <v>1547</v>
      </c>
      <c r="G316" s="37" t="s">
        <v>1336</v>
      </c>
      <c r="H316" s="201">
        <v>4.5</v>
      </c>
      <c r="I316" s="193">
        <v>3680000</v>
      </c>
      <c r="J316" s="193">
        <v>368000</v>
      </c>
      <c r="K316" s="193">
        <v>4200</v>
      </c>
      <c r="L316" s="193">
        <v>27360</v>
      </c>
      <c r="M316" s="193">
        <v>13200</v>
      </c>
      <c r="N316" s="193">
        <f>SUM(I316:M316)</f>
        <v>4092760</v>
      </c>
      <c r="O316" s="191">
        <v>3200000</v>
      </c>
      <c r="P316" s="59" t="s">
        <v>1548</v>
      </c>
      <c r="Q316" s="29" t="s">
        <v>82</v>
      </c>
      <c r="R316" s="81"/>
      <c r="S316" s="48" t="s">
        <v>1494</v>
      </c>
      <c r="T316" s="50"/>
      <c r="U316" s="30"/>
      <c r="V316" s="58"/>
      <c r="W316" s="52"/>
      <c r="X316" s="193"/>
      <c r="Y316" s="206">
        <f>X316*0.1</f>
        <v>0</v>
      </c>
      <c r="Z316" s="193"/>
      <c r="AA316" s="193">
        <f>SUM(X316:Z316)</f>
        <v>0</v>
      </c>
      <c r="AB316" s="219"/>
    </row>
    <row r="317" spans="1:28" ht="18.600000000000001" thickBot="1">
      <c r="A317" s="250"/>
      <c r="B317" s="31" t="s">
        <v>148</v>
      </c>
      <c r="C317" s="31">
        <v>82018</v>
      </c>
      <c r="D317" s="32" t="s">
        <v>101</v>
      </c>
      <c r="E317" s="200"/>
      <c r="F317" s="43" t="s">
        <v>1549</v>
      </c>
      <c r="G317" s="38">
        <v>22528</v>
      </c>
      <c r="H317" s="202"/>
      <c r="I317" s="194"/>
      <c r="J317" s="194"/>
      <c r="K317" s="194"/>
      <c r="L317" s="194"/>
      <c r="M317" s="194"/>
      <c r="N317" s="194"/>
      <c r="O317" s="192"/>
      <c r="P317" s="55" t="s">
        <v>1550</v>
      </c>
      <c r="Q317" s="33" t="s">
        <v>86</v>
      </c>
      <c r="R317" s="34" t="s">
        <v>92</v>
      </c>
      <c r="S317" s="44" t="s">
        <v>1551</v>
      </c>
      <c r="T317" s="139" t="s">
        <v>1544</v>
      </c>
      <c r="U317" s="35" t="s">
        <v>122</v>
      </c>
      <c r="V317" s="56"/>
      <c r="W317" s="46"/>
      <c r="X317" s="194"/>
      <c r="Y317" s="194"/>
      <c r="Z317" s="194"/>
      <c r="AA317" s="194"/>
      <c r="AB317" s="220"/>
    </row>
    <row r="318" spans="1:28" ht="18.600000000000001" thickTop="1">
      <c r="A318" s="249" t="s">
        <v>1552</v>
      </c>
      <c r="B318" s="26">
        <v>44266</v>
      </c>
      <c r="C318" s="27" t="s">
        <v>1553</v>
      </c>
      <c r="D318" s="28" t="s">
        <v>80</v>
      </c>
      <c r="E318" s="199"/>
      <c r="F318" s="40" t="s">
        <v>1554</v>
      </c>
      <c r="G318" s="37"/>
      <c r="H318" s="201">
        <v>4.5</v>
      </c>
      <c r="I318" s="193">
        <v>1660000</v>
      </c>
      <c r="J318" s="193">
        <v>166000</v>
      </c>
      <c r="K318" s="193">
        <v>0</v>
      </c>
      <c r="L318" s="193">
        <v>18960</v>
      </c>
      <c r="M318" s="193">
        <v>13200</v>
      </c>
      <c r="N318" s="193">
        <f>SUM(I318:M318)</f>
        <v>1858160</v>
      </c>
      <c r="O318" s="191">
        <v>1600000</v>
      </c>
      <c r="P318" s="59" t="s">
        <v>1555</v>
      </c>
      <c r="Q318" s="29" t="s">
        <v>82</v>
      </c>
      <c r="R318" s="81"/>
      <c r="S318" s="48" t="s">
        <v>1326</v>
      </c>
      <c r="T318" s="50"/>
      <c r="U318" s="30"/>
      <c r="V318" s="58"/>
      <c r="W318" s="52"/>
      <c r="X318" s="193"/>
      <c r="Y318" s="206">
        <f>X318*0.1</f>
        <v>0</v>
      </c>
      <c r="Z318" s="193"/>
      <c r="AA318" s="193">
        <f>SUM(X318:Z318)</f>
        <v>0</v>
      </c>
      <c r="AB318" s="219"/>
    </row>
    <row r="319" spans="1:28" ht="18.600000000000001" thickBot="1">
      <c r="A319" s="250"/>
      <c r="B319" s="31" t="s">
        <v>261</v>
      </c>
      <c r="C319" s="31">
        <v>76135</v>
      </c>
      <c r="D319" s="32" t="s">
        <v>941</v>
      </c>
      <c r="E319" s="200"/>
      <c r="F319" s="43" t="s">
        <v>1556</v>
      </c>
      <c r="G319" s="38">
        <v>45392</v>
      </c>
      <c r="H319" s="202"/>
      <c r="I319" s="194"/>
      <c r="J319" s="194"/>
      <c r="K319" s="194"/>
      <c r="L319" s="194"/>
      <c r="M319" s="194"/>
      <c r="N319" s="194"/>
      <c r="O319" s="192"/>
      <c r="P319" s="55" t="s">
        <v>1557</v>
      </c>
      <c r="Q319" s="33" t="s">
        <v>86</v>
      </c>
      <c r="R319" s="34" t="s">
        <v>1558</v>
      </c>
      <c r="S319" s="44" t="s">
        <v>1559</v>
      </c>
      <c r="T319" s="46"/>
      <c r="U319" s="35"/>
      <c r="V319" s="56"/>
      <c r="W319" s="46"/>
      <c r="X319" s="194"/>
      <c r="Y319" s="194"/>
      <c r="Z319" s="194"/>
      <c r="AA319" s="194"/>
      <c r="AB319" s="220"/>
    </row>
    <row r="320" spans="1:28" ht="18.600000000000001" thickTop="1">
      <c r="A320" s="249" t="s">
        <v>1560</v>
      </c>
      <c r="B320" s="26">
        <v>44268</v>
      </c>
      <c r="C320" s="27" t="s">
        <v>1561</v>
      </c>
      <c r="D320" s="28" t="s">
        <v>810</v>
      </c>
      <c r="E320" s="199" t="s">
        <v>282</v>
      </c>
      <c r="F320" s="40" t="s">
        <v>1562</v>
      </c>
      <c r="G320" s="37" t="s">
        <v>1563</v>
      </c>
      <c r="H320" s="201">
        <v>4.5</v>
      </c>
      <c r="I320" s="193">
        <v>3585000</v>
      </c>
      <c r="J320" s="193">
        <v>358500</v>
      </c>
      <c r="K320" s="193">
        <v>51000</v>
      </c>
      <c r="L320" s="193">
        <v>26010</v>
      </c>
      <c r="M320" s="193">
        <v>13200</v>
      </c>
      <c r="N320" s="193">
        <f>SUM(I320:M320)</f>
        <v>4033710</v>
      </c>
      <c r="O320" s="191"/>
      <c r="P320" s="59" t="s">
        <v>1564</v>
      </c>
      <c r="Q320" s="29" t="s">
        <v>82</v>
      </c>
      <c r="R320" s="81"/>
      <c r="S320" s="48" t="s">
        <v>1494</v>
      </c>
      <c r="T320" s="50"/>
      <c r="U320" s="30" t="s">
        <v>1565</v>
      </c>
      <c r="V320" s="58"/>
      <c r="W320" s="52"/>
      <c r="X320" s="193"/>
      <c r="Y320" s="206">
        <f>X320*0.1</f>
        <v>0</v>
      </c>
      <c r="Z320" s="193"/>
      <c r="AA320" s="193">
        <f>SUM(X320:Z320)</f>
        <v>0</v>
      </c>
      <c r="AB320" s="219"/>
    </row>
    <row r="321" spans="1:28" ht="18.600000000000001" thickBot="1">
      <c r="A321" s="250"/>
      <c r="B321" s="31" t="s">
        <v>913</v>
      </c>
      <c r="C321" s="31">
        <v>60019</v>
      </c>
      <c r="D321" s="32" t="s">
        <v>593</v>
      </c>
      <c r="E321" s="200"/>
      <c r="F321" s="43" t="s">
        <v>1566</v>
      </c>
      <c r="G321" s="38">
        <v>46309</v>
      </c>
      <c r="H321" s="202"/>
      <c r="I321" s="194"/>
      <c r="J321" s="194"/>
      <c r="K321" s="194"/>
      <c r="L321" s="194"/>
      <c r="M321" s="194"/>
      <c r="N321" s="194"/>
      <c r="O321" s="192"/>
      <c r="P321" s="55" t="s">
        <v>1567</v>
      </c>
      <c r="Q321" s="33" t="s">
        <v>86</v>
      </c>
      <c r="R321" s="34" t="s">
        <v>1558</v>
      </c>
      <c r="S321" s="44" t="s">
        <v>1568</v>
      </c>
      <c r="T321" s="46"/>
      <c r="U321" s="35"/>
      <c r="V321" s="56"/>
      <c r="W321" s="46"/>
      <c r="X321" s="194"/>
      <c r="Y321" s="194"/>
      <c r="Z321" s="194"/>
      <c r="AA321" s="194"/>
      <c r="AB321" s="220"/>
    </row>
    <row r="322" spans="1:28" ht="18.600000000000001" thickTop="1">
      <c r="A322" s="249" t="s">
        <v>1569</v>
      </c>
      <c r="B322" s="26">
        <v>44268</v>
      </c>
      <c r="C322" s="27" t="s">
        <v>1561</v>
      </c>
      <c r="D322" s="28" t="s">
        <v>1570</v>
      </c>
      <c r="E322" s="199"/>
      <c r="F322" s="40" t="s">
        <v>1571</v>
      </c>
      <c r="G322" s="37"/>
      <c r="H322" s="201">
        <v>4.5</v>
      </c>
      <c r="I322" s="193">
        <v>1405000</v>
      </c>
      <c r="J322" s="193">
        <v>140500</v>
      </c>
      <c r="K322" s="193">
        <v>0</v>
      </c>
      <c r="L322" s="193">
        <v>18110</v>
      </c>
      <c r="M322" s="193">
        <v>13200</v>
      </c>
      <c r="N322" s="193">
        <f>SUM(I322:M322)</f>
        <v>1576810</v>
      </c>
      <c r="O322" s="191">
        <v>1000000</v>
      </c>
      <c r="P322" s="59" t="s">
        <v>1572</v>
      </c>
      <c r="Q322" s="29" t="s">
        <v>82</v>
      </c>
      <c r="R322" s="81"/>
      <c r="S322" s="48" t="s">
        <v>1573</v>
      </c>
      <c r="T322" s="50"/>
      <c r="U322" s="30"/>
      <c r="V322" s="58"/>
      <c r="W322" s="52"/>
      <c r="X322" s="193"/>
      <c r="Y322" s="206">
        <f>X322*0.1</f>
        <v>0</v>
      </c>
      <c r="Z322" s="193"/>
      <c r="AA322" s="193">
        <f>SUM(X322:Z322)</f>
        <v>0</v>
      </c>
      <c r="AB322" s="219"/>
    </row>
    <row r="323" spans="1:28" ht="18.600000000000001" thickBot="1">
      <c r="A323" s="250"/>
      <c r="B323" s="31" t="s">
        <v>913</v>
      </c>
      <c r="C323" s="31">
        <v>72019</v>
      </c>
      <c r="D323" s="32" t="s">
        <v>48</v>
      </c>
      <c r="E323" s="200"/>
      <c r="F323" s="43" t="s">
        <v>1574</v>
      </c>
      <c r="G323" s="38">
        <v>47410</v>
      </c>
      <c r="H323" s="202"/>
      <c r="I323" s="194"/>
      <c r="J323" s="194"/>
      <c r="K323" s="194"/>
      <c r="L323" s="194"/>
      <c r="M323" s="194"/>
      <c r="N323" s="194"/>
      <c r="O323" s="192"/>
      <c r="P323" s="55" t="s">
        <v>1575</v>
      </c>
      <c r="Q323" s="33" t="s">
        <v>86</v>
      </c>
      <c r="R323" s="34" t="s">
        <v>1558</v>
      </c>
      <c r="S323" s="44" t="s">
        <v>1559</v>
      </c>
      <c r="T323" s="46"/>
      <c r="U323" s="35"/>
      <c r="V323" s="56"/>
      <c r="W323" s="46"/>
      <c r="X323" s="194"/>
      <c r="Y323" s="194"/>
      <c r="Z323" s="194"/>
      <c r="AA323" s="194"/>
      <c r="AB323" s="220"/>
    </row>
    <row r="324" spans="1:28" ht="18.600000000000001" thickTop="1">
      <c r="A324" s="249" t="s">
        <v>1576</v>
      </c>
      <c r="B324" s="26">
        <v>44275</v>
      </c>
      <c r="C324" s="27" t="s">
        <v>1577</v>
      </c>
      <c r="D324" s="28" t="s">
        <v>80</v>
      </c>
      <c r="E324" s="199"/>
      <c r="F324" s="40" t="s">
        <v>1578</v>
      </c>
      <c r="G324" s="37"/>
      <c r="H324" s="201">
        <v>4</v>
      </c>
      <c r="I324" s="193">
        <v>1090000</v>
      </c>
      <c r="J324" s="193">
        <v>109000</v>
      </c>
      <c r="K324" s="193">
        <v>0</v>
      </c>
      <c r="L324" s="193">
        <v>17420</v>
      </c>
      <c r="M324" s="193">
        <v>13200</v>
      </c>
      <c r="N324" s="193">
        <f>SUM(I324:M324)</f>
        <v>1229620</v>
      </c>
      <c r="O324" s="191">
        <v>1000000</v>
      </c>
      <c r="P324" s="59" t="s">
        <v>1579</v>
      </c>
      <c r="Q324" s="29" t="s">
        <v>82</v>
      </c>
      <c r="R324" s="81"/>
      <c r="S324" s="48" t="s">
        <v>1326</v>
      </c>
      <c r="T324" s="50"/>
      <c r="U324" s="30"/>
      <c r="V324" s="58"/>
      <c r="W324" s="52"/>
      <c r="X324" s="193"/>
      <c r="Y324" s="206">
        <f>X324*0.1</f>
        <v>0</v>
      </c>
      <c r="Z324" s="193"/>
      <c r="AA324" s="193">
        <f>SUM(X324:Z324)</f>
        <v>0</v>
      </c>
      <c r="AB324" s="219"/>
    </row>
    <row r="325" spans="1:28" ht="18.600000000000001" thickBot="1">
      <c r="A325" s="250"/>
      <c r="B325" s="31" t="s">
        <v>913</v>
      </c>
      <c r="C325" s="31">
        <v>60109</v>
      </c>
      <c r="D325" s="32" t="s">
        <v>48</v>
      </c>
      <c r="E325" s="200"/>
      <c r="F325" s="43" t="s">
        <v>1580</v>
      </c>
      <c r="G325" s="38">
        <v>33507</v>
      </c>
      <c r="H325" s="202"/>
      <c r="I325" s="194"/>
      <c r="J325" s="194"/>
      <c r="K325" s="194"/>
      <c r="L325" s="194"/>
      <c r="M325" s="194"/>
      <c r="N325" s="194"/>
      <c r="O325" s="192"/>
      <c r="P325" s="55" t="s">
        <v>1581</v>
      </c>
      <c r="Q325" s="33" t="s">
        <v>86</v>
      </c>
      <c r="R325" s="34" t="s">
        <v>1582</v>
      </c>
      <c r="S325" s="44" t="s">
        <v>1583</v>
      </c>
      <c r="T325" s="46"/>
      <c r="U325" s="35"/>
      <c r="V325" s="56"/>
      <c r="W325" s="46"/>
      <c r="X325" s="194"/>
      <c r="Y325" s="194"/>
      <c r="Z325" s="194"/>
      <c r="AA325" s="194"/>
      <c r="AB325" s="220"/>
    </row>
    <row r="326" spans="1:28" ht="18.600000000000001" thickTop="1">
      <c r="A326" s="249" t="s">
        <v>1584</v>
      </c>
      <c r="B326" s="26">
        <v>44291</v>
      </c>
      <c r="C326" s="27"/>
      <c r="D326" s="28" t="s">
        <v>1585</v>
      </c>
      <c r="E326" s="199"/>
      <c r="F326" s="40" t="s">
        <v>1586</v>
      </c>
      <c r="G326" s="37"/>
      <c r="H326" s="201">
        <v>3.5</v>
      </c>
      <c r="I326" s="193">
        <v>1282000</v>
      </c>
      <c r="J326" s="193">
        <v>128200</v>
      </c>
      <c r="K326" s="193">
        <v>0</v>
      </c>
      <c r="L326" s="193">
        <v>15440</v>
      </c>
      <c r="M326" s="193">
        <v>13200</v>
      </c>
      <c r="N326" s="193">
        <f>SUM(I326:M326)</f>
        <v>1438840</v>
      </c>
      <c r="O326" s="191">
        <v>1000000</v>
      </c>
      <c r="P326" s="59" t="s">
        <v>1587</v>
      </c>
      <c r="Q326" s="29" t="s">
        <v>82</v>
      </c>
      <c r="R326" s="81"/>
      <c r="S326" s="48" t="s">
        <v>940</v>
      </c>
      <c r="T326" s="50"/>
      <c r="U326" s="30"/>
      <c r="V326" s="58"/>
      <c r="W326" s="52"/>
      <c r="X326" s="193"/>
      <c r="Y326" s="206">
        <f>X326*0.1</f>
        <v>0</v>
      </c>
      <c r="Z326" s="193"/>
      <c r="AA326" s="193">
        <f>SUM(X326:Z326)</f>
        <v>0</v>
      </c>
      <c r="AB326" s="219"/>
    </row>
    <row r="327" spans="1:28" ht="18.600000000000001" thickBot="1">
      <c r="A327" s="250"/>
      <c r="B327" s="31" t="s">
        <v>1588</v>
      </c>
      <c r="C327" s="31">
        <v>70393</v>
      </c>
      <c r="D327" s="32" t="s">
        <v>1439</v>
      </c>
      <c r="E327" s="200"/>
      <c r="F327" s="43" t="s">
        <v>1589</v>
      </c>
      <c r="G327" s="38">
        <v>51387</v>
      </c>
      <c r="H327" s="202"/>
      <c r="I327" s="194"/>
      <c r="J327" s="194"/>
      <c r="K327" s="194"/>
      <c r="L327" s="194"/>
      <c r="M327" s="194"/>
      <c r="N327" s="194"/>
      <c r="O327" s="192"/>
      <c r="P327" s="55" t="s">
        <v>1590</v>
      </c>
      <c r="Q327" s="33" t="s">
        <v>86</v>
      </c>
      <c r="R327" s="34" t="s">
        <v>1591</v>
      </c>
      <c r="S327" s="44" t="s">
        <v>1514</v>
      </c>
      <c r="T327" s="46"/>
      <c r="U327" s="35"/>
      <c r="V327" s="56"/>
      <c r="W327" s="46"/>
      <c r="X327" s="194"/>
      <c r="Y327" s="194"/>
      <c r="Z327" s="194"/>
      <c r="AA327" s="194"/>
      <c r="AB327" s="220"/>
    </row>
    <row r="328" spans="1:28" ht="18.600000000000001" thickTop="1">
      <c r="A328" s="249" t="s">
        <v>1592</v>
      </c>
      <c r="B328" s="26">
        <v>44294</v>
      </c>
      <c r="C328" s="27" t="s">
        <v>1593</v>
      </c>
      <c r="D328" s="28" t="s">
        <v>1431</v>
      </c>
      <c r="E328" s="199"/>
      <c r="F328" s="40" t="s">
        <v>1594</v>
      </c>
      <c r="G328" s="37" t="s">
        <v>1336</v>
      </c>
      <c r="H328" s="201">
        <v>4.5</v>
      </c>
      <c r="I328" s="193">
        <v>2043000</v>
      </c>
      <c r="J328" s="193">
        <v>204300</v>
      </c>
      <c r="K328" s="193">
        <v>36200</v>
      </c>
      <c r="L328" s="193">
        <v>17700</v>
      </c>
      <c r="M328" s="193">
        <v>19800</v>
      </c>
      <c r="N328" s="193">
        <f>SUM(I328:M328)</f>
        <v>2321000</v>
      </c>
      <c r="O328" s="191">
        <v>1900000</v>
      </c>
      <c r="P328" s="59" t="s">
        <v>1595</v>
      </c>
      <c r="Q328" s="29" t="s">
        <v>82</v>
      </c>
      <c r="R328" s="81"/>
      <c r="S328" s="48" t="s">
        <v>1596</v>
      </c>
      <c r="T328" s="50"/>
      <c r="U328" s="30"/>
      <c r="V328" s="58"/>
      <c r="W328" s="52"/>
      <c r="X328" s="193"/>
      <c r="Y328" s="206">
        <f>X328*0.1</f>
        <v>0</v>
      </c>
      <c r="Z328" s="193"/>
      <c r="AA328" s="193">
        <f>SUM(X328:Z328)</f>
        <v>0</v>
      </c>
      <c r="AB328" s="219"/>
    </row>
    <row r="329" spans="1:28" ht="18.600000000000001" thickBot="1">
      <c r="A329" s="250"/>
      <c r="B329" s="31" t="s">
        <v>1597</v>
      </c>
      <c r="C329" s="31">
        <v>10205</v>
      </c>
      <c r="D329" s="32" t="s">
        <v>1439</v>
      </c>
      <c r="E329" s="200"/>
      <c r="F329" s="43" t="s">
        <v>1598</v>
      </c>
      <c r="G329" s="38">
        <v>30408</v>
      </c>
      <c r="H329" s="202"/>
      <c r="I329" s="194"/>
      <c r="J329" s="194"/>
      <c r="K329" s="194"/>
      <c r="L329" s="194"/>
      <c r="M329" s="194"/>
      <c r="N329" s="194"/>
      <c r="O329" s="192"/>
      <c r="P329" s="55" t="s">
        <v>1599</v>
      </c>
      <c r="Q329" s="33" t="s">
        <v>86</v>
      </c>
      <c r="R329" s="34" t="s">
        <v>1600</v>
      </c>
      <c r="S329" s="44" t="s">
        <v>102</v>
      </c>
      <c r="T329" s="46"/>
      <c r="U329" s="35"/>
      <c r="V329" s="56"/>
      <c r="W329" s="46"/>
      <c r="X329" s="194"/>
      <c r="Y329" s="194"/>
      <c r="Z329" s="194"/>
      <c r="AA329" s="194"/>
      <c r="AB329" s="220"/>
    </row>
    <row r="330" spans="1:28" ht="18.600000000000001" thickTop="1">
      <c r="A330" s="249" t="s">
        <v>1601</v>
      </c>
      <c r="B330" s="26">
        <v>44299</v>
      </c>
      <c r="C330" s="27" t="s">
        <v>1602</v>
      </c>
      <c r="D330" s="28" t="s">
        <v>330</v>
      </c>
      <c r="E330" s="199"/>
      <c r="F330" s="40" t="s">
        <v>1603</v>
      </c>
      <c r="G330" s="37"/>
      <c r="H330" s="201">
        <v>3</v>
      </c>
      <c r="I330" s="193">
        <v>930000</v>
      </c>
      <c r="J330" s="193">
        <v>93000</v>
      </c>
      <c r="K330" s="193">
        <v>0</v>
      </c>
      <c r="L330" s="193">
        <v>15590</v>
      </c>
      <c r="M330" s="193">
        <v>13200</v>
      </c>
      <c r="N330" s="193">
        <f>SUM(I330:M330)</f>
        <v>1051790</v>
      </c>
      <c r="O330" s="191">
        <v>700000</v>
      </c>
      <c r="P330" s="59" t="s">
        <v>1604</v>
      </c>
      <c r="Q330" s="29" t="s">
        <v>82</v>
      </c>
      <c r="R330" s="81"/>
      <c r="S330" s="48"/>
      <c r="T330" s="50"/>
      <c r="U330" s="30"/>
      <c r="V330" s="58"/>
      <c r="W330" s="52"/>
      <c r="X330" s="193"/>
      <c r="Y330" s="206">
        <f>X330*0.1</f>
        <v>0</v>
      </c>
      <c r="Z330" s="193"/>
      <c r="AA330" s="193">
        <f>SUM(X330:Z330)</f>
        <v>0</v>
      </c>
      <c r="AB330" s="219"/>
    </row>
    <row r="331" spans="1:28" ht="18.600000000000001" thickBot="1">
      <c r="A331" s="250"/>
      <c r="B331" s="31" t="s">
        <v>100</v>
      </c>
      <c r="C331" s="31">
        <v>84155</v>
      </c>
      <c r="D331" s="32" t="s">
        <v>198</v>
      </c>
      <c r="E331" s="200"/>
      <c r="F331" s="43" t="s">
        <v>1605</v>
      </c>
      <c r="G331" s="38">
        <v>59138</v>
      </c>
      <c r="H331" s="202"/>
      <c r="I331" s="194"/>
      <c r="J331" s="194"/>
      <c r="K331" s="194"/>
      <c r="L331" s="194"/>
      <c r="M331" s="194"/>
      <c r="N331" s="194"/>
      <c r="O331" s="192"/>
      <c r="P331" s="55" t="s">
        <v>1606</v>
      </c>
      <c r="Q331" s="33" t="s">
        <v>86</v>
      </c>
      <c r="R331" s="34" t="s">
        <v>1607</v>
      </c>
      <c r="S331" s="44" t="s">
        <v>1608</v>
      </c>
      <c r="T331" s="46"/>
      <c r="U331" s="35"/>
      <c r="V331" s="56"/>
      <c r="W331" s="46"/>
      <c r="X331" s="194"/>
      <c r="Y331" s="194"/>
      <c r="Z331" s="194"/>
      <c r="AA331" s="194"/>
      <c r="AB331" s="220"/>
    </row>
    <row r="332" spans="1:28" ht="18.600000000000001" thickTop="1">
      <c r="A332" s="249" t="s">
        <v>1609</v>
      </c>
      <c r="B332" s="26">
        <v>44303</v>
      </c>
      <c r="C332" s="27" t="s">
        <v>1610</v>
      </c>
      <c r="D332" s="28" t="s">
        <v>1611</v>
      </c>
      <c r="E332" s="199"/>
      <c r="F332" s="40" t="s">
        <v>1612</v>
      </c>
      <c r="G332" s="37"/>
      <c r="H332" s="201">
        <v>3.5</v>
      </c>
      <c r="I332" s="193">
        <v>500000</v>
      </c>
      <c r="J332" s="193">
        <v>50000</v>
      </c>
      <c r="K332" s="193">
        <v>0</v>
      </c>
      <c r="L332" s="193">
        <v>10010</v>
      </c>
      <c r="M332" s="193">
        <v>9900</v>
      </c>
      <c r="N332" s="193">
        <f>SUM(I332:M332)</f>
        <v>569910</v>
      </c>
      <c r="O332" s="191">
        <v>300000</v>
      </c>
      <c r="P332" s="59" t="s">
        <v>1613</v>
      </c>
      <c r="Q332" s="29" t="s">
        <v>82</v>
      </c>
      <c r="R332" s="81"/>
      <c r="S332" s="48"/>
      <c r="T332" s="50"/>
      <c r="U332" s="30"/>
      <c r="V332" s="58"/>
      <c r="W332" s="52"/>
      <c r="X332" s="193"/>
      <c r="Y332" s="206">
        <f>X332*0.1</f>
        <v>0</v>
      </c>
      <c r="Z332" s="193"/>
      <c r="AA332" s="193">
        <f>SUM(X332:Z332)</f>
        <v>0</v>
      </c>
      <c r="AB332" s="219"/>
    </row>
    <row r="333" spans="1:28" ht="18.600000000000001" thickBot="1">
      <c r="A333" s="250"/>
      <c r="B333" s="31" t="s">
        <v>148</v>
      </c>
      <c r="C333" s="31">
        <v>33185</v>
      </c>
      <c r="D333" s="32" t="s">
        <v>170</v>
      </c>
      <c r="E333" s="200"/>
      <c r="F333" s="43" t="s">
        <v>1614</v>
      </c>
      <c r="G333" s="38">
        <v>37727</v>
      </c>
      <c r="H333" s="202"/>
      <c r="I333" s="194"/>
      <c r="J333" s="194"/>
      <c r="K333" s="194"/>
      <c r="L333" s="194"/>
      <c r="M333" s="194"/>
      <c r="N333" s="194"/>
      <c r="O333" s="192"/>
      <c r="P333" s="55" t="s">
        <v>1615</v>
      </c>
      <c r="Q333" s="33" t="s">
        <v>86</v>
      </c>
      <c r="R333" s="34" t="s">
        <v>1616</v>
      </c>
      <c r="S333" s="44"/>
      <c r="T333" s="46"/>
      <c r="U333" s="35"/>
      <c r="V333" s="56"/>
      <c r="W333" s="46"/>
      <c r="X333" s="194"/>
      <c r="Y333" s="194"/>
      <c r="Z333" s="194"/>
      <c r="AA333" s="194"/>
      <c r="AB333" s="220"/>
    </row>
    <row r="334" spans="1:28" ht="18.600000000000001" thickTop="1">
      <c r="A334" s="249" t="s">
        <v>1617</v>
      </c>
      <c r="B334" s="26">
        <v>44330</v>
      </c>
      <c r="C334" s="27" t="s">
        <v>1618</v>
      </c>
      <c r="D334" s="28" t="s">
        <v>1275</v>
      </c>
      <c r="E334" s="199"/>
      <c r="F334" s="40" t="s">
        <v>1619</v>
      </c>
      <c r="G334" s="37"/>
      <c r="H334" s="201">
        <v>4</v>
      </c>
      <c r="I334" s="193">
        <v>2065000</v>
      </c>
      <c r="J334" s="193">
        <v>206500</v>
      </c>
      <c r="K334" s="193">
        <v>0</v>
      </c>
      <c r="L334" s="193">
        <v>18300</v>
      </c>
      <c r="M334" s="193">
        <v>13200</v>
      </c>
      <c r="N334" s="193">
        <f>SUM(I334:M334)</f>
        <v>2303000</v>
      </c>
      <c r="O334" s="191">
        <v>2000000</v>
      </c>
      <c r="P334" s="59" t="s">
        <v>1620</v>
      </c>
      <c r="Q334" s="29" t="s">
        <v>82</v>
      </c>
      <c r="R334" s="81"/>
      <c r="S334" s="48" t="s">
        <v>1500</v>
      </c>
      <c r="T334" s="50"/>
      <c r="U334" s="30"/>
      <c r="V334" s="58"/>
      <c r="W334" s="52"/>
      <c r="X334" s="193"/>
      <c r="Y334" s="206">
        <f>X334*0.1</f>
        <v>0</v>
      </c>
      <c r="Z334" s="193"/>
      <c r="AA334" s="193">
        <f>SUM(X334:Z334)</f>
        <v>0</v>
      </c>
      <c r="AB334" s="219"/>
    </row>
    <row r="335" spans="1:28" ht="18.600000000000001" thickBot="1">
      <c r="A335" s="250"/>
      <c r="B335" s="31" t="s">
        <v>120</v>
      </c>
      <c r="C335" s="31">
        <v>58741</v>
      </c>
      <c r="D335" s="32" t="s">
        <v>941</v>
      </c>
      <c r="E335" s="200"/>
      <c r="F335" s="43" t="s">
        <v>1621</v>
      </c>
      <c r="G335" s="38">
        <v>47295</v>
      </c>
      <c r="H335" s="202"/>
      <c r="I335" s="194"/>
      <c r="J335" s="194"/>
      <c r="K335" s="194"/>
      <c r="L335" s="194"/>
      <c r="M335" s="194"/>
      <c r="N335" s="194"/>
      <c r="O335" s="192"/>
      <c r="P335" s="55" t="s">
        <v>1622</v>
      </c>
      <c r="Q335" s="33" t="s">
        <v>86</v>
      </c>
      <c r="R335" s="34" t="s">
        <v>1623</v>
      </c>
      <c r="S335" s="44" t="s">
        <v>1624</v>
      </c>
      <c r="T335" s="46"/>
      <c r="U335" s="35"/>
      <c r="V335" s="56"/>
      <c r="W335" s="46"/>
      <c r="X335" s="194"/>
      <c r="Y335" s="194"/>
      <c r="Z335" s="194"/>
      <c r="AA335" s="194"/>
      <c r="AB335" s="220"/>
    </row>
    <row r="336" spans="1:28" ht="18.600000000000001" thickTop="1">
      <c r="A336" s="249" t="s">
        <v>1625</v>
      </c>
      <c r="B336" s="26">
        <v>44342</v>
      </c>
      <c r="C336" s="27" t="s">
        <v>1626</v>
      </c>
      <c r="D336" s="28" t="s">
        <v>492</v>
      </c>
      <c r="E336" s="199"/>
      <c r="F336" s="40" t="s">
        <v>1627</v>
      </c>
      <c r="G336" s="37"/>
      <c r="H336" s="201">
        <v>4.5</v>
      </c>
      <c r="I336" s="193">
        <v>1700000</v>
      </c>
      <c r="J336" s="193">
        <v>170000</v>
      </c>
      <c r="K336" s="193">
        <v>0</v>
      </c>
      <c r="L336" s="193">
        <v>21650</v>
      </c>
      <c r="M336" s="193">
        <v>15950</v>
      </c>
      <c r="N336" s="193">
        <f>SUM(I336:M336)</f>
        <v>1907600</v>
      </c>
      <c r="O336" s="191">
        <v>1600000</v>
      </c>
      <c r="P336" s="59" t="s">
        <v>1628</v>
      </c>
      <c r="Q336" s="29" t="s">
        <v>82</v>
      </c>
      <c r="R336" s="81"/>
      <c r="S336" s="48"/>
      <c r="T336" s="50"/>
      <c r="U336" s="30"/>
      <c r="V336" s="58"/>
      <c r="W336" s="52"/>
      <c r="X336" s="193"/>
      <c r="Y336" s="206">
        <f>X336*0.1</f>
        <v>0</v>
      </c>
      <c r="Z336" s="193"/>
      <c r="AA336" s="193">
        <f>SUM(X336:Z336)</f>
        <v>0</v>
      </c>
      <c r="AB336" s="219"/>
    </row>
    <row r="337" spans="1:28" ht="18.600000000000001" thickBot="1">
      <c r="A337" s="250"/>
      <c r="B337" s="31" t="s">
        <v>815</v>
      </c>
      <c r="C337" s="31">
        <v>36118</v>
      </c>
      <c r="D337" s="32" t="s">
        <v>941</v>
      </c>
      <c r="E337" s="200"/>
      <c r="F337" s="43" t="s">
        <v>1629</v>
      </c>
      <c r="G337" s="38">
        <v>28571</v>
      </c>
      <c r="H337" s="202"/>
      <c r="I337" s="194"/>
      <c r="J337" s="194"/>
      <c r="K337" s="194"/>
      <c r="L337" s="194"/>
      <c r="M337" s="194"/>
      <c r="N337" s="194"/>
      <c r="O337" s="192"/>
      <c r="P337" s="55" t="s">
        <v>1630</v>
      </c>
      <c r="Q337" s="33" t="s">
        <v>86</v>
      </c>
      <c r="R337" s="34" t="s">
        <v>953</v>
      </c>
      <c r="S337" s="44" t="s">
        <v>1631</v>
      </c>
      <c r="T337" s="46"/>
      <c r="U337" s="35"/>
      <c r="V337" s="56"/>
      <c r="W337" s="46"/>
      <c r="X337" s="194"/>
      <c r="Y337" s="194"/>
      <c r="Z337" s="194"/>
      <c r="AA337" s="194"/>
      <c r="AB337" s="220"/>
    </row>
    <row r="338" spans="1:28" ht="18.600000000000001" thickTop="1">
      <c r="A338" s="249" t="s">
        <v>1632</v>
      </c>
      <c r="B338" s="26">
        <v>44345</v>
      </c>
      <c r="C338" s="27" t="s">
        <v>1633</v>
      </c>
      <c r="D338" s="28" t="s">
        <v>1634</v>
      </c>
      <c r="E338" s="199"/>
      <c r="F338" s="40" t="s">
        <v>1635</v>
      </c>
      <c r="G338" s="37" t="s">
        <v>1636</v>
      </c>
      <c r="H338" s="201">
        <v>4.5</v>
      </c>
      <c r="I338" s="193">
        <v>1310000</v>
      </c>
      <c r="J338" s="193">
        <v>131000</v>
      </c>
      <c r="K338" s="193">
        <v>42500</v>
      </c>
      <c r="L338" s="193">
        <v>19670</v>
      </c>
      <c r="M338" s="193">
        <v>13200</v>
      </c>
      <c r="N338" s="193">
        <f>SUM(I338:M338)</f>
        <v>1516370</v>
      </c>
      <c r="O338" s="191">
        <v>1100000</v>
      </c>
      <c r="P338" s="59" t="s">
        <v>1637</v>
      </c>
      <c r="Q338" s="29" t="s">
        <v>82</v>
      </c>
      <c r="R338" s="81"/>
      <c r="S338" s="48" t="s">
        <v>1638</v>
      </c>
      <c r="T338" s="50"/>
      <c r="U338" s="30" t="s">
        <v>1639</v>
      </c>
      <c r="V338" s="58"/>
      <c r="W338" s="52"/>
      <c r="X338" s="193"/>
      <c r="Y338" s="206">
        <f>X338*0.1</f>
        <v>0</v>
      </c>
      <c r="Z338" s="193"/>
      <c r="AA338" s="193">
        <f>SUM(X338:Z338)</f>
        <v>0</v>
      </c>
      <c r="AB338" s="219"/>
    </row>
    <row r="339" spans="1:28" ht="18.600000000000001" thickBot="1">
      <c r="A339" s="250"/>
      <c r="B339" s="31" t="s">
        <v>913</v>
      </c>
      <c r="C339" s="31">
        <v>83007</v>
      </c>
      <c r="D339" s="32" t="s">
        <v>804</v>
      </c>
      <c r="E339" s="200"/>
      <c r="F339" s="43" t="s">
        <v>1640</v>
      </c>
      <c r="G339" s="38">
        <v>28244</v>
      </c>
      <c r="H339" s="202"/>
      <c r="I339" s="194"/>
      <c r="J339" s="194"/>
      <c r="K339" s="194"/>
      <c r="L339" s="194"/>
      <c r="M339" s="194"/>
      <c r="N339" s="194"/>
      <c r="O339" s="192"/>
      <c r="P339" s="55" t="s">
        <v>1641</v>
      </c>
      <c r="Q339" s="33" t="s">
        <v>86</v>
      </c>
      <c r="R339" s="34" t="s">
        <v>764</v>
      </c>
      <c r="S339" s="44" t="s">
        <v>1642</v>
      </c>
      <c r="T339" s="46"/>
      <c r="U339" s="35" t="s">
        <v>1515</v>
      </c>
      <c r="V339" s="56"/>
      <c r="W339" s="46"/>
      <c r="X339" s="194"/>
      <c r="Y339" s="194"/>
      <c r="Z339" s="194"/>
      <c r="AA339" s="194"/>
      <c r="AB339" s="220"/>
    </row>
    <row r="340" spans="1:28" ht="18.600000000000001" thickTop="1">
      <c r="A340" s="249" t="s">
        <v>1643</v>
      </c>
      <c r="B340" s="26">
        <v>44350</v>
      </c>
      <c r="C340" s="27" t="s">
        <v>1644</v>
      </c>
      <c r="D340" s="28" t="s">
        <v>298</v>
      </c>
      <c r="E340" s="199"/>
      <c r="F340" s="40" t="s">
        <v>1645</v>
      </c>
      <c r="G340" s="37"/>
      <c r="H340" s="201">
        <v>3.5</v>
      </c>
      <c r="I340" s="193">
        <v>2175000</v>
      </c>
      <c r="J340" s="193">
        <v>217500</v>
      </c>
      <c r="K340" s="193">
        <v>0</v>
      </c>
      <c r="L340" s="193">
        <v>19180</v>
      </c>
      <c r="M340" s="193">
        <v>13200</v>
      </c>
      <c r="N340" s="193">
        <f>SUM(I340:M340)</f>
        <v>2424880</v>
      </c>
      <c r="O340" s="191">
        <v>2000000</v>
      </c>
      <c r="P340" s="59" t="s">
        <v>1646</v>
      </c>
      <c r="Q340" s="29" t="s">
        <v>82</v>
      </c>
      <c r="R340" s="81"/>
      <c r="S340" s="48" t="s">
        <v>1647</v>
      </c>
      <c r="T340" s="50"/>
      <c r="U340" s="30"/>
      <c r="V340" s="58"/>
      <c r="W340" s="52"/>
      <c r="X340" s="193"/>
      <c r="Y340" s="206">
        <f>X340*0.1</f>
        <v>0</v>
      </c>
      <c r="Z340" s="193"/>
      <c r="AA340" s="193">
        <f>SUM(X340:Z340)</f>
        <v>0</v>
      </c>
      <c r="AB340" s="219"/>
    </row>
    <row r="341" spans="1:28" ht="18.600000000000001" thickBot="1">
      <c r="A341" s="250"/>
      <c r="B341" s="31" t="s">
        <v>169</v>
      </c>
      <c r="C341" s="31">
        <v>148</v>
      </c>
      <c r="D341" s="32" t="s">
        <v>170</v>
      </c>
      <c r="E341" s="200"/>
      <c r="F341" s="43" t="s">
        <v>1648</v>
      </c>
      <c r="G341" s="38">
        <v>68042</v>
      </c>
      <c r="H341" s="202"/>
      <c r="I341" s="194"/>
      <c r="J341" s="194"/>
      <c r="K341" s="194"/>
      <c r="L341" s="194"/>
      <c r="M341" s="194"/>
      <c r="N341" s="194"/>
      <c r="O341" s="192"/>
      <c r="P341" s="55" t="s">
        <v>1649</v>
      </c>
      <c r="Q341" s="33" t="s">
        <v>86</v>
      </c>
      <c r="R341" s="34" t="s">
        <v>967</v>
      </c>
      <c r="S341" s="44" t="s">
        <v>960</v>
      </c>
      <c r="T341" s="46"/>
      <c r="U341" s="35"/>
      <c r="V341" s="56"/>
      <c r="W341" s="46"/>
      <c r="X341" s="194"/>
      <c r="Y341" s="194"/>
      <c r="Z341" s="194"/>
      <c r="AA341" s="194"/>
      <c r="AB341" s="220"/>
    </row>
    <row r="342" spans="1:28" ht="18.600000000000001" thickTop="1">
      <c r="A342" s="249" t="s">
        <v>1650</v>
      </c>
      <c r="B342" s="26">
        <v>44357</v>
      </c>
      <c r="C342" s="27" t="s">
        <v>1651</v>
      </c>
      <c r="D342" s="28" t="s">
        <v>1166</v>
      </c>
      <c r="E342" s="199"/>
      <c r="F342" s="40" t="s">
        <v>1652</v>
      </c>
      <c r="G342" s="37" t="s">
        <v>745</v>
      </c>
      <c r="H342" s="201">
        <v>4.5</v>
      </c>
      <c r="I342" s="193">
        <v>2970000</v>
      </c>
      <c r="J342" s="193">
        <v>297000</v>
      </c>
      <c r="K342" s="193">
        <v>66000</v>
      </c>
      <c r="L342" s="193">
        <v>19620</v>
      </c>
      <c r="M342" s="193">
        <v>13200</v>
      </c>
      <c r="N342" s="193">
        <f>SUM(I342:M342)</f>
        <v>3365820</v>
      </c>
      <c r="O342" s="191">
        <v>3000000</v>
      </c>
      <c r="P342" s="59" t="s">
        <v>1653</v>
      </c>
      <c r="Q342" s="29" t="s">
        <v>82</v>
      </c>
      <c r="R342" s="81"/>
      <c r="S342" s="48"/>
      <c r="T342" s="50"/>
      <c r="U342" s="30" t="s">
        <v>1654</v>
      </c>
      <c r="V342" s="58"/>
      <c r="W342" s="52"/>
      <c r="X342" s="193"/>
      <c r="Y342" s="206">
        <f>X342*0.1</f>
        <v>0</v>
      </c>
      <c r="Z342" s="193"/>
      <c r="AA342" s="193">
        <f>SUM(X342:Z342)</f>
        <v>0</v>
      </c>
      <c r="AB342" s="219"/>
    </row>
    <row r="343" spans="1:28" ht="18.600000000000001" thickBot="1">
      <c r="A343" s="250"/>
      <c r="B343" s="31" t="s">
        <v>261</v>
      </c>
      <c r="C343" s="31">
        <v>75271</v>
      </c>
      <c r="D343" s="32" t="s">
        <v>699</v>
      </c>
      <c r="E343" s="200"/>
      <c r="F343" s="43" t="s">
        <v>1655</v>
      </c>
      <c r="G343" s="38">
        <v>49543</v>
      </c>
      <c r="H343" s="202"/>
      <c r="I343" s="194"/>
      <c r="J343" s="194"/>
      <c r="K343" s="194"/>
      <c r="L343" s="194"/>
      <c r="M343" s="194"/>
      <c r="N343" s="194"/>
      <c r="O343" s="192"/>
      <c r="P343" s="55" t="s">
        <v>1557</v>
      </c>
      <c r="Q343" s="33" t="s">
        <v>86</v>
      </c>
      <c r="R343" s="34" t="s">
        <v>985</v>
      </c>
      <c r="S343" s="44" t="s">
        <v>1551</v>
      </c>
      <c r="T343" s="46"/>
      <c r="U343" s="35" t="s">
        <v>1254</v>
      </c>
      <c r="V343" s="56"/>
      <c r="W343" s="46"/>
      <c r="X343" s="194"/>
      <c r="Y343" s="194"/>
      <c r="Z343" s="194"/>
      <c r="AA343" s="194"/>
      <c r="AB343" s="220"/>
    </row>
    <row r="344" spans="1:28" ht="18.600000000000001" thickTop="1">
      <c r="A344" s="249" t="s">
        <v>1656</v>
      </c>
      <c r="B344" s="26">
        <v>44358</v>
      </c>
      <c r="C344" s="27" t="s">
        <v>1657</v>
      </c>
      <c r="D344" s="28" t="s">
        <v>420</v>
      </c>
      <c r="E344" s="199"/>
      <c r="F344" s="40" t="s">
        <v>1658</v>
      </c>
      <c r="G344" s="37"/>
      <c r="H344" s="201">
        <v>4.5</v>
      </c>
      <c r="I344" s="193">
        <v>3400000</v>
      </c>
      <c r="J344" s="193">
        <v>340000</v>
      </c>
      <c r="K344" s="193">
        <v>0</v>
      </c>
      <c r="L344" s="193">
        <v>19470</v>
      </c>
      <c r="M344" s="193">
        <v>13200</v>
      </c>
      <c r="N344" s="193">
        <f>SUM(I344:M344)</f>
        <v>3772670</v>
      </c>
      <c r="O344" s="191">
        <v>3300000</v>
      </c>
      <c r="P344" s="59" t="s">
        <v>1659</v>
      </c>
      <c r="Q344" s="29" t="s">
        <v>82</v>
      </c>
      <c r="R344" s="81"/>
      <c r="S344" s="48" t="s">
        <v>1573</v>
      </c>
      <c r="T344" s="50"/>
      <c r="U344" s="30"/>
      <c r="V344" s="58"/>
      <c r="W344" s="52"/>
      <c r="X344" s="193"/>
      <c r="Y344" s="206">
        <f>X344*0.1</f>
        <v>0</v>
      </c>
      <c r="Z344" s="193"/>
      <c r="AA344" s="193">
        <f>SUM(X344:Z344)</f>
        <v>0</v>
      </c>
      <c r="AB344" s="219"/>
    </row>
    <row r="345" spans="1:28" ht="18.600000000000001" thickBot="1">
      <c r="A345" s="250"/>
      <c r="B345" s="31" t="s">
        <v>120</v>
      </c>
      <c r="C345" s="31">
        <v>58530</v>
      </c>
      <c r="D345" s="32" t="s">
        <v>91</v>
      </c>
      <c r="E345" s="200"/>
      <c r="F345" s="43" t="s">
        <v>1660</v>
      </c>
      <c r="G345" s="38">
        <v>55552</v>
      </c>
      <c r="H345" s="202"/>
      <c r="I345" s="194"/>
      <c r="J345" s="194"/>
      <c r="K345" s="194"/>
      <c r="L345" s="194"/>
      <c r="M345" s="194"/>
      <c r="N345" s="194"/>
      <c r="O345" s="192"/>
      <c r="P345" s="55" t="s">
        <v>1661</v>
      </c>
      <c r="Q345" s="33" t="s">
        <v>86</v>
      </c>
      <c r="R345" s="34" t="s">
        <v>985</v>
      </c>
      <c r="S345" s="44" t="s">
        <v>1573</v>
      </c>
      <c r="T345" s="46"/>
      <c r="U345" s="35"/>
      <c r="V345" s="56"/>
      <c r="W345" s="46"/>
      <c r="X345" s="194"/>
      <c r="Y345" s="194"/>
      <c r="Z345" s="194"/>
      <c r="AA345" s="194"/>
      <c r="AB345" s="220"/>
    </row>
    <row r="346" spans="1:28" ht="18.600000000000001" thickTop="1">
      <c r="A346" s="249" t="s">
        <v>1662</v>
      </c>
      <c r="B346" s="26">
        <v>44364</v>
      </c>
      <c r="C346" s="36">
        <v>1326</v>
      </c>
      <c r="D346" s="28" t="s">
        <v>1663</v>
      </c>
      <c r="E346" s="199"/>
      <c r="F346" s="40" t="s">
        <v>1664</v>
      </c>
      <c r="G346" s="37"/>
      <c r="H346" s="201">
        <v>4.5</v>
      </c>
      <c r="I346" s="193">
        <v>3555000</v>
      </c>
      <c r="J346" s="193">
        <v>355500</v>
      </c>
      <c r="K346" s="193">
        <v>0</v>
      </c>
      <c r="L346" s="193">
        <v>16930</v>
      </c>
      <c r="M346" s="193">
        <v>13200</v>
      </c>
      <c r="N346" s="193">
        <f>SUM(I346:M346)</f>
        <v>3940630</v>
      </c>
      <c r="O346" s="191">
        <v>3600000</v>
      </c>
      <c r="P346" s="59" t="s">
        <v>1665</v>
      </c>
      <c r="Q346" s="29" t="s">
        <v>82</v>
      </c>
      <c r="R346" s="81"/>
      <c r="S346" s="48" t="s">
        <v>1666</v>
      </c>
      <c r="T346" s="50"/>
      <c r="U346" s="30"/>
      <c r="V346" s="58"/>
      <c r="W346" s="52"/>
      <c r="X346" s="193"/>
      <c r="Y346" s="206">
        <f>X346*0.1</f>
        <v>0</v>
      </c>
      <c r="Z346" s="193"/>
      <c r="AA346" s="193">
        <f>SUM(X346:Z346)</f>
        <v>0</v>
      </c>
      <c r="AB346" s="219"/>
    </row>
    <row r="347" spans="1:28" ht="18.600000000000001" thickBot="1">
      <c r="A347" s="250"/>
      <c r="B347" s="31" t="s">
        <v>261</v>
      </c>
      <c r="C347" s="31">
        <v>75828</v>
      </c>
      <c r="D347" s="32" t="s">
        <v>101</v>
      </c>
      <c r="E347" s="200"/>
      <c r="F347" s="43" t="s">
        <v>1667</v>
      </c>
      <c r="G347" s="38">
        <v>48701</v>
      </c>
      <c r="H347" s="202"/>
      <c r="I347" s="194"/>
      <c r="J347" s="194"/>
      <c r="K347" s="194"/>
      <c r="L347" s="194"/>
      <c r="M347" s="194"/>
      <c r="N347" s="194"/>
      <c r="O347" s="192"/>
      <c r="P347" s="55" t="s">
        <v>1668</v>
      </c>
      <c r="Q347" s="33" t="s">
        <v>86</v>
      </c>
      <c r="R347" s="34" t="s">
        <v>1005</v>
      </c>
      <c r="S347" s="44" t="s">
        <v>1504</v>
      </c>
      <c r="T347" s="46"/>
      <c r="U347" s="35"/>
      <c r="V347" s="56"/>
      <c r="W347" s="46"/>
      <c r="X347" s="194"/>
      <c r="Y347" s="194"/>
      <c r="Z347" s="194"/>
      <c r="AA347" s="194"/>
      <c r="AB347" s="220"/>
    </row>
    <row r="348" spans="1:28" ht="18.600000000000001" thickTop="1">
      <c r="A348" s="249" t="s">
        <v>1669</v>
      </c>
      <c r="B348" s="26">
        <v>44371</v>
      </c>
      <c r="C348" s="36">
        <v>1327</v>
      </c>
      <c r="D348" s="28" t="s">
        <v>1045</v>
      </c>
      <c r="E348" s="199"/>
      <c r="F348" s="40" t="s">
        <v>1670</v>
      </c>
      <c r="G348" s="37" t="s">
        <v>1671</v>
      </c>
      <c r="H348" s="201">
        <v>4.5</v>
      </c>
      <c r="I348" s="193">
        <v>2960000</v>
      </c>
      <c r="J348" s="193">
        <v>296000</v>
      </c>
      <c r="K348" s="193">
        <v>49800</v>
      </c>
      <c r="L348" s="193">
        <v>19270</v>
      </c>
      <c r="M348" s="193">
        <v>13200</v>
      </c>
      <c r="N348" s="193">
        <f>SUM(I348:M348)</f>
        <v>3338270</v>
      </c>
      <c r="O348" s="191">
        <v>3000000</v>
      </c>
      <c r="P348" s="59" t="s">
        <v>1672</v>
      </c>
      <c r="Q348" s="29" t="s">
        <v>82</v>
      </c>
      <c r="R348" s="81"/>
      <c r="S348" s="48" t="s">
        <v>1494</v>
      </c>
      <c r="T348" s="50"/>
      <c r="U348" s="30" t="s">
        <v>1673</v>
      </c>
      <c r="V348" s="58"/>
      <c r="W348" s="52"/>
      <c r="X348" s="193"/>
      <c r="Y348" s="206">
        <f>X348*0.1</f>
        <v>0</v>
      </c>
      <c r="Z348" s="193"/>
      <c r="AA348" s="193">
        <f>SUM(X348:Z348)</f>
        <v>0</v>
      </c>
      <c r="AB348" s="219"/>
    </row>
    <row r="349" spans="1:28" ht="18.600000000000001" thickBot="1">
      <c r="A349" s="250"/>
      <c r="B349" s="31" t="s">
        <v>261</v>
      </c>
      <c r="C349" s="31">
        <v>75829</v>
      </c>
      <c r="D349" s="32" t="s">
        <v>101</v>
      </c>
      <c r="E349" s="200"/>
      <c r="F349" s="43" t="s">
        <v>1674</v>
      </c>
      <c r="G349" s="38">
        <v>49885</v>
      </c>
      <c r="H349" s="202"/>
      <c r="I349" s="194"/>
      <c r="J349" s="194"/>
      <c r="K349" s="194"/>
      <c r="L349" s="194"/>
      <c r="M349" s="194"/>
      <c r="N349" s="194"/>
      <c r="O349" s="192"/>
      <c r="P349" s="55" t="s">
        <v>1675</v>
      </c>
      <c r="Q349" s="33" t="s">
        <v>86</v>
      </c>
      <c r="R349" s="34" t="s">
        <v>1014</v>
      </c>
      <c r="S349" s="44" t="s">
        <v>1676</v>
      </c>
      <c r="T349" s="46"/>
      <c r="U349" s="35" t="s">
        <v>122</v>
      </c>
      <c r="V349" s="56"/>
      <c r="W349" s="46"/>
      <c r="X349" s="194"/>
      <c r="Y349" s="194"/>
      <c r="Z349" s="194"/>
      <c r="AA349" s="194"/>
      <c r="AB349" s="220"/>
    </row>
    <row r="350" spans="1:28" ht="18.600000000000001" thickTop="1">
      <c r="A350" s="249" t="s">
        <v>1677</v>
      </c>
      <c r="B350" s="26">
        <v>44373</v>
      </c>
      <c r="C350" s="36">
        <v>1061</v>
      </c>
      <c r="D350" s="28" t="s">
        <v>1443</v>
      </c>
      <c r="E350" s="199"/>
      <c r="F350" s="40" t="s">
        <v>1678</v>
      </c>
      <c r="G350" s="37" t="s">
        <v>1679</v>
      </c>
      <c r="H350" s="201">
        <v>4.5</v>
      </c>
      <c r="I350" s="193">
        <v>2330000</v>
      </c>
      <c r="J350" s="193">
        <v>233000</v>
      </c>
      <c r="K350" s="193">
        <v>29600</v>
      </c>
      <c r="L350" s="193">
        <v>16930</v>
      </c>
      <c r="M350" s="193">
        <v>13200</v>
      </c>
      <c r="N350" s="193">
        <f>SUM(I350:M350)</f>
        <v>2622730</v>
      </c>
      <c r="O350" s="191">
        <v>2000000</v>
      </c>
      <c r="P350" s="59" t="s">
        <v>1680</v>
      </c>
      <c r="Q350" s="29" t="s">
        <v>82</v>
      </c>
      <c r="R350" s="81"/>
      <c r="S350" s="48" t="s">
        <v>1540</v>
      </c>
      <c r="T350" s="50"/>
      <c r="U350" s="30" t="s">
        <v>1681</v>
      </c>
      <c r="V350" s="58"/>
      <c r="W350" s="52"/>
      <c r="X350" s="193"/>
      <c r="Y350" s="206">
        <f>X350*0.1</f>
        <v>0</v>
      </c>
      <c r="Z350" s="193"/>
      <c r="AA350" s="193">
        <f>SUM(X350:Z350)</f>
        <v>0</v>
      </c>
      <c r="AB350" s="219"/>
    </row>
    <row r="351" spans="1:28" ht="18.600000000000001" thickBot="1">
      <c r="A351" s="250"/>
      <c r="B351" s="31" t="s">
        <v>148</v>
      </c>
      <c r="C351" s="31">
        <v>82178</v>
      </c>
      <c r="D351" s="32" t="s">
        <v>1478</v>
      </c>
      <c r="E351" s="200"/>
      <c r="F351" s="43" t="s">
        <v>1682</v>
      </c>
      <c r="G351" s="38">
        <v>27469</v>
      </c>
      <c r="H351" s="202"/>
      <c r="I351" s="194"/>
      <c r="J351" s="194"/>
      <c r="K351" s="194"/>
      <c r="L351" s="194"/>
      <c r="M351" s="194"/>
      <c r="N351" s="194"/>
      <c r="O351" s="192"/>
      <c r="P351" s="55" t="s">
        <v>1683</v>
      </c>
      <c r="Q351" s="33" t="s">
        <v>86</v>
      </c>
      <c r="R351" s="34" t="s">
        <v>1684</v>
      </c>
      <c r="S351" s="44" t="s">
        <v>1504</v>
      </c>
      <c r="T351" s="46"/>
      <c r="U351" s="35" t="s">
        <v>1515</v>
      </c>
      <c r="V351" s="56"/>
      <c r="W351" s="46"/>
      <c r="X351" s="194"/>
      <c r="Y351" s="194"/>
      <c r="Z351" s="194"/>
      <c r="AA351" s="194"/>
      <c r="AB351" s="220"/>
    </row>
    <row r="352" spans="1:28" ht="18.600000000000001" thickTop="1">
      <c r="A352" s="249" t="s">
        <v>1685</v>
      </c>
      <c r="B352" s="26">
        <v>44378</v>
      </c>
      <c r="C352" s="36">
        <v>1094</v>
      </c>
      <c r="D352" s="28" t="s">
        <v>1686</v>
      </c>
      <c r="E352" s="199"/>
      <c r="F352" s="40" t="s">
        <v>1687</v>
      </c>
      <c r="G352" s="37" t="s">
        <v>1315</v>
      </c>
      <c r="H352" s="201">
        <v>4.5</v>
      </c>
      <c r="I352" s="193">
        <v>1445000</v>
      </c>
      <c r="J352" s="193">
        <v>144500</v>
      </c>
      <c r="K352" s="193">
        <v>26300</v>
      </c>
      <c r="L352" s="193">
        <v>19750</v>
      </c>
      <c r="M352" s="193">
        <v>13200</v>
      </c>
      <c r="N352" s="193">
        <f>SUM(I352:M352)</f>
        <v>1648750</v>
      </c>
      <c r="O352" s="191">
        <v>1250000</v>
      </c>
      <c r="P352" s="59" t="s">
        <v>1688</v>
      </c>
      <c r="Q352" s="29" t="s">
        <v>82</v>
      </c>
      <c r="R352" s="81"/>
      <c r="S352" s="48" t="s">
        <v>1494</v>
      </c>
      <c r="T352" s="50"/>
      <c r="U352" s="30" t="s">
        <v>1689</v>
      </c>
      <c r="V352" s="58"/>
      <c r="W352" s="52"/>
      <c r="X352" s="193"/>
      <c r="Y352" s="206">
        <f>X352*0.1</f>
        <v>0</v>
      </c>
      <c r="Z352" s="193"/>
      <c r="AA352" s="193">
        <f>SUM(X352:Z352)</f>
        <v>0</v>
      </c>
      <c r="AB352" s="219"/>
    </row>
    <row r="353" spans="1:28" ht="18.600000000000001" thickBot="1">
      <c r="A353" s="250"/>
      <c r="B353" s="31" t="s">
        <v>169</v>
      </c>
      <c r="C353" s="31">
        <v>102</v>
      </c>
      <c r="D353" s="32" t="s">
        <v>91</v>
      </c>
      <c r="E353" s="200"/>
      <c r="F353" s="43" t="s">
        <v>1690</v>
      </c>
      <c r="G353" s="38">
        <v>50677</v>
      </c>
      <c r="H353" s="202"/>
      <c r="I353" s="194"/>
      <c r="J353" s="194"/>
      <c r="K353" s="194"/>
      <c r="L353" s="194"/>
      <c r="M353" s="194"/>
      <c r="N353" s="194"/>
      <c r="O353" s="192"/>
      <c r="P353" s="55" t="s">
        <v>902</v>
      </c>
      <c r="Q353" s="33" t="s">
        <v>86</v>
      </c>
      <c r="R353" s="34" t="s">
        <v>1691</v>
      </c>
      <c r="S353" s="44" t="s">
        <v>1559</v>
      </c>
      <c r="T353" s="46"/>
      <c r="U353" s="35" t="s">
        <v>1254</v>
      </c>
      <c r="V353" s="56"/>
      <c r="W353" s="46"/>
      <c r="X353" s="194"/>
      <c r="Y353" s="194"/>
      <c r="Z353" s="194"/>
      <c r="AA353" s="194"/>
      <c r="AB353" s="220"/>
    </row>
    <row r="354" spans="1:28" ht="18.600000000000001" thickTop="1">
      <c r="A354" s="249" t="s">
        <v>1692</v>
      </c>
      <c r="B354" s="26">
        <v>44385</v>
      </c>
      <c r="C354" s="36">
        <v>1329</v>
      </c>
      <c r="D354" s="28" t="s">
        <v>1230</v>
      </c>
      <c r="E354" s="199"/>
      <c r="F354" s="40" t="s">
        <v>1693</v>
      </c>
      <c r="G354" s="37" t="s">
        <v>745</v>
      </c>
      <c r="H354" s="201">
        <v>4</v>
      </c>
      <c r="I354" s="193">
        <v>1765000</v>
      </c>
      <c r="J354" s="193">
        <v>176500</v>
      </c>
      <c r="K354" s="193">
        <v>26300</v>
      </c>
      <c r="L354" s="193">
        <v>22240</v>
      </c>
      <c r="M354" s="193">
        <v>13200</v>
      </c>
      <c r="N354" s="193">
        <f>SUM(I354:M354)</f>
        <v>2003240</v>
      </c>
      <c r="O354" s="191">
        <v>1700000</v>
      </c>
      <c r="P354" s="59" t="s">
        <v>1694</v>
      </c>
      <c r="Q354" s="29" t="s">
        <v>82</v>
      </c>
      <c r="R354" s="81"/>
      <c r="S354" s="48" t="s">
        <v>1279</v>
      </c>
      <c r="T354" s="50"/>
      <c r="U354" s="30" t="s">
        <v>1695</v>
      </c>
      <c r="V354" s="58"/>
      <c r="W354" s="52"/>
      <c r="X354" s="193"/>
      <c r="Y354" s="206">
        <f>X354*0.1</f>
        <v>0</v>
      </c>
      <c r="Z354" s="193"/>
      <c r="AA354" s="193">
        <f>SUM(X354:Z354)</f>
        <v>0</v>
      </c>
      <c r="AB354" s="219"/>
    </row>
    <row r="355" spans="1:28" ht="18.600000000000001" thickBot="1">
      <c r="A355" s="250"/>
      <c r="B355" s="31" t="s">
        <v>261</v>
      </c>
      <c r="C355" s="31">
        <v>70291</v>
      </c>
      <c r="D355" s="32" t="s">
        <v>593</v>
      </c>
      <c r="E355" s="200"/>
      <c r="F355" s="43" t="s">
        <v>1696</v>
      </c>
      <c r="G355" s="38">
        <v>46346</v>
      </c>
      <c r="H355" s="202"/>
      <c r="I355" s="194"/>
      <c r="J355" s="194"/>
      <c r="K355" s="194"/>
      <c r="L355" s="194"/>
      <c r="M355" s="194"/>
      <c r="N355" s="194"/>
      <c r="O355" s="192"/>
      <c r="P355" s="55" t="s">
        <v>1697</v>
      </c>
      <c r="Q355" s="33" t="s">
        <v>86</v>
      </c>
      <c r="R355" s="34" t="s">
        <v>1698</v>
      </c>
      <c r="S355" s="44" t="s">
        <v>1699</v>
      </c>
      <c r="T355" s="46"/>
      <c r="U355" s="35" t="s">
        <v>1254</v>
      </c>
      <c r="V355" s="56"/>
      <c r="W355" s="46"/>
      <c r="X355" s="194"/>
      <c r="Y355" s="194"/>
      <c r="Z355" s="194"/>
      <c r="AA355" s="194"/>
      <c r="AB355" s="220"/>
    </row>
    <row r="356" spans="1:28" ht="18.600000000000001" thickTop="1">
      <c r="A356" s="249" t="s">
        <v>1700</v>
      </c>
      <c r="B356" s="26">
        <v>44386</v>
      </c>
      <c r="C356" s="36">
        <v>1898</v>
      </c>
      <c r="D356" s="28" t="s">
        <v>706</v>
      </c>
      <c r="E356" s="199"/>
      <c r="F356" s="40" t="s">
        <v>799</v>
      </c>
      <c r="G356" s="37" t="s">
        <v>1701</v>
      </c>
      <c r="H356" s="201">
        <v>4.5</v>
      </c>
      <c r="I356" s="193">
        <v>3020000</v>
      </c>
      <c r="J356" s="193">
        <v>302000</v>
      </c>
      <c r="K356" s="193">
        <v>44300</v>
      </c>
      <c r="L356" s="193">
        <v>19270</v>
      </c>
      <c r="M356" s="193">
        <v>13200</v>
      </c>
      <c r="N356" s="193">
        <f>SUM(I356:M356)</f>
        <v>3398770</v>
      </c>
      <c r="O356" s="191">
        <v>3000000</v>
      </c>
      <c r="P356" s="59" t="s">
        <v>1702</v>
      </c>
      <c r="Q356" s="29" t="s">
        <v>82</v>
      </c>
      <c r="R356" s="81"/>
      <c r="S356" s="48" t="s">
        <v>1703</v>
      </c>
      <c r="T356" s="50"/>
      <c r="U356" s="30"/>
      <c r="V356" s="58"/>
      <c r="W356" s="52"/>
      <c r="X356" s="193"/>
      <c r="Y356" s="206">
        <f>X356*0.1</f>
        <v>0</v>
      </c>
      <c r="Z356" s="193"/>
      <c r="AA356" s="193">
        <f>SUM(X356:Z356)</f>
        <v>0</v>
      </c>
      <c r="AB356" s="219"/>
    </row>
    <row r="357" spans="1:28" ht="18.600000000000001" thickBot="1">
      <c r="A357" s="250"/>
      <c r="B357" s="31" t="s">
        <v>120</v>
      </c>
      <c r="C357" s="31">
        <v>58095</v>
      </c>
      <c r="D357" s="32" t="s">
        <v>170</v>
      </c>
      <c r="E357" s="200"/>
      <c r="F357" s="43" t="s">
        <v>1704</v>
      </c>
      <c r="G357" s="38">
        <v>60528</v>
      </c>
      <c r="H357" s="202"/>
      <c r="I357" s="194"/>
      <c r="J357" s="194"/>
      <c r="K357" s="194"/>
      <c r="L357" s="194"/>
      <c r="M357" s="194"/>
      <c r="N357" s="194"/>
      <c r="O357" s="192"/>
      <c r="P357" s="55" t="s">
        <v>1705</v>
      </c>
      <c r="Q357" s="33" t="s">
        <v>86</v>
      </c>
      <c r="R357" s="34" t="s">
        <v>1706</v>
      </c>
      <c r="S357" s="44" t="s">
        <v>1707</v>
      </c>
      <c r="T357" s="46"/>
      <c r="U357" s="35" t="s">
        <v>1100</v>
      </c>
      <c r="V357" s="56"/>
      <c r="W357" s="46"/>
      <c r="X357" s="194"/>
      <c r="Y357" s="194"/>
      <c r="Z357" s="194"/>
      <c r="AA357" s="194"/>
      <c r="AB357" s="220"/>
    </row>
    <row r="358" spans="1:28" ht="18.600000000000001" thickTop="1">
      <c r="A358" s="249" t="s">
        <v>1708</v>
      </c>
      <c r="B358" s="26">
        <v>44392</v>
      </c>
      <c r="C358" s="36">
        <v>1330</v>
      </c>
      <c r="D358" s="28" t="s">
        <v>506</v>
      </c>
      <c r="E358" s="199"/>
      <c r="F358" s="40" t="s">
        <v>1709</v>
      </c>
      <c r="G358" s="37"/>
      <c r="H358" s="201">
        <v>4</v>
      </c>
      <c r="I358" s="193">
        <v>3580000</v>
      </c>
      <c r="J358" s="193">
        <v>358000</v>
      </c>
      <c r="K358" s="193">
        <v>0</v>
      </c>
      <c r="L358" s="193">
        <v>18510</v>
      </c>
      <c r="M358" s="193">
        <v>13200</v>
      </c>
      <c r="N358" s="193">
        <f>SUM(I358:M358)</f>
        <v>3969710</v>
      </c>
      <c r="O358" s="191">
        <v>3600000</v>
      </c>
      <c r="P358" s="59" t="s">
        <v>1710</v>
      </c>
      <c r="Q358" s="29" t="s">
        <v>82</v>
      </c>
      <c r="R358" s="81"/>
      <c r="S358" s="48" t="s">
        <v>1596</v>
      </c>
      <c r="T358" s="50"/>
      <c r="U358" s="30"/>
      <c r="V358" s="58"/>
      <c r="W358" s="52"/>
      <c r="X358" s="193"/>
      <c r="Y358" s="206">
        <f>X358*0.1</f>
        <v>0</v>
      </c>
      <c r="Z358" s="193"/>
      <c r="AA358" s="193">
        <f>SUM(X358:Z358)</f>
        <v>0</v>
      </c>
      <c r="AB358" s="219"/>
    </row>
    <row r="359" spans="1:28" ht="18.600000000000001" thickBot="1">
      <c r="A359" s="250"/>
      <c r="B359" s="31" t="s">
        <v>261</v>
      </c>
      <c r="C359" s="31">
        <v>75413</v>
      </c>
      <c r="D359" s="32" t="s">
        <v>101</v>
      </c>
      <c r="E359" s="200"/>
      <c r="F359" s="43" t="s">
        <v>1711</v>
      </c>
      <c r="G359" s="38">
        <v>48057</v>
      </c>
      <c r="H359" s="202"/>
      <c r="I359" s="194"/>
      <c r="J359" s="194"/>
      <c r="K359" s="194"/>
      <c r="L359" s="194"/>
      <c r="M359" s="194"/>
      <c r="N359" s="194"/>
      <c r="O359" s="192"/>
      <c r="P359" s="55" t="s">
        <v>1712</v>
      </c>
      <c r="Q359" s="33" t="s">
        <v>86</v>
      </c>
      <c r="R359" s="34" t="s">
        <v>1713</v>
      </c>
      <c r="S359" s="44" t="s">
        <v>1596</v>
      </c>
      <c r="T359" s="46"/>
      <c r="U359" s="35"/>
      <c r="V359" s="56"/>
      <c r="W359" s="46"/>
      <c r="X359" s="194"/>
      <c r="Y359" s="194"/>
      <c r="Z359" s="194"/>
      <c r="AA359" s="194"/>
      <c r="AB359" s="220"/>
    </row>
    <row r="360" spans="1:28" ht="18.600000000000001" thickTop="1">
      <c r="A360" s="249" t="s">
        <v>1714</v>
      </c>
      <c r="B360" s="26">
        <v>44392</v>
      </c>
      <c r="C360" s="36">
        <v>1096</v>
      </c>
      <c r="D360" s="28" t="s">
        <v>1715</v>
      </c>
      <c r="E360" s="199"/>
      <c r="F360" s="40" t="s">
        <v>1716</v>
      </c>
      <c r="G360" s="37"/>
      <c r="H360" s="201">
        <v>4</v>
      </c>
      <c r="I360" s="193">
        <v>1430000</v>
      </c>
      <c r="J360" s="193">
        <v>143000</v>
      </c>
      <c r="K360" s="193">
        <v>0</v>
      </c>
      <c r="L360" s="193">
        <v>20310</v>
      </c>
      <c r="M360" s="193">
        <v>13200</v>
      </c>
      <c r="N360" s="193">
        <f>SUM(I360:M360)</f>
        <v>1606510</v>
      </c>
      <c r="O360" s="191">
        <v>1300000</v>
      </c>
      <c r="P360" s="59" t="s">
        <v>1717</v>
      </c>
      <c r="Q360" s="29" t="s">
        <v>82</v>
      </c>
      <c r="R360" s="81"/>
      <c r="S360" s="48" t="s">
        <v>1540</v>
      </c>
      <c r="T360" s="50"/>
      <c r="U360" s="30"/>
      <c r="V360" s="58"/>
      <c r="W360" s="52"/>
      <c r="X360" s="193"/>
      <c r="Y360" s="206">
        <f>X360*0.1</f>
        <v>0</v>
      </c>
      <c r="Z360" s="193"/>
      <c r="AA360" s="193">
        <f>SUM(X360:Z360)</f>
        <v>0</v>
      </c>
      <c r="AB360" s="219"/>
    </row>
    <row r="361" spans="1:28" ht="18.600000000000001" thickBot="1">
      <c r="A361" s="250"/>
      <c r="B361" s="31" t="s">
        <v>169</v>
      </c>
      <c r="C361" s="31">
        <v>382</v>
      </c>
      <c r="D361" s="32" t="s">
        <v>221</v>
      </c>
      <c r="E361" s="200"/>
      <c r="F361" s="43" t="s">
        <v>1718</v>
      </c>
      <c r="G361" s="38">
        <v>27375</v>
      </c>
      <c r="H361" s="202"/>
      <c r="I361" s="194"/>
      <c r="J361" s="194"/>
      <c r="K361" s="194"/>
      <c r="L361" s="194"/>
      <c r="M361" s="194"/>
      <c r="N361" s="194"/>
      <c r="O361" s="192"/>
      <c r="P361" s="55" t="s">
        <v>1719</v>
      </c>
      <c r="Q361" s="33" t="s">
        <v>86</v>
      </c>
      <c r="R361" s="34" t="s">
        <v>1720</v>
      </c>
      <c r="S361" s="44" t="s">
        <v>1504</v>
      </c>
      <c r="T361" s="46"/>
      <c r="U361" s="35"/>
      <c r="V361" s="56"/>
      <c r="W361" s="46"/>
      <c r="X361" s="194"/>
      <c r="Y361" s="194"/>
      <c r="Z361" s="194"/>
      <c r="AA361" s="194"/>
      <c r="AB361" s="220"/>
    </row>
    <row r="362" spans="1:28" ht="18.600000000000001" thickTop="1">
      <c r="A362" s="249" t="s">
        <v>1721</v>
      </c>
      <c r="B362" s="26">
        <v>44392</v>
      </c>
      <c r="C362" s="36">
        <v>1096</v>
      </c>
      <c r="D362" s="28" t="s">
        <v>1686</v>
      </c>
      <c r="E362" s="199"/>
      <c r="F362" s="40" t="s">
        <v>1722</v>
      </c>
      <c r="G362" s="37" t="s">
        <v>745</v>
      </c>
      <c r="H362" s="201">
        <v>4.5</v>
      </c>
      <c r="I362" s="193">
        <v>1940000</v>
      </c>
      <c r="J362" s="193">
        <v>194000</v>
      </c>
      <c r="K362" s="193">
        <v>26300</v>
      </c>
      <c r="L362" s="193">
        <v>19100</v>
      </c>
      <c r="M362" s="193">
        <v>13200</v>
      </c>
      <c r="N362" s="193">
        <f>SUM(I362:M362)</f>
        <v>2192600</v>
      </c>
      <c r="O362" s="191">
        <v>1600000</v>
      </c>
      <c r="P362" s="59" t="s">
        <v>1723</v>
      </c>
      <c r="Q362" s="29" t="s">
        <v>82</v>
      </c>
      <c r="R362" s="81"/>
      <c r="S362" s="48" t="s">
        <v>1724</v>
      </c>
      <c r="T362" s="50"/>
      <c r="U362" s="30" t="s">
        <v>1725</v>
      </c>
      <c r="V362" s="58"/>
      <c r="W362" s="52"/>
      <c r="X362" s="193"/>
      <c r="Y362" s="206">
        <f>X362*0.1</f>
        <v>0</v>
      </c>
      <c r="Z362" s="193"/>
      <c r="AA362" s="193">
        <f>SUM(X362:Z362)</f>
        <v>0</v>
      </c>
      <c r="AB362" s="219"/>
    </row>
    <row r="363" spans="1:28" ht="18.600000000000001" thickBot="1">
      <c r="A363" s="250"/>
      <c r="B363" s="31" t="s">
        <v>169</v>
      </c>
      <c r="C363" s="31">
        <v>505</v>
      </c>
      <c r="D363" s="32" t="s">
        <v>101</v>
      </c>
      <c r="E363" s="200"/>
      <c r="F363" s="43" t="s">
        <v>1726</v>
      </c>
      <c r="G363" s="38">
        <v>51128</v>
      </c>
      <c r="H363" s="202"/>
      <c r="I363" s="194"/>
      <c r="J363" s="194"/>
      <c r="K363" s="194"/>
      <c r="L363" s="194"/>
      <c r="M363" s="194"/>
      <c r="N363" s="194"/>
      <c r="O363" s="192"/>
      <c r="P363" s="55" t="s">
        <v>1727</v>
      </c>
      <c r="Q363" s="33" t="s">
        <v>86</v>
      </c>
      <c r="R363" s="34" t="s">
        <v>1728</v>
      </c>
      <c r="S363" s="44" t="s">
        <v>1729</v>
      </c>
      <c r="T363" s="46" t="s">
        <v>1730</v>
      </c>
      <c r="U363" s="35" t="s">
        <v>1254</v>
      </c>
      <c r="V363" s="56"/>
      <c r="W363" s="46"/>
      <c r="X363" s="194"/>
      <c r="Y363" s="194"/>
      <c r="Z363" s="194"/>
      <c r="AA363" s="194"/>
      <c r="AB363" s="220"/>
    </row>
    <row r="364" spans="1:28" ht="18.600000000000001" thickTop="1">
      <c r="A364" s="249" t="s">
        <v>1731</v>
      </c>
      <c r="B364" s="26">
        <v>44399</v>
      </c>
      <c r="C364" s="36">
        <v>1331</v>
      </c>
      <c r="D364" s="28" t="s">
        <v>1732</v>
      </c>
      <c r="E364" s="199"/>
      <c r="F364" s="40" t="s">
        <v>299</v>
      </c>
      <c r="G364" s="37" t="s">
        <v>1733</v>
      </c>
      <c r="H364" s="201">
        <v>4.5</v>
      </c>
      <c r="I364" s="193">
        <v>1115000</v>
      </c>
      <c r="J364" s="193">
        <v>111500</v>
      </c>
      <c r="K364" s="193">
        <v>26300</v>
      </c>
      <c r="L364" s="193">
        <v>16190</v>
      </c>
      <c r="M364" s="193">
        <v>13200</v>
      </c>
      <c r="N364" s="193">
        <f>SUM(I364:M364)</f>
        <v>1282190</v>
      </c>
      <c r="O364" s="191">
        <v>700000</v>
      </c>
      <c r="P364" s="59" t="s">
        <v>1734</v>
      </c>
      <c r="Q364" s="29" t="s">
        <v>82</v>
      </c>
      <c r="R364" s="81"/>
      <c r="S364" s="48" t="s">
        <v>940</v>
      </c>
      <c r="T364" s="50"/>
      <c r="U364" s="30" t="s">
        <v>1735</v>
      </c>
      <c r="V364" s="58"/>
      <c r="W364" s="52"/>
      <c r="X364" s="193"/>
      <c r="Y364" s="206">
        <f>X364*0.1</f>
        <v>0</v>
      </c>
      <c r="Z364" s="193"/>
      <c r="AA364" s="193">
        <f>SUM(X364:Z364)</f>
        <v>0</v>
      </c>
      <c r="AB364" s="219"/>
    </row>
    <row r="365" spans="1:28" ht="18.600000000000001" thickBot="1">
      <c r="A365" s="250"/>
      <c r="B365" s="31" t="s">
        <v>261</v>
      </c>
      <c r="C365" s="31">
        <v>75908</v>
      </c>
      <c r="D365" s="32" t="s">
        <v>593</v>
      </c>
      <c r="E365" s="200"/>
      <c r="F365" s="43" t="s">
        <v>1736</v>
      </c>
      <c r="G365" s="38">
        <v>48553</v>
      </c>
      <c r="H365" s="202"/>
      <c r="I365" s="194"/>
      <c r="J365" s="194"/>
      <c r="K365" s="194"/>
      <c r="L365" s="194"/>
      <c r="M365" s="194"/>
      <c r="N365" s="194"/>
      <c r="O365" s="192"/>
      <c r="P365" s="55" t="s">
        <v>1737</v>
      </c>
      <c r="Q365" s="33" t="s">
        <v>86</v>
      </c>
      <c r="R365" s="34" t="s">
        <v>1174</v>
      </c>
      <c r="S365" s="44" t="s">
        <v>1738</v>
      </c>
      <c r="T365" s="46"/>
      <c r="U365" s="35" t="s">
        <v>1515</v>
      </c>
      <c r="V365" s="56"/>
      <c r="W365" s="46"/>
      <c r="X365" s="194"/>
      <c r="Y365" s="194"/>
      <c r="Z365" s="194"/>
      <c r="AA365" s="194"/>
      <c r="AB365" s="220"/>
    </row>
    <row r="366" spans="1:28" ht="18.600000000000001" thickTop="1">
      <c r="A366" s="249" t="s">
        <v>1739</v>
      </c>
      <c r="B366" s="26">
        <v>44399</v>
      </c>
      <c r="C366" s="36">
        <v>1097</v>
      </c>
      <c r="D366" s="28" t="s">
        <v>1732</v>
      </c>
      <c r="E366" s="199"/>
      <c r="F366" s="40" t="s">
        <v>299</v>
      </c>
      <c r="G366" s="37"/>
      <c r="H366" s="201">
        <v>4.5</v>
      </c>
      <c r="I366" s="193">
        <v>1090000</v>
      </c>
      <c r="J366" s="193">
        <v>109000</v>
      </c>
      <c r="K366" s="193">
        <v>0</v>
      </c>
      <c r="L366" s="193">
        <v>15540</v>
      </c>
      <c r="M366" s="193">
        <v>13200</v>
      </c>
      <c r="N366" s="193">
        <f>SUM(I366:M366)</f>
        <v>1227740</v>
      </c>
      <c r="O366" s="191">
        <v>800000</v>
      </c>
      <c r="P366" s="59" t="s">
        <v>1740</v>
      </c>
      <c r="Q366" s="29" t="s">
        <v>82</v>
      </c>
      <c r="R366" s="81"/>
      <c r="S366" s="48" t="s">
        <v>1741</v>
      </c>
      <c r="T366" s="50"/>
      <c r="U366" s="30"/>
      <c r="V366" s="58"/>
      <c r="W366" s="52"/>
      <c r="X366" s="193"/>
      <c r="Y366" s="206">
        <f>X366*0.1</f>
        <v>0</v>
      </c>
      <c r="Z366" s="193"/>
      <c r="AA366" s="193">
        <f>SUM(X366:Z366)</f>
        <v>0</v>
      </c>
      <c r="AB366" s="219"/>
    </row>
    <row r="367" spans="1:28" ht="18.600000000000001" thickBot="1">
      <c r="A367" s="250"/>
      <c r="B367" s="31" t="s">
        <v>169</v>
      </c>
      <c r="C367" s="31">
        <v>95</v>
      </c>
      <c r="D367" s="32" t="s">
        <v>1742</v>
      </c>
      <c r="E367" s="200"/>
      <c r="F367" s="43" t="s">
        <v>1743</v>
      </c>
      <c r="G367" s="38">
        <v>41363</v>
      </c>
      <c r="H367" s="202"/>
      <c r="I367" s="194"/>
      <c r="J367" s="194"/>
      <c r="K367" s="194"/>
      <c r="L367" s="194"/>
      <c r="M367" s="194"/>
      <c r="N367" s="194"/>
      <c r="O367" s="192"/>
      <c r="P367" s="55" t="s">
        <v>1744</v>
      </c>
      <c r="Q367" s="33" t="s">
        <v>86</v>
      </c>
      <c r="R367" s="34" t="s">
        <v>1745</v>
      </c>
      <c r="S367" s="44" t="s">
        <v>1746</v>
      </c>
      <c r="T367" s="46"/>
      <c r="U367" s="35"/>
      <c r="V367" s="56"/>
      <c r="W367" s="46"/>
      <c r="X367" s="194"/>
      <c r="Y367" s="194"/>
      <c r="Z367" s="194"/>
      <c r="AA367" s="194"/>
      <c r="AB367" s="220"/>
    </row>
    <row r="368" spans="1:28" ht="18.600000000000001" thickTop="1">
      <c r="A368" s="249" t="s">
        <v>1747</v>
      </c>
      <c r="B368" s="26">
        <v>44404</v>
      </c>
      <c r="C368" s="36">
        <v>858</v>
      </c>
      <c r="D368" s="28" t="s">
        <v>1387</v>
      </c>
      <c r="E368" s="199"/>
      <c r="F368" s="40" t="s">
        <v>1748</v>
      </c>
      <c r="G368" s="37" t="s">
        <v>1749</v>
      </c>
      <c r="H368" s="201">
        <v>4.5</v>
      </c>
      <c r="I368" s="193">
        <v>2305000</v>
      </c>
      <c r="J368" s="193">
        <v>230500</v>
      </c>
      <c r="K368" s="193">
        <v>26300</v>
      </c>
      <c r="L368" s="193">
        <v>20440</v>
      </c>
      <c r="M368" s="193">
        <v>13200</v>
      </c>
      <c r="N368" s="193">
        <f>SUM(I368:M368)</f>
        <v>2595440</v>
      </c>
      <c r="O368" s="191">
        <v>2100000</v>
      </c>
      <c r="P368" s="59" t="s">
        <v>1750</v>
      </c>
      <c r="Q368" s="29" t="s">
        <v>82</v>
      </c>
      <c r="R368" s="81"/>
      <c r="S368" s="48" t="s">
        <v>1751</v>
      </c>
      <c r="T368" s="50"/>
      <c r="U368" s="30" t="s">
        <v>1752</v>
      </c>
      <c r="V368" s="58"/>
      <c r="W368" s="52"/>
      <c r="X368" s="193"/>
      <c r="Y368" s="206">
        <f>X368*0.1</f>
        <v>0</v>
      </c>
      <c r="Z368" s="193"/>
      <c r="AA368" s="193">
        <f>SUM(X368:Z368)</f>
        <v>0</v>
      </c>
      <c r="AB368" s="219"/>
    </row>
    <row r="369" spans="1:28" ht="18.600000000000001" thickBot="1">
      <c r="A369" s="250"/>
      <c r="B369" s="31" t="s">
        <v>100</v>
      </c>
      <c r="C369" s="31">
        <v>84016</v>
      </c>
      <c r="D369" s="32" t="s">
        <v>221</v>
      </c>
      <c r="E369" s="200"/>
      <c r="F369" s="43" t="s">
        <v>1753</v>
      </c>
      <c r="G369" s="38">
        <v>34812</v>
      </c>
      <c r="H369" s="202"/>
      <c r="I369" s="194"/>
      <c r="J369" s="194"/>
      <c r="K369" s="194"/>
      <c r="L369" s="194"/>
      <c r="M369" s="194"/>
      <c r="N369" s="194"/>
      <c r="O369" s="192"/>
      <c r="P369" s="55" t="s">
        <v>1754</v>
      </c>
      <c r="Q369" s="33" t="s">
        <v>86</v>
      </c>
      <c r="R369" s="34" t="s">
        <v>1755</v>
      </c>
      <c r="S369" s="44" t="s">
        <v>1756</v>
      </c>
      <c r="T369" s="46"/>
      <c r="U369" s="35" t="s">
        <v>1100</v>
      </c>
      <c r="V369" s="56"/>
      <c r="W369" s="46"/>
      <c r="X369" s="194"/>
      <c r="Y369" s="194"/>
      <c r="Z369" s="194"/>
      <c r="AA369" s="194"/>
      <c r="AB369" s="220"/>
    </row>
    <row r="370" spans="1:28" ht="18.600000000000001" thickTop="1">
      <c r="A370" s="249" t="s">
        <v>1757</v>
      </c>
      <c r="B370" s="26">
        <v>44408</v>
      </c>
      <c r="C370" s="36">
        <v>1066</v>
      </c>
      <c r="D370" s="28" t="s">
        <v>1075</v>
      </c>
      <c r="E370" s="199"/>
      <c r="F370" s="40" t="s">
        <v>1758</v>
      </c>
      <c r="G370" s="37" t="s">
        <v>1759</v>
      </c>
      <c r="H370" s="201">
        <v>4</v>
      </c>
      <c r="I370" s="193">
        <v>1320000</v>
      </c>
      <c r="J370" s="193">
        <v>132000</v>
      </c>
      <c r="K370" s="193">
        <v>23000</v>
      </c>
      <c r="L370" s="193">
        <v>16260</v>
      </c>
      <c r="M370" s="193">
        <v>13200</v>
      </c>
      <c r="N370" s="193">
        <f>SUM(I370:M370)</f>
        <v>1504460</v>
      </c>
      <c r="O370" s="191">
        <v>1150000</v>
      </c>
      <c r="P370" s="59" t="s">
        <v>1760</v>
      </c>
      <c r="Q370" s="29" t="s">
        <v>82</v>
      </c>
      <c r="R370" s="81"/>
      <c r="S370" s="48" t="s">
        <v>940</v>
      </c>
      <c r="T370" s="50"/>
      <c r="U370" s="30" t="s">
        <v>1761</v>
      </c>
      <c r="V370" s="58"/>
      <c r="W370" s="52"/>
      <c r="X370" s="193"/>
      <c r="Y370" s="206">
        <f>X370*0.1</f>
        <v>0</v>
      </c>
      <c r="Z370" s="193"/>
      <c r="AA370" s="193">
        <f>SUM(X370:Z370)</f>
        <v>0</v>
      </c>
      <c r="AB370" s="219"/>
    </row>
    <row r="371" spans="1:28" ht="18.600000000000001" thickBot="1">
      <c r="A371" s="250"/>
      <c r="B371" s="31" t="s">
        <v>148</v>
      </c>
      <c r="C371" s="31">
        <v>72001</v>
      </c>
      <c r="D371" s="32" t="s">
        <v>1762</v>
      </c>
      <c r="E371" s="200"/>
      <c r="F371" s="43" t="s">
        <v>1763</v>
      </c>
      <c r="G371" s="38">
        <v>46578</v>
      </c>
      <c r="H371" s="202"/>
      <c r="I371" s="194"/>
      <c r="J371" s="194"/>
      <c r="K371" s="194"/>
      <c r="L371" s="194"/>
      <c r="M371" s="194"/>
      <c r="N371" s="194"/>
      <c r="O371" s="192"/>
      <c r="P371" s="55" t="s">
        <v>1764</v>
      </c>
      <c r="Q371" s="33" t="s">
        <v>86</v>
      </c>
      <c r="R371" s="34" t="s">
        <v>1765</v>
      </c>
      <c r="S371" s="44" t="s">
        <v>1766</v>
      </c>
      <c r="T371" s="46"/>
      <c r="U371" s="35" t="s">
        <v>1767</v>
      </c>
      <c r="V371" s="56"/>
      <c r="W371" s="46"/>
      <c r="X371" s="194"/>
      <c r="Y371" s="194"/>
      <c r="Z371" s="194"/>
      <c r="AA371" s="194"/>
      <c r="AB371" s="220"/>
    </row>
    <row r="372" spans="1:28" ht="18.600000000000001" thickTop="1">
      <c r="A372" s="249" t="s">
        <v>1768</v>
      </c>
      <c r="B372" s="26">
        <v>44408</v>
      </c>
      <c r="C372" s="36">
        <v>1309</v>
      </c>
      <c r="D372" s="28" t="s">
        <v>1769</v>
      </c>
      <c r="E372" s="199"/>
      <c r="F372" s="40" t="s">
        <v>299</v>
      </c>
      <c r="G372" s="37" t="s">
        <v>1770</v>
      </c>
      <c r="H372" s="201">
        <v>4</v>
      </c>
      <c r="I372" s="193">
        <v>995000</v>
      </c>
      <c r="J372" s="193">
        <v>99500</v>
      </c>
      <c r="K372" s="193">
        <v>26300</v>
      </c>
      <c r="L372" s="193">
        <v>16090</v>
      </c>
      <c r="M372" s="193">
        <v>13200</v>
      </c>
      <c r="N372" s="193">
        <f>SUM(I372:M372)</f>
        <v>1150090</v>
      </c>
      <c r="O372" s="191">
        <v>800000</v>
      </c>
      <c r="P372" s="59" t="s">
        <v>1771</v>
      </c>
      <c r="Q372" s="29" t="s">
        <v>82</v>
      </c>
      <c r="R372" s="81"/>
      <c r="S372" s="48" t="s">
        <v>940</v>
      </c>
      <c r="T372" s="50"/>
      <c r="U372" s="30" t="s">
        <v>1772</v>
      </c>
      <c r="V372" s="58"/>
      <c r="W372" s="52"/>
      <c r="X372" s="193"/>
      <c r="Y372" s="206">
        <f>X372*0.1</f>
        <v>0</v>
      </c>
      <c r="Z372" s="193"/>
      <c r="AA372" s="193">
        <f>SUM(X372:Z372)</f>
        <v>0</v>
      </c>
      <c r="AB372" s="219"/>
    </row>
    <row r="373" spans="1:28" ht="18.600000000000001" thickBot="1">
      <c r="A373" s="250"/>
      <c r="B373" s="31" t="s">
        <v>913</v>
      </c>
      <c r="C373" s="31">
        <v>83029</v>
      </c>
      <c r="D373" s="32" t="s">
        <v>627</v>
      </c>
      <c r="E373" s="200"/>
      <c r="F373" s="43" t="s">
        <v>1773</v>
      </c>
      <c r="G373" s="38">
        <v>59770</v>
      </c>
      <c r="H373" s="202"/>
      <c r="I373" s="194"/>
      <c r="J373" s="194"/>
      <c r="K373" s="194"/>
      <c r="L373" s="194"/>
      <c r="M373" s="194"/>
      <c r="N373" s="194"/>
      <c r="O373" s="192"/>
      <c r="P373" s="55" t="s">
        <v>1774</v>
      </c>
      <c r="Q373" s="33" t="s">
        <v>86</v>
      </c>
      <c r="R373" s="34" t="s">
        <v>1755</v>
      </c>
      <c r="S373" s="44" t="s">
        <v>1504</v>
      </c>
      <c r="T373" s="46" t="s">
        <v>1775</v>
      </c>
      <c r="U373" s="35" t="s">
        <v>216</v>
      </c>
      <c r="V373" s="56"/>
      <c r="W373" s="46"/>
      <c r="X373" s="194"/>
      <c r="Y373" s="194"/>
      <c r="Z373" s="194"/>
      <c r="AA373" s="194"/>
      <c r="AB373" s="220"/>
    </row>
    <row r="374" spans="1:28" ht="18.600000000000001" thickTop="1">
      <c r="A374" s="249" t="s">
        <v>1776</v>
      </c>
      <c r="B374" s="26">
        <v>44412</v>
      </c>
      <c r="C374" s="36">
        <v>2120</v>
      </c>
      <c r="D374" s="28" t="s">
        <v>443</v>
      </c>
      <c r="E374" s="199"/>
      <c r="F374" s="40" t="s">
        <v>1678</v>
      </c>
      <c r="G374" s="37" t="s">
        <v>1777</v>
      </c>
      <c r="H374" s="201">
        <v>4.5</v>
      </c>
      <c r="I374" s="193">
        <v>2161000</v>
      </c>
      <c r="J374" s="193">
        <v>216100</v>
      </c>
      <c r="K374" s="193">
        <v>23000</v>
      </c>
      <c r="L374" s="193">
        <v>16930</v>
      </c>
      <c r="M374" s="193">
        <v>13200</v>
      </c>
      <c r="N374" s="193">
        <f>SUM(I374:M374)</f>
        <v>2430230</v>
      </c>
      <c r="O374" s="191">
        <v>2200000</v>
      </c>
      <c r="P374" s="59" t="s">
        <v>1778</v>
      </c>
      <c r="Q374" s="29" t="s">
        <v>82</v>
      </c>
      <c r="R374" s="81"/>
      <c r="S374" s="48" t="s">
        <v>1279</v>
      </c>
      <c r="T374" s="50"/>
      <c r="U374" s="30" t="s">
        <v>1779</v>
      </c>
      <c r="V374" s="58"/>
      <c r="W374" s="52"/>
      <c r="X374" s="193"/>
      <c r="Y374" s="206">
        <f>X374*0.1</f>
        <v>0</v>
      </c>
      <c r="Z374" s="193"/>
      <c r="AA374" s="193">
        <f>SUM(X374:Z374)</f>
        <v>0</v>
      </c>
      <c r="AB374" s="219"/>
    </row>
    <row r="375" spans="1:28" ht="18.600000000000001" thickBot="1">
      <c r="A375" s="250"/>
      <c r="B375" s="31" t="s">
        <v>742</v>
      </c>
      <c r="C375" s="31">
        <v>70028</v>
      </c>
      <c r="D375" s="32" t="s">
        <v>101</v>
      </c>
      <c r="E375" s="200"/>
      <c r="F375" s="43" t="s">
        <v>1780</v>
      </c>
      <c r="G375" s="38">
        <v>37349</v>
      </c>
      <c r="H375" s="202"/>
      <c r="I375" s="194"/>
      <c r="J375" s="194"/>
      <c r="K375" s="194"/>
      <c r="L375" s="194"/>
      <c r="M375" s="194"/>
      <c r="N375" s="194"/>
      <c r="O375" s="192"/>
      <c r="P375" s="55" t="s">
        <v>1781</v>
      </c>
      <c r="Q375" s="33" t="s">
        <v>86</v>
      </c>
      <c r="R375" s="34" t="s">
        <v>1782</v>
      </c>
      <c r="S375" s="44" t="s">
        <v>1500</v>
      </c>
      <c r="T375" s="46"/>
      <c r="U375" s="35"/>
      <c r="V375" s="56"/>
      <c r="W375" s="46"/>
      <c r="X375" s="194"/>
      <c r="Y375" s="194"/>
      <c r="Z375" s="194"/>
      <c r="AA375" s="194"/>
      <c r="AB375" s="220"/>
    </row>
    <row r="376" spans="1:28" ht="18.600000000000001" thickTop="1">
      <c r="A376" s="249" t="s">
        <v>1783</v>
      </c>
      <c r="B376" s="26">
        <v>44412</v>
      </c>
      <c r="C376" s="36">
        <v>3199</v>
      </c>
      <c r="D376" s="28" t="s">
        <v>1024</v>
      </c>
      <c r="E376" s="199"/>
      <c r="F376" s="40" t="s">
        <v>811</v>
      </c>
      <c r="G376" s="37" t="s">
        <v>1784</v>
      </c>
      <c r="H376" s="201">
        <v>4</v>
      </c>
      <c r="I376" s="193">
        <v>2410000</v>
      </c>
      <c r="J376" s="193">
        <v>241000</v>
      </c>
      <c r="K376" s="193">
        <v>23000</v>
      </c>
      <c r="L376" s="193">
        <v>17600</v>
      </c>
      <c r="M376" s="193">
        <v>18700</v>
      </c>
      <c r="N376" s="193">
        <f>SUM(I376:M376)</f>
        <v>2710300</v>
      </c>
      <c r="O376" s="191">
        <v>2200000</v>
      </c>
      <c r="P376" s="59" t="s">
        <v>1785</v>
      </c>
      <c r="Q376" s="29" t="s">
        <v>82</v>
      </c>
      <c r="R376" s="81"/>
      <c r="S376" s="48" t="s">
        <v>1786</v>
      </c>
      <c r="T376" s="50"/>
      <c r="U376" s="30"/>
      <c r="V376" s="58"/>
      <c r="W376" s="52"/>
      <c r="X376" s="193"/>
      <c r="Y376" s="206">
        <f>X376*0.1</f>
        <v>0</v>
      </c>
      <c r="Z376" s="193"/>
      <c r="AA376" s="193">
        <f>SUM(X376:Z376)</f>
        <v>0</v>
      </c>
      <c r="AB376" s="219"/>
    </row>
    <row r="377" spans="1:28" ht="18.600000000000001" thickBot="1">
      <c r="A377" s="250"/>
      <c r="B377" s="31" t="s">
        <v>178</v>
      </c>
      <c r="C377" s="31">
        <v>27269</v>
      </c>
      <c r="D377" s="32" t="s">
        <v>91</v>
      </c>
      <c r="E377" s="200"/>
      <c r="F377" s="43" t="s">
        <v>1787</v>
      </c>
      <c r="G377" s="38">
        <v>39780</v>
      </c>
      <c r="H377" s="202"/>
      <c r="I377" s="194"/>
      <c r="J377" s="194"/>
      <c r="K377" s="194"/>
      <c r="L377" s="194"/>
      <c r="M377" s="194"/>
      <c r="N377" s="194"/>
      <c r="O377" s="192"/>
      <c r="P377" s="55" t="s">
        <v>1788</v>
      </c>
      <c r="Q377" s="33" t="s">
        <v>86</v>
      </c>
      <c r="R377" s="34" t="s">
        <v>1765</v>
      </c>
      <c r="S377" s="44" t="s">
        <v>1789</v>
      </c>
      <c r="T377" s="46"/>
      <c r="U377" s="35" t="s">
        <v>1100</v>
      </c>
      <c r="V377" s="56"/>
      <c r="W377" s="46"/>
      <c r="X377" s="194"/>
      <c r="Y377" s="194"/>
      <c r="Z377" s="194"/>
      <c r="AA377" s="194"/>
      <c r="AB377" s="220"/>
    </row>
    <row r="378" spans="1:28" ht="18.600000000000001" thickTop="1">
      <c r="A378" s="249" t="s">
        <v>1790</v>
      </c>
      <c r="B378" s="26">
        <v>44435</v>
      </c>
      <c r="C378" s="36">
        <v>1904</v>
      </c>
      <c r="D378" s="28" t="s">
        <v>1791</v>
      </c>
      <c r="E378" s="199" t="s">
        <v>282</v>
      </c>
      <c r="F378" s="54" t="s">
        <v>1792</v>
      </c>
      <c r="G378" s="37" t="s">
        <v>1793</v>
      </c>
      <c r="H378" s="201">
        <v>4</v>
      </c>
      <c r="I378" s="193">
        <v>7800000</v>
      </c>
      <c r="J378" s="193">
        <v>780000</v>
      </c>
      <c r="K378" s="193">
        <v>29700</v>
      </c>
      <c r="L378" s="193">
        <v>19780</v>
      </c>
      <c r="M378" s="193">
        <v>24200</v>
      </c>
      <c r="N378" s="193">
        <f>SUM(I378:M378)</f>
        <v>8653680</v>
      </c>
      <c r="O378" s="191"/>
      <c r="P378" s="57" t="s">
        <v>1794</v>
      </c>
      <c r="Q378" s="29" t="s">
        <v>82</v>
      </c>
      <c r="R378" s="81"/>
      <c r="S378" s="48" t="s">
        <v>1795</v>
      </c>
      <c r="T378" s="50"/>
      <c r="U378" s="30" t="s">
        <v>1796</v>
      </c>
      <c r="V378" s="58"/>
      <c r="W378" s="52"/>
      <c r="X378" s="193"/>
      <c r="Y378" s="206">
        <f>X378*0.1</f>
        <v>0</v>
      </c>
      <c r="Z378" s="193"/>
      <c r="AA378" s="193">
        <f>SUM(X378:Z378)</f>
        <v>0</v>
      </c>
      <c r="AB378" s="219"/>
    </row>
    <row r="379" spans="1:28" ht="18.600000000000001" thickBot="1">
      <c r="A379" s="250"/>
      <c r="B379" s="31" t="s">
        <v>1797</v>
      </c>
      <c r="C379" s="31">
        <v>58173</v>
      </c>
      <c r="D379" s="32" t="s">
        <v>1798</v>
      </c>
      <c r="E379" s="200"/>
      <c r="F379" s="43" t="s">
        <v>1799</v>
      </c>
      <c r="G379" s="38">
        <v>17003</v>
      </c>
      <c r="H379" s="202"/>
      <c r="I379" s="194"/>
      <c r="J379" s="194"/>
      <c r="K379" s="194"/>
      <c r="L379" s="194"/>
      <c r="M379" s="194"/>
      <c r="N379" s="194"/>
      <c r="O379" s="192"/>
      <c r="P379" s="55" t="s">
        <v>1800</v>
      </c>
      <c r="Q379" s="33" t="s">
        <v>86</v>
      </c>
      <c r="R379" s="34" t="s">
        <v>1801</v>
      </c>
      <c r="S379" s="44" t="s">
        <v>1802</v>
      </c>
      <c r="T379" s="46"/>
      <c r="U379" s="35"/>
      <c r="V379" s="56"/>
      <c r="W379" s="46"/>
      <c r="X379" s="194"/>
      <c r="Y379" s="194"/>
      <c r="Z379" s="194"/>
      <c r="AA379" s="194"/>
      <c r="AB379" s="220"/>
    </row>
    <row r="380" spans="1:28" ht="18.600000000000001" thickTop="1">
      <c r="A380" s="249" t="s">
        <v>1803</v>
      </c>
      <c r="B380" s="26">
        <v>44436</v>
      </c>
      <c r="C380" s="36">
        <v>1312</v>
      </c>
      <c r="D380" s="28" t="s">
        <v>1804</v>
      </c>
      <c r="E380" s="199"/>
      <c r="F380" s="54" t="s">
        <v>1805</v>
      </c>
      <c r="G380" s="37" t="s">
        <v>1806</v>
      </c>
      <c r="H380" s="201">
        <v>4</v>
      </c>
      <c r="I380" s="193">
        <v>3760000</v>
      </c>
      <c r="J380" s="193">
        <v>376000</v>
      </c>
      <c r="K380" s="193">
        <v>29700</v>
      </c>
      <c r="L380" s="193">
        <v>20170</v>
      </c>
      <c r="M380" s="193">
        <v>13200</v>
      </c>
      <c r="N380" s="193">
        <f>SUM(I380:M380)</f>
        <v>4199070</v>
      </c>
      <c r="O380" s="191"/>
      <c r="P380" s="57" t="s">
        <v>1807</v>
      </c>
      <c r="Q380" s="29" t="s">
        <v>82</v>
      </c>
      <c r="R380" s="81"/>
      <c r="S380" s="48" t="s">
        <v>1808</v>
      </c>
      <c r="T380" s="50"/>
      <c r="U380" s="30" t="s">
        <v>1809</v>
      </c>
      <c r="V380" s="58"/>
      <c r="W380" s="52"/>
      <c r="X380" s="193"/>
      <c r="Y380" s="206">
        <f>X380*0.1</f>
        <v>0</v>
      </c>
      <c r="Z380" s="193"/>
      <c r="AA380" s="193">
        <f>SUM(X380:Z380)</f>
        <v>0</v>
      </c>
      <c r="AB380" s="219"/>
    </row>
    <row r="381" spans="1:28" ht="18.600000000000001" thickBot="1">
      <c r="A381" s="250"/>
      <c r="B381" s="31" t="s">
        <v>1810</v>
      </c>
      <c r="C381" s="31">
        <v>83116</v>
      </c>
      <c r="D381" s="32" t="s">
        <v>1811</v>
      </c>
      <c r="E381" s="200"/>
      <c r="F381" s="43" t="s">
        <v>1812</v>
      </c>
      <c r="G381" s="38">
        <v>52827</v>
      </c>
      <c r="H381" s="202"/>
      <c r="I381" s="194"/>
      <c r="J381" s="194"/>
      <c r="K381" s="194"/>
      <c r="L381" s="194"/>
      <c r="M381" s="194"/>
      <c r="N381" s="194"/>
      <c r="O381" s="192"/>
      <c r="P381" s="55" t="s">
        <v>1813</v>
      </c>
      <c r="Q381" s="33" t="s">
        <v>86</v>
      </c>
      <c r="R381" s="34" t="s">
        <v>1814</v>
      </c>
      <c r="S381" s="44" t="s">
        <v>1815</v>
      </c>
      <c r="T381" s="46"/>
      <c r="U381" s="35" t="s">
        <v>1364</v>
      </c>
      <c r="V381" s="56"/>
      <c r="W381" s="46"/>
      <c r="X381" s="194"/>
      <c r="Y381" s="194"/>
      <c r="Z381" s="194"/>
      <c r="AA381" s="194"/>
      <c r="AB381" s="220"/>
    </row>
    <row r="382" spans="1:28" ht="18.600000000000001" thickTop="1">
      <c r="A382" s="249" t="s">
        <v>1816</v>
      </c>
      <c r="B382" s="26">
        <v>44450</v>
      </c>
      <c r="C382" s="36">
        <v>1071</v>
      </c>
      <c r="D382" s="28" t="s">
        <v>1817</v>
      </c>
      <c r="E382" s="199"/>
      <c r="F382" s="54" t="s">
        <v>1818</v>
      </c>
      <c r="G382" s="37" t="s">
        <v>1819</v>
      </c>
      <c r="H382" s="201">
        <v>4.5</v>
      </c>
      <c r="I382" s="193">
        <v>1755000</v>
      </c>
      <c r="J382" s="193">
        <v>175500</v>
      </c>
      <c r="K382" s="193">
        <v>19700</v>
      </c>
      <c r="L382" s="193">
        <v>18960</v>
      </c>
      <c r="M382" s="193">
        <v>13200</v>
      </c>
      <c r="N382" s="193">
        <f>SUM(I382:M382)</f>
        <v>1982360</v>
      </c>
      <c r="O382" s="191">
        <v>1600000</v>
      </c>
      <c r="P382" s="57" t="s">
        <v>1820</v>
      </c>
      <c r="Q382" s="29" t="s">
        <v>82</v>
      </c>
      <c r="R382" s="81"/>
      <c r="S382" s="48" t="s">
        <v>1821</v>
      </c>
      <c r="T382" s="50"/>
      <c r="U382" s="30" t="s">
        <v>1822</v>
      </c>
      <c r="V382" s="58"/>
      <c r="W382" s="52"/>
      <c r="X382" s="193"/>
      <c r="Y382" s="206">
        <f>X382*0.1</f>
        <v>0</v>
      </c>
      <c r="Z382" s="193"/>
      <c r="AA382" s="193">
        <f>SUM(X382:Z382)</f>
        <v>0</v>
      </c>
      <c r="AB382" s="219"/>
    </row>
    <row r="383" spans="1:28" ht="18.600000000000001" thickBot="1">
      <c r="A383" s="250"/>
      <c r="B383" s="126" t="s">
        <v>1823</v>
      </c>
      <c r="C383" s="31">
        <v>82223</v>
      </c>
      <c r="D383" s="32" t="s">
        <v>1824</v>
      </c>
      <c r="E383" s="200"/>
      <c r="F383" s="43" t="s">
        <v>1825</v>
      </c>
      <c r="G383" s="38">
        <v>33502</v>
      </c>
      <c r="H383" s="202"/>
      <c r="I383" s="194"/>
      <c r="J383" s="194"/>
      <c r="K383" s="194"/>
      <c r="L383" s="194"/>
      <c r="M383" s="194"/>
      <c r="N383" s="194"/>
      <c r="O383" s="192"/>
      <c r="P383" s="55" t="s">
        <v>1826</v>
      </c>
      <c r="Q383" s="33" t="s">
        <v>86</v>
      </c>
      <c r="R383" s="34" t="s">
        <v>1827</v>
      </c>
      <c r="S383" s="44" t="s">
        <v>661</v>
      </c>
      <c r="T383" s="46"/>
      <c r="U383" s="35" t="s">
        <v>216</v>
      </c>
      <c r="V383" s="56"/>
      <c r="W383" s="46"/>
      <c r="X383" s="194"/>
      <c r="Y383" s="194"/>
      <c r="Z383" s="194"/>
      <c r="AA383" s="194"/>
      <c r="AB383" s="220"/>
    </row>
    <row r="384" spans="1:28" ht="18.600000000000001" thickTop="1">
      <c r="A384" s="249" t="s">
        <v>1828</v>
      </c>
      <c r="B384" s="26">
        <v>44450</v>
      </c>
      <c r="C384" s="36">
        <v>1071</v>
      </c>
      <c r="D384" s="28" t="s">
        <v>1829</v>
      </c>
      <c r="E384" s="199"/>
      <c r="F384" s="54" t="s">
        <v>1830</v>
      </c>
      <c r="G384" s="37"/>
      <c r="H384" s="201">
        <v>4.5</v>
      </c>
      <c r="I384" s="193">
        <v>2235000</v>
      </c>
      <c r="J384" s="193">
        <v>223500</v>
      </c>
      <c r="K384" s="193">
        <v>0</v>
      </c>
      <c r="L384" s="193">
        <v>17800</v>
      </c>
      <c r="M384" s="193">
        <v>13200</v>
      </c>
      <c r="N384" s="193">
        <f>SUM(I384:M384)</f>
        <v>2489500</v>
      </c>
      <c r="O384" s="191">
        <v>1900000</v>
      </c>
      <c r="P384" s="57" t="s">
        <v>1831</v>
      </c>
      <c r="Q384" s="29" t="s">
        <v>82</v>
      </c>
      <c r="R384" s="81"/>
      <c r="S384" s="48" t="s">
        <v>1666</v>
      </c>
      <c r="T384" s="50"/>
      <c r="U384" s="30"/>
      <c r="V384" s="58"/>
      <c r="W384" s="52"/>
      <c r="X384" s="193"/>
      <c r="Y384" s="206">
        <f>X384*0.1</f>
        <v>0</v>
      </c>
      <c r="Z384" s="193"/>
      <c r="AA384" s="193">
        <f>SUM(X384:Z384)</f>
        <v>0</v>
      </c>
      <c r="AB384" s="219"/>
    </row>
    <row r="385" spans="1:28" ht="18.600000000000001" thickBot="1">
      <c r="A385" s="250"/>
      <c r="B385" s="126" t="s">
        <v>1823</v>
      </c>
      <c r="C385" s="31">
        <v>85043</v>
      </c>
      <c r="D385" s="32" t="s">
        <v>1832</v>
      </c>
      <c r="E385" s="200"/>
      <c r="F385" s="43" t="s">
        <v>1833</v>
      </c>
      <c r="G385" s="38">
        <v>48407</v>
      </c>
      <c r="H385" s="202"/>
      <c r="I385" s="194"/>
      <c r="J385" s="194"/>
      <c r="K385" s="194"/>
      <c r="L385" s="194"/>
      <c r="M385" s="194"/>
      <c r="N385" s="194"/>
      <c r="O385" s="192"/>
      <c r="P385" s="55" t="s">
        <v>1834</v>
      </c>
      <c r="Q385" s="33" t="s">
        <v>86</v>
      </c>
      <c r="R385" s="34" t="s">
        <v>1827</v>
      </c>
      <c r="S385" s="44" t="s">
        <v>661</v>
      </c>
      <c r="T385" s="46"/>
      <c r="U385" s="35"/>
      <c r="V385" s="56"/>
      <c r="W385" s="46"/>
      <c r="X385" s="194"/>
      <c r="Y385" s="194"/>
      <c r="Z385" s="194"/>
      <c r="AA385" s="194"/>
      <c r="AB385" s="220"/>
    </row>
    <row r="386" spans="1:28" ht="18.600000000000001" thickTop="1">
      <c r="A386" s="249" t="s">
        <v>1835</v>
      </c>
      <c r="B386" s="26">
        <v>44452</v>
      </c>
      <c r="C386" s="36">
        <v>1865</v>
      </c>
      <c r="D386" s="28" t="s">
        <v>1093</v>
      </c>
      <c r="E386" s="199" t="s">
        <v>282</v>
      </c>
      <c r="F386" s="54" t="s">
        <v>1836</v>
      </c>
      <c r="G386" s="37"/>
      <c r="H386" s="201">
        <v>4</v>
      </c>
      <c r="I386" s="193">
        <v>2400000</v>
      </c>
      <c r="J386" s="193">
        <v>240000</v>
      </c>
      <c r="K386" s="193">
        <v>0</v>
      </c>
      <c r="L386" s="193">
        <v>26150</v>
      </c>
      <c r="M386" s="193">
        <v>11000</v>
      </c>
      <c r="N386" s="193">
        <f>SUM(I386:M386)</f>
        <v>2677150</v>
      </c>
      <c r="O386" s="191">
        <v>2200000</v>
      </c>
      <c r="P386" s="57" t="s">
        <v>1837</v>
      </c>
      <c r="Q386" s="29" t="s">
        <v>82</v>
      </c>
      <c r="R386" s="81"/>
      <c r="S386" s="48" t="s">
        <v>1279</v>
      </c>
      <c r="T386" s="50"/>
      <c r="U386" s="30" t="s">
        <v>1838</v>
      </c>
      <c r="V386" s="58"/>
      <c r="W386" s="52"/>
      <c r="X386" s="193"/>
      <c r="Y386" s="206">
        <f>X386*0.1</f>
        <v>0</v>
      </c>
      <c r="Z386" s="193"/>
      <c r="AA386" s="193">
        <f>SUM(X386:Z386)</f>
        <v>0</v>
      </c>
      <c r="AB386" s="219"/>
    </row>
    <row r="387" spans="1:28" ht="18.600000000000001" thickBot="1">
      <c r="A387" s="250"/>
      <c r="B387" s="31" t="s">
        <v>189</v>
      </c>
      <c r="C387" s="31">
        <v>32015</v>
      </c>
      <c r="D387" s="32" t="s">
        <v>399</v>
      </c>
      <c r="E387" s="200"/>
      <c r="F387" s="43" t="s">
        <v>1839</v>
      </c>
      <c r="G387" s="38">
        <v>37047</v>
      </c>
      <c r="H387" s="202"/>
      <c r="I387" s="194"/>
      <c r="J387" s="194"/>
      <c r="K387" s="194"/>
      <c r="L387" s="194"/>
      <c r="M387" s="194"/>
      <c r="N387" s="194"/>
      <c r="O387" s="192"/>
      <c r="P387" s="55" t="s">
        <v>1840</v>
      </c>
      <c r="Q387" s="33" t="s">
        <v>86</v>
      </c>
      <c r="R387" s="34" t="s">
        <v>1827</v>
      </c>
      <c r="S387" s="44" t="s">
        <v>1841</v>
      </c>
      <c r="T387" s="46"/>
      <c r="U387" s="35"/>
      <c r="V387" s="56"/>
      <c r="W387" s="46"/>
      <c r="X387" s="194"/>
      <c r="Y387" s="194"/>
      <c r="Z387" s="194"/>
      <c r="AA387" s="194"/>
      <c r="AB387" s="220"/>
    </row>
    <row r="388" spans="1:28" ht="18.600000000000001" thickTop="1">
      <c r="A388" s="249" t="s">
        <v>1842</v>
      </c>
      <c r="B388" s="26">
        <v>44453</v>
      </c>
      <c r="C388" s="36">
        <v>864</v>
      </c>
      <c r="D388" s="28" t="s">
        <v>1843</v>
      </c>
      <c r="E388" s="199"/>
      <c r="F388" s="54" t="s">
        <v>1844</v>
      </c>
      <c r="G388" s="37" t="s">
        <v>1845</v>
      </c>
      <c r="H388" s="201">
        <v>4.5</v>
      </c>
      <c r="I388" s="193">
        <v>2815000</v>
      </c>
      <c r="J388" s="193">
        <v>281500</v>
      </c>
      <c r="K388" s="193">
        <v>19700</v>
      </c>
      <c r="L388" s="193">
        <v>17600</v>
      </c>
      <c r="M388" s="193">
        <v>13200</v>
      </c>
      <c r="N388" s="193">
        <f>SUM(I388:M388)</f>
        <v>3147000</v>
      </c>
      <c r="O388" s="191">
        <v>2500000</v>
      </c>
      <c r="P388" s="57" t="s">
        <v>1846</v>
      </c>
      <c r="Q388" s="29" t="s">
        <v>82</v>
      </c>
      <c r="R388" s="81"/>
      <c r="S388" s="48" t="s">
        <v>1666</v>
      </c>
      <c r="T388" s="50"/>
      <c r="U388" s="30" t="s">
        <v>1847</v>
      </c>
      <c r="V388" s="58"/>
      <c r="W388" s="52"/>
      <c r="X388" s="193"/>
      <c r="Y388" s="206">
        <f>X388*0.1</f>
        <v>0</v>
      </c>
      <c r="Z388" s="193"/>
      <c r="AA388" s="193">
        <f>SUM(X388:Z388)</f>
        <v>0</v>
      </c>
      <c r="AB388" s="219"/>
    </row>
    <row r="389" spans="1:28" ht="18.600000000000001" thickBot="1">
      <c r="A389" s="250"/>
      <c r="B389" s="31" t="s">
        <v>1848</v>
      </c>
      <c r="C389" s="31">
        <v>84014</v>
      </c>
      <c r="D389" s="32" t="s">
        <v>1849</v>
      </c>
      <c r="E389" s="200"/>
      <c r="F389" s="43" t="s">
        <v>1850</v>
      </c>
      <c r="G389" s="38">
        <v>10716</v>
      </c>
      <c r="H389" s="202"/>
      <c r="I389" s="194"/>
      <c r="J389" s="194"/>
      <c r="K389" s="194"/>
      <c r="L389" s="194"/>
      <c r="M389" s="194"/>
      <c r="N389" s="194"/>
      <c r="O389" s="192"/>
      <c r="P389" s="55" t="s">
        <v>1851</v>
      </c>
      <c r="Q389" s="33" t="s">
        <v>86</v>
      </c>
      <c r="R389" s="34" t="s">
        <v>1852</v>
      </c>
      <c r="S389" s="44" t="s">
        <v>1853</v>
      </c>
      <c r="T389" s="46"/>
      <c r="U389" s="35" t="s">
        <v>216</v>
      </c>
      <c r="V389" s="56"/>
      <c r="W389" s="46"/>
      <c r="X389" s="194"/>
      <c r="Y389" s="194"/>
      <c r="Z389" s="194"/>
      <c r="AA389" s="194"/>
      <c r="AB389" s="220"/>
    </row>
    <row r="390" spans="1:28" ht="18.600000000000001" thickTop="1">
      <c r="A390" s="249" t="s">
        <v>1854</v>
      </c>
      <c r="B390" s="26">
        <v>44462</v>
      </c>
      <c r="C390" s="36">
        <v>1339</v>
      </c>
      <c r="D390" s="28" t="s">
        <v>1855</v>
      </c>
      <c r="E390" s="199"/>
      <c r="F390" s="54" t="s">
        <v>1856</v>
      </c>
      <c r="G390" s="37"/>
      <c r="H390" s="201">
        <v>4</v>
      </c>
      <c r="I390" s="193">
        <v>1320000</v>
      </c>
      <c r="J390" s="193">
        <v>132000</v>
      </c>
      <c r="K390" s="193">
        <v>0</v>
      </c>
      <c r="L390" s="193">
        <v>17250</v>
      </c>
      <c r="M390" s="193">
        <v>13200</v>
      </c>
      <c r="N390" s="193">
        <f>SUM(I390:M390)</f>
        <v>1482450</v>
      </c>
      <c r="O390" s="191">
        <v>1200000</v>
      </c>
      <c r="P390" s="57" t="s">
        <v>1857</v>
      </c>
      <c r="Q390" s="29" t="s">
        <v>82</v>
      </c>
      <c r="R390" s="81"/>
      <c r="S390" s="48"/>
      <c r="T390" s="50"/>
      <c r="U390" s="30"/>
      <c r="V390" s="58"/>
      <c r="W390" s="52"/>
      <c r="X390" s="193"/>
      <c r="Y390" s="206">
        <f>X390*0.1</f>
        <v>0</v>
      </c>
      <c r="Z390" s="193"/>
      <c r="AA390" s="193">
        <f>SUM(X390:Z390)</f>
        <v>0</v>
      </c>
      <c r="AB390" s="219"/>
    </row>
    <row r="391" spans="1:28" ht="18.600000000000001" thickBot="1">
      <c r="A391" s="250"/>
      <c r="B391" s="31" t="s">
        <v>1858</v>
      </c>
      <c r="C391" s="31">
        <v>75207</v>
      </c>
      <c r="D391" s="32" t="s">
        <v>1859</v>
      </c>
      <c r="E391" s="200"/>
      <c r="F391" s="43" t="s">
        <v>1860</v>
      </c>
      <c r="G391" s="38">
        <v>36639</v>
      </c>
      <c r="H391" s="202"/>
      <c r="I391" s="194"/>
      <c r="J391" s="194"/>
      <c r="K391" s="194"/>
      <c r="L391" s="194"/>
      <c r="M391" s="194"/>
      <c r="N391" s="194"/>
      <c r="O391" s="192"/>
      <c r="P391" s="55" t="s">
        <v>1861</v>
      </c>
      <c r="Q391" s="33" t="s">
        <v>86</v>
      </c>
      <c r="R391" s="34" t="s">
        <v>1862</v>
      </c>
      <c r="S391" s="44" t="s">
        <v>1863</v>
      </c>
      <c r="T391" s="46"/>
      <c r="U391" s="35"/>
      <c r="V391" s="56"/>
      <c r="W391" s="46"/>
      <c r="X391" s="194"/>
      <c r="Y391" s="194"/>
      <c r="Z391" s="194"/>
      <c r="AA391" s="194"/>
      <c r="AB391" s="220"/>
    </row>
    <row r="392" spans="1:28" ht="18.600000000000001" thickTop="1">
      <c r="A392" s="249" t="s">
        <v>1864</v>
      </c>
      <c r="B392" s="26">
        <v>44474</v>
      </c>
      <c r="C392" s="36">
        <v>867</v>
      </c>
      <c r="D392" s="28" t="s">
        <v>1865</v>
      </c>
      <c r="E392" s="199"/>
      <c r="F392" s="54" t="s">
        <v>1866</v>
      </c>
      <c r="G392" s="37"/>
      <c r="H392" s="201">
        <v>4.5</v>
      </c>
      <c r="I392" s="193">
        <v>1455000</v>
      </c>
      <c r="J392" s="193">
        <v>145500</v>
      </c>
      <c r="K392" s="193">
        <v>0</v>
      </c>
      <c r="L392" s="193">
        <v>18960</v>
      </c>
      <c r="M392" s="193">
        <v>13200</v>
      </c>
      <c r="N392" s="193">
        <f>SUM(I392:M392)</f>
        <v>1632660</v>
      </c>
      <c r="O392" s="191">
        <v>1300000</v>
      </c>
      <c r="P392" s="57" t="s">
        <v>1867</v>
      </c>
      <c r="Q392" s="29" t="s">
        <v>82</v>
      </c>
      <c r="R392" s="81"/>
      <c r="S392" s="48" t="s">
        <v>1868</v>
      </c>
      <c r="T392" s="50"/>
      <c r="U392" s="30"/>
      <c r="V392" s="58"/>
      <c r="W392" s="52"/>
      <c r="X392" s="193"/>
      <c r="Y392" s="206">
        <f>X392*0.1</f>
        <v>0</v>
      </c>
      <c r="Z392" s="193"/>
      <c r="AA392" s="193">
        <f>SUM(X392:Z392)</f>
        <v>0</v>
      </c>
      <c r="AB392" s="219"/>
    </row>
    <row r="393" spans="1:28" ht="18.600000000000001" thickBot="1">
      <c r="A393" s="250"/>
      <c r="B393" s="31" t="s">
        <v>1848</v>
      </c>
      <c r="C393" s="31">
        <v>84002</v>
      </c>
      <c r="D393" s="32" t="s">
        <v>108</v>
      </c>
      <c r="E393" s="200"/>
      <c r="F393" s="43" t="s">
        <v>1869</v>
      </c>
      <c r="G393" s="38">
        <v>39994</v>
      </c>
      <c r="H393" s="202"/>
      <c r="I393" s="194"/>
      <c r="J393" s="194"/>
      <c r="K393" s="194"/>
      <c r="L393" s="194"/>
      <c r="M393" s="194"/>
      <c r="N393" s="194"/>
      <c r="O393" s="192"/>
      <c r="P393" s="55" t="s">
        <v>1870</v>
      </c>
      <c r="Q393" s="33" t="s">
        <v>86</v>
      </c>
      <c r="R393" s="34" t="s">
        <v>1871</v>
      </c>
      <c r="S393" s="44" t="s">
        <v>1872</v>
      </c>
      <c r="T393" s="46"/>
      <c r="U393" s="35"/>
      <c r="V393" s="56"/>
      <c r="W393" s="46"/>
      <c r="X393" s="194"/>
      <c r="Y393" s="194"/>
      <c r="Z393" s="194"/>
      <c r="AA393" s="194"/>
      <c r="AB393" s="220"/>
    </row>
    <row r="394" spans="1:28" ht="18.600000000000001" thickTop="1">
      <c r="A394" s="249" t="s">
        <v>1873</v>
      </c>
      <c r="B394" s="26">
        <v>44477</v>
      </c>
      <c r="C394" s="36">
        <v>1910</v>
      </c>
      <c r="D394" s="28" t="s">
        <v>1874</v>
      </c>
      <c r="E394" s="199"/>
      <c r="F394" s="54" t="s">
        <v>1875</v>
      </c>
      <c r="G394" s="37"/>
      <c r="H394" s="201">
        <v>4.5</v>
      </c>
      <c r="I394" s="193">
        <v>1495000</v>
      </c>
      <c r="J394" s="193">
        <v>149500</v>
      </c>
      <c r="K394" s="193">
        <v>0</v>
      </c>
      <c r="L394" s="193">
        <v>17250</v>
      </c>
      <c r="M394" s="193">
        <v>13200</v>
      </c>
      <c r="N394" s="193">
        <f>SUM(I394:M394)</f>
        <v>1674950</v>
      </c>
      <c r="O394" s="191">
        <v>1200000</v>
      </c>
      <c r="P394" s="57" t="s">
        <v>1876</v>
      </c>
      <c r="Q394" s="29" t="s">
        <v>82</v>
      </c>
      <c r="R394" s="81"/>
      <c r="S394" s="48"/>
      <c r="T394" s="140" t="s">
        <v>1877</v>
      </c>
      <c r="U394" s="30"/>
      <c r="V394" s="58"/>
      <c r="W394" s="52"/>
      <c r="X394" s="193"/>
      <c r="Y394" s="206">
        <f>X394*0.1</f>
        <v>0</v>
      </c>
      <c r="Z394" s="193"/>
      <c r="AA394" s="193">
        <f>SUM(X394:Z394)</f>
        <v>0</v>
      </c>
      <c r="AB394" s="219"/>
    </row>
    <row r="395" spans="1:28" ht="18.600000000000001" thickBot="1">
      <c r="A395" s="250"/>
      <c r="B395" s="31" t="s">
        <v>1797</v>
      </c>
      <c r="C395" s="31">
        <v>58210</v>
      </c>
      <c r="D395" s="32" t="s">
        <v>1878</v>
      </c>
      <c r="E395" s="200"/>
      <c r="F395" s="43" t="s">
        <v>1879</v>
      </c>
      <c r="G395" s="38">
        <v>26896</v>
      </c>
      <c r="H395" s="202"/>
      <c r="I395" s="194"/>
      <c r="J395" s="194"/>
      <c r="K395" s="194"/>
      <c r="L395" s="194"/>
      <c r="M395" s="194"/>
      <c r="N395" s="194"/>
      <c r="O395" s="192"/>
      <c r="P395" s="55" t="s">
        <v>1880</v>
      </c>
      <c r="Q395" s="33" t="s">
        <v>86</v>
      </c>
      <c r="R395" s="34" t="s">
        <v>1881</v>
      </c>
      <c r="S395" s="44" t="s">
        <v>303</v>
      </c>
      <c r="T395" s="46"/>
      <c r="U395" s="35"/>
      <c r="V395" s="56"/>
      <c r="W395" s="46"/>
      <c r="X395" s="194"/>
      <c r="Y395" s="194"/>
      <c r="Z395" s="194"/>
      <c r="AA395" s="194"/>
      <c r="AB395" s="220"/>
    </row>
    <row r="396" spans="1:28" ht="18.600000000000001" thickTop="1">
      <c r="A396" s="249" t="s">
        <v>1882</v>
      </c>
      <c r="B396" s="26">
        <v>44478</v>
      </c>
      <c r="C396" s="36">
        <v>1318</v>
      </c>
      <c r="D396" s="28" t="s">
        <v>1883</v>
      </c>
      <c r="E396" s="199"/>
      <c r="F396" s="54" t="s">
        <v>1884</v>
      </c>
      <c r="G396" s="37"/>
      <c r="H396" s="201">
        <v>4.5</v>
      </c>
      <c r="I396" s="193">
        <v>1300000</v>
      </c>
      <c r="J396" s="193">
        <v>130000</v>
      </c>
      <c r="K396" s="193">
        <v>0</v>
      </c>
      <c r="L396" s="193">
        <v>18300</v>
      </c>
      <c r="M396" s="193">
        <v>13200</v>
      </c>
      <c r="N396" s="193">
        <f>SUM(I396:M397)</f>
        <v>1461500</v>
      </c>
      <c r="O396" s="191">
        <v>1100000</v>
      </c>
      <c r="P396" s="57" t="s">
        <v>1885</v>
      </c>
      <c r="Q396" s="29" t="s">
        <v>82</v>
      </c>
      <c r="R396" s="81"/>
      <c r="S396" s="48" t="s">
        <v>1821</v>
      </c>
      <c r="T396" s="50"/>
      <c r="U396" s="30"/>
      <c r="V396" s="58"/>
      <c r="W396" s="52"/>
      <c r="X396" s="193"/>
      <c r="Y396" s="206">
        <f>X396*0.1</f>
        <v>0</v>
      </c>
      <c r="Z396" s="193"/>
      <c r="AA396" s="193">
        <f>SUM(X396:Z396)</f>
        <v>0</v>
      </c>
      <c r="AB396" s="219"/>
    </row>
    <row r="397" spans="1:28" ht="18.600000000000001" thickBot="1">
      <c r="A397" s="250"/>
      <c r="B397" s="31" t="s">
        <v>1810</v>
      </c>
      <c r="C397" s="31">
        <v>83113</v>
      </c>
      <c r="D397" s="32" t="s">
        <v>1886</v>
      </c>
      <c r="E397" s="200"/>
      <c r="F397" s="43" t="s">
        <v>1887</v>
      </c>
      <c r="G397" s="38">
        <v>48713</v>
      </c>
      <c r="H397" s="202"/>
      <c r="I397" s="194"/>
      <c r="J397" s="194"/>
      <c r="K397" s="194"/>
      <c r="L397" s="194"/>
      <c r="M397" s="194"/>
      <c r="N397" s="194"/>
      <c r="O397" s="192"/>
      <c r="P397" s="55" t="s">
        <v>1888</v>
      </c>
      <c r="Q397" s="33" t="s">
        <v>86</v>
      </c>
      <c r="R397" s="34" t="s">
        <v>1881</v>
      </c>
      <c r="S397" s="44" t="s">
        <v>272</v>
      </c>
      <c r="T397" s="46"/>
      <c r="U397" s="35"/>
      <c r="V397" s="56"/>
      <c r="W397" s="46"/>
      <c r="X397" s="194"/>
      <c r="Y397" s="194"/>
      <c r="Z397" s="194"/>
      <c r="AA397" s="194"/>
      <c r="AB397" s="220"/>
    </row>
    <row r="398" spans="1:28" ht="18.600000000000001" thickTop="1">
      <c r="A398" s="249" t="s">
        <v>1889</v>
      </c>
      <c r="B398" s="26">
        <v>44481</v>
      </c>
      <c r="C398" s="36">
        <v>868</v>
      </c>
      <c r="D398" s="28" t="s">
        <v>1890</v>
      </c>
      <c r="E398" s="199"/>
      <c r="F398" s="54" t="s">
        <v>1891</v>
      </c>
      <c r="G398" s="37" t="s">
        <v>1892</v>
      </c>
      <c r="H398" s="201">
        <v>4</v>
      </c>
      <c r="I398" s="193">
        <v>1710000</v>
      </c>
      <c r="J398" s="193">
        <v>171000</v>
      </c>
      <c r="K398" s="193">
        <v>31800</v>
      </c>
      <c r="L398" s="193">
        <v>15590</v>
      </c>
      <c r="M398" s="193">
        <v>13200</v>
      </c>
      <c r="N398" s="193">
        <f>SUM(I398:M399)</f>
        <v>1941590</v>
      </c>
      <c r="O398" s="191">
        <v>1500000</v>
      </c>
      <c r="P398" s="57" t="s">
        <v>1893</v>
      </c>
      <c r="Q398" s="29" t="s">
        <v>82</v>
      </c>
      <c r="R398" s="81"/>
      <c r="S398" s="48" t="s">
        <v>1494</v>
      </c>
      <c r="T398" s="50"/>
      <c r="U398" s="30" t="s">
        <v>1894</v>
      </c>
      <c r="V398" s="58"/>
      <c r="W398" s="52"/>
      <c r="X398" s="193"/>
      <c r="Y398" s="206">
        <f>X398*0.1</f>
        <v>0</v>
      </c>
      <c r="Z398" s="193"/>
      <c r="AA398" s="193">
        <f>SUM(X398:Z398)</f>
        <v>0</v>
      </c>
      <c r="AB398" s="219"/>
    </row>
    <row r="399" spans="1:28" ht="18.600000000000001" thickBot="1">
      <c r="A399" s="250"/>
      <c r="B399" s="31" t="s">
        <v>1848</v>
      </c>
      <c r="C399" s="31">
        <v>84172</v>
      </c>
      <c r="D399" s="32" t="s">
        <v>1895</v>
      </c>
      <c r="E399" s="200"/>
      <c r="F399" s="43" t="s">
        <v>1896</v>
      </c>
      <c r="G399" s="38">
        <v>48000</v>
      </c>
      <c r="H399" s="202"/>
      <c r="I399" s="194"/>
      <c r="J399" s="194"/>
      <c r="K399" s="194"/>
      <c r="L399" s="194"/>
      <c r="M399" s="194"/>
      <c r="N399" s="194"/>
      <c r="O399" s="192"/>
      <c r="P399" s="55" t="s">
        <v>1897</v>
      </c>
      <c r="Q399" s="33" t="s">
        <v>86</v>
      </c>
      <c r="R399" s="34" t="s">
        <v>1898</v>
      </c>
      <c r="S399" s="44" t="s">
        <v>1899</v>
      </c>
      <c r="T399" s="46"/>
      <c r="U399" s="35" t="s">
        <v>122</v>
      </c>
      <c r="V399" s="56"/>
      <c r="W399" s="46"/>
      <c r="X399" s="194"/>
      <c r="Y399" s="194"/>
      <c r="Z399" s="194"/>
      <c r="AA399" s="194"/>
      <c r="AB399" s="220"/>
    </row>
    <row r="400" spans="1:28" ht="18.600000000000001" thickTop="1">
      <c r="A400" s="249" t="s">
        <v>1900</v>
      </c>
      <c r="B400" s="26">
        <v>44481</v>
      </c>
      <c r="C400" s="36">
        <v>868</v>
      </c>
      <c r="D400" s="28" t="s">
        <v>1901</v>
      </c>
      <c r="E400" s="199"/>
      <c r="F400" s="54" t="s">
        <v>1902</v>
      </c>
      <c r="G400" s="37" t="s">
        <v>1903</v>
      </c>
      <c r="H400" s="201">
        <v>4.5</v>
      </c>
      <c r="I400" s="193">
        <v>4610000</v>
      </c>
      <c r="J400" s="193">
        <v>461000</v>
      </c>
      <c r="K400" s="193">
        <v>21200</v>
      </c>
      <c r="L400" s="193">
        <v>20990</v>
      </c>
      <c r="M400" s="193">
        <v>13200</v>
      </c>
      <c r="N400" s="193">
        <f>SUM(I400:M401)</f>
        <v>5126390</v>
      </c>
      <c r="O400" s="191">
        <v>4700000</v>
      </c>
      <c r="P400" s="57" t="s">
        <v>1904</v>
      </c>
      <c r="Q400" s="29" t="s">
        <v>82</v>
      </c>
      <c r="R400" s="81"/>
      <c r="S400" s="48" t="s">
        <v>1905</v>
      </c>
      <c r="T400" s="50"/>
      <c r="U400" s="30" t="s">
        <v>1906</v>
      </c>
      <c r="V400" s="58"/>
      <c r="W400" s="52"/>
      <c r="X400" s="193"/>
      <c r="Y400" s="206">
        <f>X400*0.1</f>
        <v>0</v>
      </c>
      <c r="Z400" s="193"/>
      <c r="AA400" s="193">
        <f>SUM(X400:Z400)</f>
        <v>0</v>
      </c>
      <c r="AB400" s="219"/>
    </row>
    <row r="401" spans="1:28" ht="18.600000000000001" thickBot="1">
      <c r="A401" s="250"/>
      <c r="B401" s="31" t="s">
        <v>1848</v>
      </c>
      <c r="C401" s="31">
        <v>90003</v>
      </c>
      <c r="D401" s="32" t="s">
        <v>399</v>
      </c>
      <c r="E401" s="200"/>
      <c r="F401" s="43" t="s">
        <v>1907</v>
      </c>
      <c r="G401" s="38">
        <v>44907</v>
      </c>
      <c r="H401" s="202"/>
      <c r="I401" s="194"/>
      <c r="J401" s="194"/>
      <c r="K401" s="194"/>
      <c r="L401" s="194"/>
      <c r="M401" s="194"/>
      <c r="N401" s="194"/>
      <c r="O401" s="192"/>
      <c r="P401" s="55" t="s">
        <v>1908</v>
      </c>
      <c r="Q401" s="33" t="s">
        <v>86</v>
      </c>
      <c r="R401" s="34" t="s">
        <v>1909</v>
      </c>
      <c r="S401" s="44" t="s">
        <v>661</v>
      </c>
      <c r="T401" s="46"/>
      <c r="U401" s="35" t="s">
        <v>216</v>
      </c>
      <c r="V401" s="56"/>
      <c r="W401" s="46"/>
      <c r="X401" s="194"/>
      <c r="Y401" s="194"/>
      <c r="Z401" s="194"/>
      <c r="AA401" s="194"/>
      <c r="AB401" s="220"/>
    </row>
    <row r="402" spans="1:28" ht="18.600000000000001" thickTop="1">
      <c r="A402" s="249" t="s">
        <v>1910</v>
      </c>
      <c r="B402" s="26">
        <v>44483</v>
      </c>
      <c r="C402" s="36">
        <v>1342</v>
      </c>
      <c r="D402" s="28" t="s">
        <v>106</v>
      </c>
      <c r="E402" s="199" t="s">
        <v>282</v>
      </c>
      <c r="F402" s="54" t="s">
        <v>1911</v>
      </c>
      <c r="G402" s="37" t="s">
        <v>1912</v>
      </c>
      <c r="H402" s="201">
        <v>5</v>
      </c>
      <c r="I402" s="193">
        <v>4175000</v>
      </c>
      <c r="J402" s="193">
        <v>417500</v>
      </c>
      <c r="K402" s="193">
        <v>36600</v>
      </c>
      <c r="L402" s="193">
        <v>26520</v>
      </c>
      <c r="M402" s="193">
        <v>13200</v>
      </c>
      <c r="N402" s="193">
        <f>SUM(I402:M403)</f>
        <v>4668820</v>
      </c>
      <c r="O402" s="191"/>
      <c r="P402" s="57" t="s">
        <v>1913</v>
      </c>
      <c r="Q402" s="29" t="s">
        <v>82</v>
      </c>
      <c r="R402" s="81"/>
      <c r="S402" s="48" t="s">
        <v>1494</v>
      </c>
      <c r="T402" s="50" t="s">
        <v>1914</v>
      </c>
      <c r="U402" s="30" t="s">
        <v>1915</v>
      </c>
      <c r="V402" s="58"/>
      <c r="W402" s="52"/>
      <c r="X402" s="193"/>
      <c r="Y402" s="206">
        <f>X402*0.1</f>
        <v>0</v>
      </c>
      <c r="Z402" s="193"/>
      <c r="AA402" s="193">
        <f>SUM(X402:Z402)</f>
        <v>0</v>
      </c>
      <c r="AB402" s="219"/>
    </row>
    <row r="403" spans="1:28" ht="18.600000000000001" thickBot="1">
      <c r="A403" s="250"/>
      <c r="B403" s="31" t="s">
        <v>1858</v>
      </c>
      <c r="C403" s="31">
        <v>75378</v>
      </c>
      <c r="D403" s="32" t="s">
        <v>399</v>
      </c>
      <c r="E403" s="200"/>
      <c r="F403" s="43" t="s">
        <v>1916</v>
      </c>
      <c r="G403" s="38">
        <v>43444</v>
      </c>
      <c r="H403" s="202"/>
      <c r="I403" s="194"/>
      <c r="J403" s="194"/>
      <c r="K403" s="194"/>
      <c r="L403" s="194"/>
      <c r="M403" s="194"/>
      <c r="N403" s="194"/>
      <c r="O403" s="192"/>
      <c r="P403" s="55" t="s">
        <v>1917</v>
      </c>
      <c r="Q403" s="33" t="s">
        <v>86</v>
      </c>
      <c r="R403" s="34" t="s">
        <v>1918</v>
      </c>
      <c r="S403" s="44" t="s">
        <v>1919</v>
      </c>
      <c r="T403" s="46"/>
      <c r="U403" s="35"/>
      <c r="V403" s="56"/>
      <c r="W403" s="46"/>
      <c r="X403" s="194"/>
      <c r="Y403" s="194"/>
      <c r="Z403" s="194"/>
      <c r="AA403" s="194"/>
      <c r="AB403" s="220"/>
    </row>
    <row r="404" spans="1:28" ht="18.600000000000001" thickTop="1">
      <c r="A404" s="249" t="s">
        <v>1920</v>
      </c>
      <c r="B404" s="26">
        <v>44484</v>
      </c>
      <c r="C404" s="36">
        <v>1911</v>
      </c>
      <c r="D404" s="28" t="s">
        <v>1921</v>
      </c>
      <c r="E404" s="199"/>
      <c r="F404" s="54" t="s">
        <v>1922</v>
      </c>
      <c r="G404" s="37" t="s">
        <v>1819</v>
      </c>
      <c r="H404" s="201">
        <v>3.5</v>
      </c>
      <c r="I404" s="193">
        <v>1000000</v>
      </c>
      <c r="J404" s="193">
        <v>100000</v>
      </c>
      <c r="K404" s="193">
        <v>31800</v>
      </c>
      <c r="L404" s="193">
        <v>15490</v>
      </c>
      <c r="M404" s="193">
        <v>13200</v>
      </c>
      <c r="N404" s="193">
        <f>SUM(I404:M405)</f>
        <v>1160490</v>
      </c>
      <c r="O404" s="191"/>
      <c r="P404" s="57" t="s">
        <v>1923</v>
      </c>
      <c r="Q404" s="29" t="s">
        <v>82</v>
      </c>
      <c r="R404" s="81"/>
      <c r="S404" s="48"/>
      <c r="T404" s="50"/>
      <c r="U404" s="30" t="s">
        <v>1924</v>
      </c>
      <c r="V404" s="58"/>
      <c r="W404" s="52"/>
      <c r="X404" s="193"/>
      <c r="Y404" s="206">
        <f>X404*0.1</f>
        <v>0</v>
      </c>
      <c r="Z404" s="193"/>
      <c r="AA404" s="193">
        <f>SUM(X404:Z404)</f>
        <v>0</v>
      </c>
      <c r="AB404" s="219"/>
    </row>
    <row r="405" spans="1:28" ht="18.600000000000001" thickBot="1">
      <c r="A405" s="250"/>
      <c r="B405" s="31" t="s">
        <v>1797</v>
      </c>
      <c r="C405" s="31">
        <v>20427</v>
      </c>
      <c r="D405" s="32" t="s">
        <v>1895</v>
      </c>
      <c r="E405" s="200"/>
      <c r="F405" s="43" t="s">
        <v>1925</v>
      </c>
      <c r="G405" s="38">
        <v>72076</v>
      </c>
      <c r="H405" s="202"/>
      <c r="I405" s="194"/>
      <c r="J405" s="194"/>
      <c r="K405" s="194"/>
      <c r="L405" s="194"/>
      <c r="M405" s="194"/>
      <c r="N405" s="194"/>
      <c r="O405" s="192"/>
      <c r="P405" s="55" t="s">
        <v>1926</v>
      </c>
      <c r="Q405" s="33" t="s">
        <v>86</v>
      </c>
      <c r="R405" s="34" t="s">
        <v>1927</v>
      </c>
      <c r="S405" s="44" t="s">
        <v>1928</v>
      </c>
      <c r="T405" s="46"/>
      <c r="U405" s="35" t="s">
        <v>153</v>
      </c>
      <c r="V405" s="56"/>
      <c r="W405" s="46"/>
      <c r="X405" s="194"/>
      <c r="Y405" s="194"/>
      <c r="Z405" s="194"/>
      <c r="AA405" s="194"/>
      <c r="AB405" s="220"/>
    </row>
    <row r="406" spans="1:28" ht="18.600000000000001" thickTop="1">
      <c r="A406" s="249" t="s">
        <v>1929</v>
      </c>
      <c r="B406" s="26">
        <v>44491</v>
      </c>
      <c r="C406" s="36">
        <v>1912</v>
      </c>
      <c r="D406" s="28" t="s">
        <v>1930</v>
      </c>
      <c r="E406" s="199"/>
      <c r="F406" s="54" t="s">
        <v>1818</v>
      </c>
      <c r="G406" s="37" t="s">
        <v>1931</v>
      </c>
      <c r="H406" s="201">
        <v>4</v>
      </c>
      <c r="I406" s="193">
        <v>1670000</v>
      </c>
      <c r="J406" s="193">
        <v>167000</v>
      </c>
      <c r="K406" s="193">
        <v>16400</v>
      </c>
      <c r="L406" s="193">
        <v>18960</v>
      </c>
      <c r="M406" s="193">
        <v>13200</v>
      </c>
      <c r="N406" s="193">
        <f>SUM(I406:M407)</f>
        <v>1885560</v>
      </c>
      <c r="O406" s="191">
        <v>1500000</v>
      </c>
      <c r="P406" s="57" t="s">
        <v>1932</v>
      </c>
      <c r="Q406" s="29" t="s">
        <v>82</v>
      </c>
      <c r="R406" s="81"/>
      <c r="S406" s="48" t="s">
        <v>940</v>
      </c>
      <c r="T406" s="50"/>
      <c r="U406" s="30" t="s">
        <v>1933</v>
      </c>
      <c r="V406" s="58"/>
      <c r="W406" s="52"/>
      <c r="X406" s="193"/>
      <c r="Y406" s="206">
        <f>X406*0.1</f>
        <v>0</v>
      </c>
      <c r="Z406" s="193"/>
      <c r="AA406" s="193">
        <f>SUM(X406:Z406)</f>
        <v>0</v>
      </c>
      <c r="AB406" s="219"/>
    </row>
    <row r="407" spans="1:28" ht="18.600000000000001" thickBot="1">
      <c r="A407" s="250"/>
      <c r="B407" s="31" t="s">
        <v>1797</v>
      </c>
      <c r="C407" s="31">
        <v>58588</v>
      </c>
      <c r="D407" s="32" t="s">
        <v>108</v>
      </c>
      <c r="E407" s="200"/>
      <c r="F407" s="43" t="s">
        <v>1934</v>
      </c>
      <c r="G407" s="38">
        <v>41805</v>
      </c>
      <c r="H407" s="202"/>
      <c r="I407" s="194"/>
      <c r="J407" s="194"/>
      <c r="K407" s="194"/>
      <c r="L407" s="194"/>
      <c r="M407" s="194"/>
      <c r="N407" s="194"/>
      <c r="O407" s="192"/>
      <c r="P407" s="55" t="s">
        <v>1935</v>
      </c>
      <c r="Q407" s="33" t="s">
        <v>86</v>
      </c>
      <c r="R407" s="34" t="s">
        <v>1936</v>
      </c>
      <c r="S407" s="44" t="s">
        <v>1863</v>
      </c>
      <c r="T407" s="46"/>
      <c r="U407" s="35" t="s">
        <v>1515</v>
      </c>
      <c r="V407" s="56"/>
      <c r="W407" s="46"/>
      <c r="X407" s="194"/>
      <c r="Y407" s="194"/>
      <c r="Z407" s="194"/>
      <c r="AA407" s="194"/>
      <c r="AB407" s="220"/>
    </row>
    <row r="408" spans="1:28" ht="18.600000000000001" thickTop="1">
      <c r="A408" s="249" t="s">
        <v>1937</v>
      </c>
      <c r="B408" s="26">
        <v>44498</v>
      </c>
      <c r="C408" s="36">
        <v>1913</v>
      </c>
      <c r="D408" s="28" t="s">
        <v>1938</v>
      </c>
      <c r="E408" s="199"/>
      <c r="F408" s="54" t="s">
        <v>1939</v>
      </c>
      <c r="G408" s="37" t="s">
        <v>1903</v>
      </c>
      <c r="H408" s="201">
        <v>5</v>
      </c>
      <c r="I408" s="193">
        <v>1770000</v>
      </c>
      <c r="J408" s="193">
        <v>177000</v>
      </c>
      <c r="K408" s="193">
        <v>16400</v>
      </c>
      <c r="L408" s="193">
        <v>19370</v>
      </c>
      <c r="M408" s="193">
        <v>13200</v>
      </c>
      <c r="N408" s="193">
        <f>SUM(I408:M409)</f>
        <v>1995970</v>
      </c>
      <c r="O408" s="191">
        <v>1500000</v>
      </c>
      <c r="P408" s="57" t="s">
        <v>1940</v>
      </c>
      <c r="Q408" s="29" t="s">
        <v>82</v>
      </c>
      <c r="R408" s="81"/>
      <c r="S408" s="48" t="s">
        <v>1941</v>
      </c>
      <c r="T408" s="50"/>
      <c r="U408" s="30" t="s">
        <v>1942</v>
      </c>
      <c r="V408" s="58"/>
      <c r="W408" s="52"/>
      <c r="X408" s="193"/>
      <c r="Y408" s="206">
        <f>X408*0.1</f>
        <v>0</v>
      </c>
      <c r="Z408" s="193"/>
      <c r="AA408" s="193">
        <f>SUM(X408:Z408)</f>
        <v>0</v>
      </c>
      <c r="AB408" s="219"/>
    </row>
    <row r="409" spans="1:28" ht="18.600000000000001" thickBot="1">
      <c r="A409" s="250"/>
      <c r="B409" s="31" t="s">
        <v>1797</v>
      </c>
      <c r="C409" s="31">
        <v>58263</v>
      </c>
      <c r="D409" s="32" t="s">
        <v>1943</v>
      </c>
      <c r="E409" s="200"/>
      <c r="F409" s="43" t="s">
        <v>1944</v>
      </c>
      <c r="G409" s="38">
        <v>33245</v>
      </c>
      <c r="H409" s="202"/>
      <c r="I409" s="194"/>
      <c r="J409" s="194"/>
      <c r="K409" s="194"/>
      <c r="L409" s="194"/>
      <c r="M409" s="194"/>
      <c r="N409" s="194"/>
      <c r="O409" s="192"/>
      <c r="P409" s="55" t="s">
        <v>1945</v>
      </c>
      <c r="Q409" s="33" t="s">
        <v>86</v>
      </c>
      <c r="R409" s="34" t="s">
        <v>1946</v>
      </c>
      <c r="S409" s="44" t="s">
        <v>1947</v>
      </c>
      <c r="T409" s="46"/>
      <c r="U409" s="35" t="s">
        <v>1948</v>
      </c>
      <c r="V409" s="56"/>
      <c r="W409" s="46"/>
      <c r="X409" s="194"/>
      <c r="Y409" s="194"/>
      <c r="Z409" s="194"/>
      <c r="AA409" s="194"/>
      <c r="AB409" s="220"/>
    </row>
    <row r="410" spans="1:28" ht="18.600000000000001" thickTop="1">
      <c r="A410" s="249" t="s">
        <v>1949</v>
      </c>
      <c r="B410" s="26">
        <v>44505</v>
      </c>
      <c r="C410" s="36">
        <v>1914</v>
      </c>
      <c r="D410" s="28" t="s">
        <v>1950</v>
      </c>
      <c r="E410" s="199"/>
      <c r="F410" s="54" t="s">
        <v>1951</v>
      </c>
      <c r="G410" s="37" t="s">
        <v>1952</v>
      </c>
      <c r="H410" s="201">
        <v>4</v>
      </c>
      <c r="I410" s="193">
        <v>700000</v>
      </c>
      <c r="J410" s="193">
        <v>70000</v>
      </c>
      <c r="K410" s="193">
        <v>13100</v>
      </c>
      <c r="L410" s="193">
        <v>19950</v>
      </c>
      <c r="M410" s="193">
        <v>13200</v>
      </c>
      <c r="N410" s="193">
        <f>SUM(I410:M411)</f>
        <v>816250</v>
      </c>
      <c r="O410" s="191">
        <v>400000</v>
      </c>
      <c r="P410" s="57" t="s">
        <v>1953</v>
      </c>
      <c r="Q410" s="29" t="s">
        <v>82</v>
      </c>
      <c r="R410" s="81"/>
      <c r="S410" s="48" t="s">
        <v>1954</v>
      </c>
      <c r="T410" s="50"/>
      <c r="U410" s="30" t="s">
        <v>1955</v>
      </c>
      <c r="V410" s="58"/>
      <c r="W410" s="52"/>
      <c r="X410" s="193"/>
      <c r="Y410" s="206">
        <f>X410*0.1</f>
        <v>0</v>
      </c>
      <c r="Z410" s="193"/>
      <c r="AA410" s="193">
        <f>SUM(X410:Z410)</f>
        <v>0</v>
      </c>
      <c r="AB410" s="219"/>
    </row>
    <row r="411" spans="1:28" ht="18.600000000000001" thickBot="1">
      <c r="A411" s="250"/>
      <c r="B411" s="31" t="s">
        <v>1797</v>
      </c>
      <c r="C411" s="31">
        <v>20674</v>
      </c>
      <c r="D411" s="32" t="s">
        <v>1895</v>
      </c>
      <c r="E411" s="200"/>
      <c r="F411" s="43" t="s">
        <v>1956</v>
      </c>
      <c r="G411" s="38">
        <v>36064</v>
      </c>
      <c r="H411" s="202"/>
      <c r="I411" s="194"/>
      <c r="J411" s="194"/>
      <c r="K411" s="194"/>
      <c r="L411" s="194"/>
      <c r="M411" s="194"/>
      <c r="N411" s="194"/>
      <c r="O411" s="192"/>
      <c r="P411" s="55" t="s">
        <v>1957</v>
      </c>
      <c r="Q411" s="33" t="s">
        <v>86</v>
      </c>
      <c r="R411" s="34" t="s">
        <v>1958</v>
      </c>
      <c r="S411" s="44" t="s">
        <v>1872</v>
      </c>
      <c r="T411" s="46"/>
      <c r="U411" s="35" t="s">
        <v>1767</v>
      </c>
      <c r="V411" s="56"/>
      <c r="W411" s="46"/>
      <c r="X411" s="194"/>
      <c r="Y411" s="194"/>
      <c r="Z411" s="194"/>
      <c r="AA411" s="194"/>
      <c r="AB411" s="220"/>
    </row>
    <row r="412" spans="1:28" ht="18.600000000000001" thickTop="1">
      <c r="A412" s="249" t="s">
        <v>1959</v>
      </c>
      <c r="B412" s="26">
        <v>44512</v>
      </c>
      <c r="C412" s="36">
        <v>1915</v>
      </c>
      <c r="D412" s="28" t="s">
        <v>1960</v>
      </c>
      <c r="E412" s="199"/>
      <c r="F412" s="54" t="s">
        <v>1961</v>
      </c>
      <c r="G412" s="37" t="s">
        <v>1962</v>
      </c>
      <c r="H412" s="201">
        <v>4.5</v>
      </c>
      <c r="I412" s="193">
        <v>1260000</v>
      </c>
      <c r="J412" s="193">
        <v>126000</v>
      </c>
      <c r="K412" s="193">
        <v>11500</v>
      </c>
      <c r="L412" s="193">
        <v>18570</v>
      </c>
      <c r="M412" s="193">
        <v>13200</v>
      </c>
      <c r="N412" s="193">
        <f>SUM(I412:M413)</f>
        <v>1429270</v>
      </c>
      <c r="O412" s="191">
        <v>1100000</v>
      </c>
      <c r="P412" s="57" t="s">
        <v>1963</v>
      </c>
      <c r="Q412" s="29" t="s">
        <v>82</v>
      </c>
      <c r="R412" s="81"/>
      <c r="S412" s="48" t="s">
        <v>1666</v>
      </c>
      <c r="T412" s="50"/>
      <c r="U412" s="30" t="s">
        <v>1964</v>
      </c>
      <c r="V412" s="58"/>
      <c r="W412" s="52"/>
      <c r="X412" s="193"/>
      <c r="Y412" s="206">
        <f>X412*0.1</f>
        <v>0</v>
      </c>
      <c r="Z412" s="193"/>
      <c r="AA412" s="193">
        <f>SUM(X412:Z412)</f>
        <v>0</v>
      </c>
      <c r="AB412" s="219"/>
    </row>
    <row r="413" spans="1:28" ht="18.600000000000001" thickBot="1">
      <c r="A413" s="250"/>
      <c r="B413" s="31" t="s">
        <v>1797</v>
      </c>
      <c r="C413" s="31">
        <v>58247</v>
      </c>
      <c r="D413" s="32" t="s">
        <v>1965</v>
      </c>
      <c r="E413" s="200"/>
      <c r="F413" s="43" t="s">
        <v>1966</v>
      </c>
      <c r="G413" s="38">
        <v>45636</v>
      </c>
      <c r="H413" s="202"/>
      <c r="I413" s="194"/>
      <c r="J413" s="194"/>
      <c r="K413" s="194"/>
      <c r="L413" s="194"/>
      <c r="M413" s="194"/>
      <c r="N413" s="194"/>
      <c r="O413" s="192"/>
      <c r="P413" s="55" t="s">
        <v>1967</v>
      </c>
      <c r="Q413" s="33" t="s">
        <v>86</v>
      </c>
      <c r="R413" s="34" t="s">
        <v>1968</v>
      </c>
      <c r="S413" s="44" t="s">
        <v>1969</v>
      </c>
      <c r="T413" s="46"/>
      <c r="U413" s="35" t="s">
        <v>153</v>
      </c>
      <c r="V413" s="56"/>
      <c r="W413" s="46"/>
      <c r="X413" s="194"/>
      <c r="Y413" s="194"/>
      <c r="Z413" s="194"/>
      <c r="AA413" s="194"/>
      <c r="AB413" s="220"/>
    </row>
    <row r="414" spans="1:28" ht="18.600000000000001" thickTop="1">
      <c r="A414" s="249" t="s">
        <v>1970</v>
      </c>
      <c r="B414" s="26">
        <v>44513</v>
      </c>
      <c r="C414" s="36">
        <v>803</v>
      </c>
      <c r="D414" s="28" t="s">
        <v>1804</v>
      </c>
      <c r="E414" s="199"/>
      <c r="F414" s="54" t="s">
        <v>1951</v>
      </c>
      <c r="G414" s="37"/>
      <c r="H414" s="201">
        <v>4.5</v>
      </c>
      <c r="I414" s="193">
        <v>563000</v>
      </c>
      <c r="J414" s="193">
        <v>56300</v>
      </c>
      <c r="K414" s="193">
        <v>0</v>
      </c>
      <c r="L414" s="193">
        <v>19950</v>
      </c>
      <c r="M414" s="193">
        <v>15950</v>
      </c>
      <c r="N414" s="193">
        <f>SUM(I414:M415)</f>
        <v>655200</v>
      </c>
      <c r="O414" s="191">
        <v>300000</v>
      </c>
      <c r="P414" s="57" t="s">
        <v>1971</v>
      </c>
      <c r="Q414" s="29" t="s">
        <v>82</v>
      </c>
      <c r="R414" s="81"/>
      <c r="S414" s="48" t="s">
        <v>1573</v>
      </c>
      <c r="T414" s="50"/>
      <c r="U414" s="30"/>
      <c r="V414" s="58"/>
      <c r="W414" s="52"/>
      <c r="X414" s="193"/>
      <c r="Y414" s="206">
        <f>X414*0.1</f>
        <v>0</v>
      </c>
      <c r="Z414" s="193"/>
      <c r="AA414" s="193">
        <f>SUM(X414:Z414)</f>
        <v>0</v>
      </c>
      <c r="AB414" s="219"/>
    </row>
    <row r="415" spans="1:28" ht="18.600000000000001" thickBot="1">
      <c r="A415" s="250"/>
      <c r="B415" s="31" t="s">
        <v>1972</v>
      </c>
      <c r="C415" s="31">
        <v>5018</v>
      </c>
      <c r="D415" s="32" t="s">
        <v>1849</v>
      </c>
      <c r="E415" s="200"/>
      <c r="F415" s="43" t="s">
        <v>1973</v>
      </c>
      <c r="G415" s="38">
        <v>46468</v>
      </c>
      <c r="H415" s="202"/>
      <c r="I415" s="194"/>
      <c r="J415" s="194"/>
      <c r="K415" s="194"/>
      <c r="L415" s="194"/>
      <c r="M415" s="194"/>
      <c r="N415" s="194"/>
      <c r="O415" s="192"/>
      <c r="P415" s="55" t="s">
        <v>1974</v>
      </c>
      <c r="Q415" s="33" t="s">
        <v>86</v>
      </c>
      <c r="R415" s="34" t="s">
        <v>1968</v>
      </c>
      <c r="S415" s="44" t="s">
        <v>1975</v>
      </c>
      <c r="T415" s="46" t="s">
        <v>1976</v>
      </c>
      <c r="U415" s="35"/>
      <c r="V415" s="56"/>
      <c r="W415" s="46"/>
      <c r="X415" s="194"/>
      <c r="Y415" s="194"/>
      <c r="Z415" s="194"/>
      <c r="AA415" s="194"/>
      <c r="AB415" s="220"/>
    </row>
    <row r="416" spans="1:28" ht="18.600000000000001" thickTop="1">
      <c r="A416" s="249" t="s">
        <v>1977</v>
      </c>
      <c r="B416" s="26">
        <v>44515</v>
      </c>
      <c r="C416" s="36"/>
      <c r="D416" s="28" t="s">
        <v>1978</v>
      </c>
      <c r="E416" s="199"/>
      <c r="F416" s="54" t="s">
        <v>1979</v>
      </c>
      <c r="G416" s="37" t="s">
        <v>1980</v>
      </c>
      <c r="H416" s="205" t="s">
        <v>1981</v>
      </c>
      <c r="I416" s="193">
        <v>450000</v>
      </c>
      <c r="J416" s="193">
        <v>45000</v>
      </c>
      <c r="K416" s="193">
        <v>0</v>
      </c>
      <c r="L416" s="193">
        <v>8680</v>
      </c>
      <c r="M416" s="193">
        <v>52106</v>
      </c>
      <c r="N416" s="193">
        <f>SUM(I416:M417)</f>
        <v>555786</v>
      </c>
      <c r="O416" s="191">
        <v>300000</v>
      </c>
      <c r="P416" s="57" t="s">
        <v>1982</v>
      </c>
      <c r="Q416" s="29" t="s">
        <v>82</v>
      </c>
      <c r="R416" s="81"/>
      <c r="S416" s="48" t="s">
        <v>1983</v>
      </c>
      <c r="T416" s="50" t="s">
        <v>1984</v>
      </c>
      <c r="U416" s="30"/>
      <c r="V416" s="58"/>
      <c r="W416" s="52"/>
      <c r="X416" s="193"/>
      <c r="Y416" s="206">
        <f>X416*0.1</f>
        <v>0</v>
      </c>
      <c r="Z416" s="193"/>
      <c r="AA416" s="193">
        <f>SUM(X416:Z416)</f>
        <v>0</v>
      </c>
      <c r="AB416" s="219"/>
    </row>
    <row r="417" spans="1:28" ht="18.600000000000001" thickBot="1">
      <c r="A417" s="250"/>
      <c r="B417" s="31" t="s">
        <v>1985</v>
      </c>
      <c r="C417" s="31" t="s">
        <v>1986</v>
      </c>
      <c r="D417" s="32" t="s">
        <v>1987</v>
      </c>
      <c r="E417" s="200"/>
      <c r="F417" s="43" t="s">
        <v>1988</v>
      </c>
      <c r="G417" s="38">
        <v>35297</v>
      </c>
      <c r="H417" s="202"/>
      <c r="I417" s="194"/>
      <c r="J417" s="194"/>
      <c r="K417" s="194"/>
      <c r="L417" s="194"/>
      <c r="M417" s="194"/>
      <c r="N417" s="194"/>
      <c r="O417" s="192"/>
      <c r="P417" s="55" t="s">
        <v>1989</v>
      </c>
      <c r="Q417" s="33" t="s">
        <v>86</v>
      </c>
      <c r="R417" s="34" t="s">
        <v>1990</v>
      </c>
      <c r="S417" s="44" t="s">
        <v>1991</v>
      </c>
      <c r="T417" s="46"/>
      <c r="U417" s="35"/>
      <c r="V417" s="56"/>
      <c r="W417" s="46"/>
      <c r="X417" s="194"/>
      <c r="Y417" s="194"/>
      <c r="Z417" s="194"/>
      <c r="AA417" s="194"/>
      <c r="AB417" s="220"/>
    </row>
    <row r="418" spans="1:28" ht="18.600000000000001" thickTop="1">
      <c r="A418" s="249" t="s">
        <v>1992</v>
      </c>
      <c r="B418" s="26">
        <v>44520</v>
      </c>
      <c r="C418" s="36">
        <v>1324</v>
      </c>
      <c r="D418" s="28" t="s">
        <v>1993</v>
      </c>
      <c r="E418" s="199"/>
      <c r="F418" s="54" t="s">
        <v>1994</v>
      </c>
      <c r="G418" s="37" t="s">
        <v>1903</v>
      </c>
      <c r="H418" s="201">
        <v>5</v>
      </c>
      <c r="I418" s="193">
        <v>2105000</v>
      </c>
      <c r="J418" s="193">
        <v>210500</v>
      </c>
      <c r="K418" s="193">
        <v>11500</v>
      </c>
      <c r="L418" s="193">
        <v>12370</v>
      </c>
      <c r="M418" s="193">
        <v>13200</v>
      </c>
      <c r="N418" s="193">
        <f>SUM(I418:M419)</f>
        <v>2352570</v>
      </c>
      <c r="O418" s="191">
        <v>2000000</v>
      </c>
      <c r="P418" s="57" t="s">
        <v>1995</v>
      </c>
      <c r="Q418" s="29" t="s">
        <v>82</v>
      </c>
      <c r="R418" s="81"/>
      <c r="S418" s="48" t="s">
        <v>1540</v>
      </c>
      <c r="T418" s="50"/>
      <c r="U418" s="30" t="s">
        <v>1996</v>
      </c>
      <c r="V418" s="58"/>
      <c r="W418" s="52"/>
      <c r="X418" s="193"/>
      <c r="Y418" s="206">
        <f>X418*0.1</f>
        <v>0</v>
      </c>
      <c r="Z418" s="193"/>
      <c r="AA418" s="193">
        <f>SUM(X418:Z418)</f>
        <v>0</v>
      </c>
      <c r="AB418" s="219"/>
    </row>
    <row r="419" spans="1:28" ht="18.600000000000001" thickBot="1">
      <c r="A419" s="250"/>
      <c r="B419" s="31" t="s">
        <v>1810</v>
      </c>
      <c r="C419" s="31">
        <v>83106</v>
      </c>
      <c r="D419" s="32" t="s">
        <v>244</v>
      </c>
      <c r="E419" s="200"/>
      <c r="F419" s="43" t="s">
        <v>1997</v>
      </c>
      <c r="G419" s="38">
        <v>22678</v>
      </c>
      <c r="H419" s="202"/>
      <c r="I419" s="194"/>
      <c r="J419" s="194"/>
      <c r="K419" s="194"/>
      <c r="L419" s="194"/>
      <c r="M419" s="194"/>
      <c r="N419" s="194"/>
      <c r="O419" s="192"/>
      <c r="P419" s="55" t="s">
        <v>1998</v>
      </c>
      <c r="Q419" s="33" t="s">
        <v>86</v>
      </c>
      <c r="R419" s="34" t="s">
        <v>1999</v>
      </c>
      <c r="S419" s="44" t="s">
        <v>2000</v>
      </c>
      <c r="T419" s="46"/>
      <c r="U419" s="35" t="s">
        <v>2001</v>
      </c>
      <c r="V419" s="56"/>
      <c r="W419" s="46"/>
      <c r="X419" s="194"/>
      <c r="Y419" s="194"/>
      <c r="Z419" s="194"/>
      <c r="AA419" s="194"/>
      <c r="AB419" s="220"/>
    </row>
    <row r="420" spans="1:28" ht="18.600000000000001" thickTop="1">
      <c r="A420" s="249" t="s">
        <v>2013</v>
      </c>
      <c r="B420" s="26">
        <v>44532</v>
      </c>
      <c r="C420" s="36">
        <v>1115</v>
      </c>
      <c r="D420" s="28" t="s">
        <v>2014</v>
      </c>
      <c r="E420" s="199"/>
      <c r="F420" s="54" t="s">
        <v>1358</v>
      </c>
      <c r="G420" s="37"/>
      <c r="H420" s="201">
        <v>4</v>
      </c>
      <c r="I420" s="193">
        <v>2105000</v>
      </c>
      <c r="J420" s="193">
        <v>210500</v>
      </c>
      <c r="K420" s="193">
        <v>0</v>
      </c>
      <c r="L420" s="193">
        <v>17600</v>
      </c>
      <c r="M420" s="193">
        <v>13200</v>
      </c>
      <c r="N420" s="193">
        <f>SUM(I420:M421)</f>
        <v>2346300</v>
      </c>
      <c r="O420" s="191">
        <v>1900000</v>
      </c>
      <c r="P420" s="57" t="s">
        <v>2015</v>
      </c>
      <c r="Q420" s="29" t="s">
        <v>82</v>
      </c>
      <c r="R420" s="81"/>
      <c r="S420" s="48" t="s">
        <v>2016</v>
      </c>
      <c r="T420" s="50"/>
      <c r="U420" s="30"/>
      <c r="V420" s="58"/>
      <c r="W420" s="52"/>
      <c r="X420" s="193"/>
      <c r="Y420" s="206">
        <f>X420*0.1</f>
        <v>0</v>
      </c>
      <c r="Z420" s="193"/>
      <c r="AA420" s="193">
        <f>SUM(X420:Z420)</f>
        <v>0</v>
      </c>
      <c r="AB420" s="219"/>
    </row>
    <row r="421" spans="1:28" ht="18.600000000000001" thickBot="1">
      <c r="A421" s="250"/>
      <c r="B421" s="31" t="s">
        <v>2017</v>
      </c>
      <c r="C421" s="31">
        <v>332</v>
      </c>
      <c r="D421" s="32" t="s">
        <v>2018</v>
      </c>
      <c r="E421" s="200"/>
      <c r="F421" s="43" t="s">
        <v>2019</v>
      </c>
      <c r="G421" s="38">
        <v>46233</v>
      </c>
      <c r="H421" s="202"/>
      <c r="I421" s="194"/>
      <c r="J421" s="194"/>
      <c r="K421" s="194"/>
      <c r="L421" s="194"/>
      <c r="M421" s="194"/>
      <c r="N421" s="194"/>
      <c r="O421" s="192"/>
      <c r="P421" s="55" t="s">
        <v>2020</v>
      </c>
      <c r="Q421" s="33" t="s">
        <v>86</v>
      </c>
      <c r="R421" s="34" t="s">
        <v>2021</v>
      </c>
      <c r="S421" s="44" t="s">
        <v>661</v>
      </c>
      <c r="T421" s="46"/>
      <c r="U421" s="35"/>
      <c r="V421" s="56"/>
      <c r="W421" s="46"/>
      <c r="X421" s="194"/>
      <c r="Y421" s="194"/>
      <c r="Z421" s="194"/>
      <c r="AA421" s="194"/>
      <c r="AB421" s="220"/>
    </row>
    <row r="422" spans="1:28" ht="18.600000000000001" thickTop="1">
      <c r="A422" s="249" t="s">
        <v>2022</v>
      </c>
      <c r="B422" s="26">
        <v>44534</v>
      </c>
      <c r="C422" s="36">
        <v>1083</v>
      </c>
      <c r="D422" s="28" t="s">
        <v>2023</v>
      </c>
      <c r="E422" s="199"/>
      <c r="F422" s="54" t="s">
        <v>2024</v>
      </c>
      <c r="G422" s="37"/>
      <c r="H422" s="201">
        <v>4.5</v>
      </c>
      <c r="I422" s="193">
        <v>2340000</v>
      </c>
      <c r="J422" s="193">
        <v>234000</v>
      </c>
      <c r="K422" s="193">
        <v>0</v>
      </c>
      <c r="L422" s="193">
        <v>16070</v>
      </c>
      <c r="M422" s="193">
        <v>13200</v>
      </c>
      <c r="N422" s="193">
        <f>SUM(I422:M423)</f>
        <v>2603270</v>
      </c>
      <c r="O422" s="191">
        <v>2200000</v>
      </c>
      <c r="P422" s="57" t="s">
        <v>2025</v>
      </c>
      <c r="Q422" s="29" t="s">
        <v>82</v>
      </c>
      <c r="R422" s="81"/>
      <c r="S422" s="48" t="s">
        <v>1494</v>
      </c>
      <c r="T422" s="50"/>
      <c r="U422" s="30"/>
      <c r="V422" s="58"/>
      <c r="W422" s="52"/>
      <c r="X422" s="193"/>
      <c r="Y422" s="206">
        <f>X422*0.1</f>
        <v>0</v>
      </c>
      <c r="Z422" s="193"/>
      <c r="AA422" s="193">
        <f>SUM(X422:Z422)</f>
        <v>0</v>
      </c>
      <c r="AB422" s="219"/>
    </row>
    <row r="423" spans="1:28" ht="18.600000000000001" thickBot="1">
      <c r="A423" s="250"/>
      <c r="B423" s="31" t="s">
        <v>1823</v>
      </c>
      <c r="C423" s="31">
        <v>82068</v>
      </c>
      <c r="D423" s="32" t="s">
        <v>399</v>
      </c>
      <c r="E423" s="200"/>
      <c r="F423" s="43" t="s">
        <v>2026</v>
      </c>
      <c r="G423" s="38">
        <v>12099</v>
      </c>
      <c r="H423" s="202"/>
      <c r="I423" s="194"/>
      <c r="J423" s="194"/>
      <c r="K423" s="194"/>
      <c r="L423" s="194"/>
      <c r="M423" s="194"/>
      <c r="N423" s="194"/>
      <c r="O423" s="192"/>
      <c r="P423" s="55" t="s">
        <v>2027</v>
      </c>
      <c r="Q423" s="33" t="s">
        <v>86</v>
      </c>
      <c r="R423" s="34" t="s">
        <v>2028</v>
      </c>
      <c r="S423" s="44" t="s">
        <v>96</v>
      </c>
      <c r="T423" s="46"/>
      <c r="U423" s="35"/>
      <c r="V423" s="56"/>
      <c r="W423" s="46"/>
      <c r="X423" s="194"/>
      <c r="Y423" s="194"/>
      <c r="Z423" s="194"/>
      <c r="AA423" s="194"/>
      <c r="AB423" s="220"/>
    </row>
    <row r="424" spans="1:28" ht="18.600000000000001" thickTop="1">
      <c r="A424" s="249" t="s">
        <v>2029</v>
      </c>
      <c r="B424" s="26">
        <v>44536</v>
      </c>
      <c r="C424" s="36">
        <v>1877</v>
      </c>
      <c r="D424" s="28" t="s">
        <v>2030</v>
      </c>
      <c r="E424" s="199"/>
      <c r="F424" s="54" t="s">
        <v>2031</v>
      </c>
      <c r="G424" s="37" t="s">
        <v>2032</v>
      </c>
      <c r="H424" s="201">
        <v>3.5</v>
      </c>
      <c r="I424" s="193">
        <v>1510000</v>
      </c>
      <c r="J424" s="193">
        <v>151000</v>
      </c>
      <c r="K424" s="193">
        <v>9800</v>
      </c>
      <c r="L424" s="193">
        <v>22640</v>
      </c>
      <c r="M424" s="193">
        <v>11000</v>
      </c>
      <c r="N424" s="193">
        <f>SUM(I424:M425)</f>
        <v>1704440</v>
      </c>
      <c r="O424" s="191">
        <v>1200000</v>
      </c>
      <c r="P424" s="57" t="s">
        <v>2033</v>
      </c>
      <c r="Q424" s="29" t="s">
        <v>82</v>
      </c>
      <c r="R424" s="81"/>
      <c r="S424" s="48" t="s">
        <v>2034</v>
      </c>
      <c r="T424" s="50"/>
      <c r="U424" s="30"/>
      <c r="V424" s="58"/>
      <c r="W424" s="52"/>
      <c r="X424" s="193"/>
      <c r="Y424" s="206">
        <f>X424*0.1</f>
        <v>0</v>
      </c>
      <c r="Z424" s="193"/>
      <c r="AA424" s="193">
        <f>SUM(X424:Z424)</f>
        <v>0</v>
      </c>
      <c r="AB424" s="219"/>
    </row>
    <row r="425" spans="1:28" ht="18.600000000000001" thickBot="1">
      <c r="A425" s="250"/>
      <c r="B425" s="31" t="s">
        <v>189</v>
      </c>
      <c r="C425" s="31">
        <v>36023</v>
      </c>
      <c r="D425" s="32" t="s">
        <v>1849</v>
      </c>
      <c r="E425" s="200"/>
      <c r="F425" s="43" t="s">
        <v>2035</v>
      </c>
      <c r="G425" s="38">
        <v>56753</v>
      </c>
      <c r="H425" s="202"/>
      <c r="I425" s="194"/>
      <c r="J425" s="194"/>
      <c r="K425" s="194"/>
      <c r="L425" s="194"/>
      <c r="M425" s="194"/>
      <c r="N425" s="194"/>
      <c r="O425" s="192"/>
      <c r="P425" s="55" t="s">
        <v>2036</v>
      </c>
      <c r="Q425" s="33" t="s">
        <v>86</v>
      </c>
      <c r="R425" s="34" t="s">
        <v>2037</v>
      </c>
      <c r="S425" s="44" t="s">
        <v>2038</v>
      </c>
      <c r="T425" s="46"/>
      <c r="U425" s="35" t="s">
        <v>153</v>
      </c>
      <c r="V425" s="56"/>
      <c r="W425" s="46"/>
      <c r="X425" s="194"/>
      <c r="Y425" s="194"/>
      <c r="Z425" s="194"/>
      <c r="AA425" s="194"/>
      <c r="AB425" s="220"/>
    </row>
    <row r="426" spans="1:28" ht="18.600000000000001" thickTop="1">
      <c r="A426" s="249" t="s">
        <v>2039</v>
      </c>
      <c r="B426" s="26">
        <v>44539</v>
      </c>
      <c r="C426" s="36">
        <v>1116</v>
      </c>
      <c r="D426" s="28" t="s">
        <v>2040</v>
      </c>
      <c r="E426" s="199"/>
      <c r="F426" s="54" t="s">
        <v>2041</v>
      </c>
      <c r="G426" s="37"/>
      <c r="H426" s="201">
        <v>4.5</v>
      </c>
      <c r="I426" s="193">
        <v>2010000</v>
      </c>
      <c r="J426" s="193">
        <v>201000</v>
      </c>
      <c r="K426" s="193">
        <v>0</v>
      </c>
      <c r="L426" s="193">
        <v>12450</v>
      </c>
      <c r="M426" s="193">
        <v>24200</v>
      </c>
      <c r="N426" s="193">
        <f>SUM(I426:M427)</f>
        <v>2247650</v>
      </c>
      <c r="O426" s="191">
        <v>1500000</v>
      </c>
      <c r="P426" s="57" t="s">
        <v>2042</v>
      </c>
      <c r="Q426" s="29" t="s">
        <v>82</v>
      </c>
      <c r="R426" s="81"/>
      <c r="S426" s="48" t="s">
        <v>2043</v>
      </c>
      <c r="T426" s="50"/>
      <c r="U426" s="30"/>
      <c r="V426" s="58"/>
      <c r="W426" s="52"/>
      <c r="X426" s="193"/>
      <c r="Y426" s="206">
        <f>X426*0.1</f>
        <v>0</v>
      </c>
      <c r="Z426" s="193"/>
      <c r="AA426" s="193">
        <f>SUM(X426:Z426)</f>
        <v>0</v>
      </c>
      <c r="AB426" s="219"/>
    </row>
    <row r="427" spans="1:28" ht="18.600000000000001" thickBot="1">
      <c r="A427" s="250"/>
      <c r="B427" s="31" t="s">
        <v>2017</v>
      </c>
      <c r="C427" s="31">
        <v>343</v>
      </c>
      <c r="D427" s="141" t="s">
        <v>2044</v>
      </c>
      <c r="E427" s="200"/>
      <c r="F427" s="43" t="s">
        <v>2045</v>
      </c>
      <c r="G427" s="38">
        <v>49773</v>
      </c>
      <c r="H427" s="202"/>
      <c r="I427" s="194"/>
      <c r="J427" s="194"/>
      <c r="K427" s="194"/>
      <c r="L427" s="194"/>
      <c r="M427" s="194"/>
      <c r="N427" s="194"/>
      <c r="O427" s="192"/>
      <c r="P427" s="55" t="s">
        <v>2046</v>
      </c>
      <c r="Q427" s="33" t="s">
        <v>86</v>
      </c>
      <c r="R427" s="34" t="s">
        <v>2028</v>
      </c>
      <c r="S427" s="44" t="s">
        <v>2047</v>
      </c>
      <c r="T427" s="46" t="s">
        <v>2048</v>
      </c>
      <c r="U427" s="35"/>
      <c r="V427" s="56"/>
      <c r="W427" s="46"/>
      <c r="X427" s="194"/>
      <c r="Y427" s="194"/>
      <c r="Z427" s="194"/>
      <c r="AA427" s="194"/>
      <c r="AB427" s="220"/>
    </row>
    <row r="428" spans="1:28" ht="18.600000000000001" thickTop="1">
      <c r="A428" s="249" t="s">
        <v>2049</v>
      </c>
      <c r="B428" s="26">
        <v>44541</v>
      </c>
      <c r="C428" s="36">
        <v>1249</v>
      </c>
      <c r="D428" s="28" t="s">
        <v>2050</v>
      </c>
      <c r="E428" s="199"/>
      <c r="F428" s="54" t="s">
        <v>2051</v>
      </c>
      <c r="G428" s="37"/>
      <c r="H428" s="201">
        <v>4.5</v>
      </c>
      <c r="I428" s="193">
        <v>1832000</v>
      </c>
      <c r="J428" s="193">
        <v>183200</v>
      </c>
      <c r="K428" s="193">
        <v>0</v>
      </c>
      <c r="L428" s="193">
        <v>18960</v>
      </c>
      <c r="M428" s="193">
        <v>13200</v>
      </c>
      <c r="N428" s="193">
        <f>SUM(I428:M429)</f>
        <v>2047360</v>
      </c>
      <c r="O428" s="191">
        <v>1600000</v>
      </c>
      <c r="P428" s="57" t="s">
        <v>2052</v>
      </c>
      <c r="Q428" s="29" t="s">
        <v>82</v>
      </c>
      <c r="R428" s="81"/>
      <c r="S428" s="48"/>
      <c r="T428" s="50"/>
      <c r="U428" s="30"/>
      <c r="V428" s="58"/>
      <c r="W428" s="52"/>
      <c r="X428" s="193"/>
      <c r="Y428" s="206">
        <f>X428*0.1</f>
        <v>0</v>
      </c>
      <c r="Z428" s="193"/>
      <c r="AA428" s="193">
        <f>SUM(X428:Z428)</f>
        <v>0</v>
      </c>
      <c r="AB428" s="219"/>
    </row>
    <row r="429" spans="1:28" ht="18.600000000000001" thickBot="1">
      <c r="A429" s="250"/>
      <c r="B429" s="31" t="s">
        <v>2053</v>
      </c>
      <c r="C429" s="31">
        <v>6052</v>
      </c>
      <c r="D429" s="32" t="s">
        <v>2054</v>
      </c>
      <c r="E429" s="200"/>
      <c r="F429" s="43" t="s">
        <v>2055</v>
      </c>
      <c r="G429" s="38">
        <v>47941</v>
      </c>
      <c r="H429" s="202"/>
      <c r="I429" s="194"/>
      <c r="J429" s="194"/>
      <c r="K429" s="194"/>
      <c r="L429" s="194"/>
      <c r="M429" s="194"/>
      <c r="N429" s="194"/>
      <c r="O429" s="192"/>
      <c r="P429" s="55" t="s">
        <v>2056</v>
      </c>
      <c r="Q429" s="33" t="s">
        <v>86</v>
      </c>
      <c r="R429" s="34" t="s">
        <v>2057</v>
      </c>
      <c r="S429" s="44" t="s">
        <v>2058</v>
      </c>
      <c r="T429" s="46"/>
      <c r="U429" s="35"/>
      <c r="V429" s="56"/>
      <c r="W429" s="46"/>
      <c r="X429" s="194"/>
      <c r="Y429" s="194"/>
      <c r="Z429" s="194"/>
      <c r="AA429" s="194"/>
      <c r="AB429" s="220"/>
    </row>
    <row r="430" spans="1:28" ht="18.600000000000001" thickTop="1">
      <c r="A430" s="249" t="s">
        <v>2059</v>
      </c>
      <c r="B430" s="26">
        <v>44541</v>
      </c>
      <c r="C430" s="36">
        <v>1084</v>
      </c>
      <c r="D430" s="28" t="s">
        <v>1817</v>
      </c>
      <c r="E430" s="199"/>
      <c r="F430" s="54" t="s">
        <v>2060</v>
      </c>
      <c r="G430" s="37" t="s">
        <v>2061</v>
      </c>
      <c r="H430" s="201">
        <v>4.5</v>
      </c>
      <c r="I430" s="193">
        <v>950000</v>
      </c>
      <c r="J430" s="193">
        <v>95000</v>
      </c>
      <c r="K430" s="193">
        <v>9800</v>
      </c>
      <c r="L430" s="193">
        <v>20900</v>
      </c>
      <c r="M430" s="193">
        <v>13200</v>
      </c>
      <c r="N430" s="193">
        <f>SUM(I430:M431)</f>
        <v>1088900</v>
      </c>
      <c r="O430" s="191">
        <v>650000</v>
      </c>
      <c r="P430" s="57" t="s">
        <v>2062</v>
      </c>
      <c r="Q430" s="29" t="s">
        <v>82</v>
      </c>
      <c r="R430" s="81"/>
      <c r="S430" s="48" t="s">
        <v>2063</v>
      </c>
      <c r="T430" s="50"/>
      <c r="U430" s="30" t="s">
        <v>2064</v>
      </c>
      <c r="V430" s="58"/>
      <c r="W430" s="52"/>
      <c r="X430" s="193"/>
      <c r="Y430" s="206">
        <f>X430*0.1</f>
        <v>0</v>
      </c>
      <c r="Z430" s="193"/>
      <c r="AA430" s="193">
        <f>SUM(X430:Z430)</f>
        <v>0</v>
      </c>
      <c r="AB430" s="219"/>
    </row>
    <row r="431" spans="1:28" ht="18.600000000000001" thickBot="1">
      <c r="A431" s="250"/>
      <c r="B431" s="31" t="s">
        <v>1823</v>
      </c>
      <c r="C431" s="31">
        <v>82120</v>
      </c>
      <c r="D431" s="32" t="s">
        <v>1895</v>
      </c>
      <c r="E431" s="200"/>
      <c r="F431" s="43" t="s">
        <v>2065</v>
      </c>
      <c r="G431" s="38">
        <v>10784</v>
      </c>
      <c r="H431" s="202"/>
      <c r="I431" s="194"/>
      <c r="J431" s="194"/>
      <c r="K431" s="194"/>
      <c r="L431" s="194"/>
      <c r="M431" s="194"/>
      <c r="N431" s="194"/>
      <c r="O431" s="192"/>
      <c r="P431" s="55" t="s">
        <v>1957</v>
      </c>
      <c r="Q431" s="33" t="s">
        <v>86</v>
      </c>
      <c r="R431" s="34" t="s">
        <v>2057</v>
      </c>
      <c r="S431" s="44" t="s">
        <v>2066</v>
      </c>
      <c r="T431" s="46"/>
      <c r="U431" s="35" t="s">
        <v>2067</v>
      </c>
      <c r="V431" s="56"/>
      <c r="W431" s="46"/>
      <c r="X431" s="194"/>
      <c r="Y431" s="194"/>
      <c r="Z431" s="194"/>
      <c r="AA431" s="194"/>
      <c r="AB431" s="220"/>
    </row>
    <row r="432" spans="1:28" ht="18.600000000000001" thickTop="1">
      <c r="A432" s="249" t="s">
        <v>2068</v>
      </c>
      <c r="B432" s="26">
        <v>44541</v>
      </c>
      <c r="C432" s="36">
        <v>1084</v>
      </c>
      <c r="D432" s="28" t="s">
        <v>2069</v>
      </c>
      <c r="E432" s="199"/>
      <c r="F432" s="54" t="s">
        <v>2070</v>
      </c>
      <c r="G432" s="37" t="s">
        <v>2071</v>
      </c>
      <c r="H432" s="201">
        <v>4.5</v>
      </c>
      <c r="I432" s="193">
        <v>1010000</v>
      </c>
      <c r="J432" s="193">
        <v>101000</v>
      </c>
      <c r="K432" s="193">
        <v>9800</v>
      </c>
      <c r="L432" s="193">
        <v>15540</v>
      </c>
      <c r="M432" s="193">
        <v>13200</v>
      </c>
      <c r="N432" s="193">
        <f>SUM(I432:M433)</f>
        <v>1149540</v>
      </c>
      <c r="O432" s="191">
        <v>750000</v>
      </c>
      <c r="P432" s="57" t="s">
        <v>2072</v>
      </c>
      <c r="Q432" s="29" t="s">
        <v>82</v>
      </c>
      <c r="R432" s="81"/>
      <c r="S432" s="48" t="s">
        <v>1326</v>
      </c>
      <c r="T432" s="50" t="s">
        <v>2073</v>
      </c>
      <c r="U432" s="30" t="s">
        <v>2074</v>
      </c>
      <c r="V432" s="58"/>
      <c r="W432" s="52"/>
      <c r="X432" s="193"/>
      <c r="Y432" s="206">
        <f>X432*0.1</f>
        <v>0</v>
      </c>
      <c r="Z432" s="193"/>
      <c r="AA432" s="193">
        <f>SUM(X432:Z432)</f>
        <v>0</v>
      </c>
      <c r="AB432" s="219"/>
    </row>
    <row r="433" spans="1:28" ht="18.600000000000001" thickBot="1">
      <c r="A433" s="250"/>
      <c r="B433" s="31" t="s">
        <v>1823</v>
      </c>
      <c r="C433" s="31">
        <v>82151</v>
      </c>
      <c r="D433" s="32" t="s">
        <v>1859</v>
      </c>
      <c r="E433" s="200"/>
      <c r="F433" s="43" t="s">
        <v>2075</v>
      </c>
      <c r="G433" s="38">
        <v>59340</v>
      </c>
      <c r="H433" s="202"/>
      <c r="I433" s="194"/>
      <c r="J433" s="194"/>
      <c r="K433" s="194"/>
      <c r="L433" s="194"/>
      <c r="M433" s="194"/>
      <c r="N433" s="194"/>
      <c r="O433" s="192"/>
      <c r="P433" s="55" t="s">
        <v>2076</v>
      </c>
      <c r="Q433" s="33" t="s">
        <v>86</v>
      </c>
      <c r="R433" s="34" t="s">
        <v>2057</v>
      </c>
      <c r="S433" s="44" t="s">
        <v>2077</v>
      </c>
      <c r="T433" s="46"/>
      <c r="U433" s="35" t="s">
        <v>1767</v>
      </c>
      <c r="V433" s="56"/>
      <c r="W433" s="46"/>
      <c r="X433" s="194"/>
      <c r="Y433" s="194"/>
      <c r="Z433" s="194"/>
      <c r="AA433" s="194"/>
      <c r="AB433" s="220"/>
    </row>
    <row r="434" spans="1:28" ht="18.600000000000001" thickTop="1">
      <c r="A434" s="249" t="s">
        <v>2078</v>
      </c>
      <c r="B434" s="26">
        <v>44545</v>
      </c>
      <c r="C434" s="36">
        <v>1625</v>
      </c>
      <c r="D434" s="28" t="s">
        <v>2079</v>
      </c>
      <c r="E434" s="199"/>
      <c r="F434" s="54" t="s">
        <v>2080</v>
      </c>
      <c r="G434" s="37" t="s">
        <v>2061</v>
      </c>
      <c r="H434" s="201">
        <v>5</v>
      </c>
      <c r="I434" s="193">
        <v>3300000</v>
      </c>
      <c r="J434" s="193">
        <v>330000</v>
      </c>
      <c r="K434" s="193">
        <v>9800</v>
      </c>
      <c r="L434" s="193">
        <v>21330</v>
      </c>
      <c r="M434" s="193">
        <v>19800</v>
      </c>
      <c r="N434" s="193">
        <f>SUM(I434:M435)</f>
        <v>3680930</v>
      </c>
      <c r="O434" s="191">
        <v>2500000</v>
      </c>
      <c r="P434" s="57" t="s">
        <v>2081</v>
      </c>
      <c r="Q434" s="29" t="s">
        <v>82</v>
      </c>
      <c r="R434" s="81"/>
      <c r="S434" s="48" t="s">
        <v>1596</v>
      </c>
      <c r="T434" s="50"/>
      <c r="U434" s="30"/>
      <c r="V434" s="58"/>
      <c r="W434" s="52"/>
      <c r="X434" s="193"/>
      <c r="Y434" s="206">
        <f>X434*0.1</f>
        <v>0</v>
      </c>
      <c r="Z434" s="193"/>
      <c r="AA434" s="193">
        <f>SUM(X434:Z434)</f>
        <v>0</v>
      </c>
      <c r="AB434" s="219"/>
    </row>
    <row r="435" spans="1:28" ht="18.600000000000001" thickBot="1">
      <c r="A435" s="250"/>
      <c r="B435" s="31" t="s">
        <v>2082</v>
      </c>
      <c r="C435" s="31">
        <v>36022</v>
      </c>
      <c r="D435" s="32" t="s">
        <v>1849</v>
      </c>
      <c r="E435" s="200"/>
      <c r="F435" s="43" t="s">
        <v>2083</v>
      </c>
      <c r="G435" s="38">
        <v>31070</v>
      </c>
      <c r="H435" s="202"/>
      <c r="I435" s="194"/>
      <c r="J435" s="194"/>
      <c r="K435" s="194"/>
      <c r="L435" s="194"/>
      <c r="M435" s="194"/>
      <c r="N435" s="194"/>
      <c r="O435" s="192"/>
      <c r="P435" s="55" t="s">
        <v>2084</v>
      </c>
      <c r="Q435" s="33" t="s">
        <v>86</v>
      </c>
      <c r="R435" s="34" t="s">
        <v>2085</v>
      </c>
      <c r="S435" s="44" t="s">
        <v>96</v>
      </c>
      <c r="T435" s="46"/>
      <c r="U435" s="35" t="s">
        <v>153</v>
      </c>
      <c r="V435" s="56"/>
      <c r="W435" s="46"/>
      <c r="X435" s="194"/>
      <c r="Y435" s="194"/>
      <c r="Z435" s="194"/>
      <c r="AA435" s="194"/>
      <c r="AB435" s="220"/>
    </row>
    <row r="436" spans="1:28" ht="18.600000000000001" thickTop="1">
      <c r="A436" s="249" t="s">
        <v>2086</v>
      </c>
      <c r="B436" s="26">
        <v>44569</v>
      </c>
      <c r="C436" s="36">
        <v>1087</v>
      </c>
      <c r="D436" s="28" t="s">
        <v>1865</v>
      </c>
      <c r="E436" s="199"/>
      <c r="F436" s="54" t="s">
        <v>2087</v>
      </c>
      <c r="G436" s="37"/>
      <c r="H436" s="201">
        <v>4.5</v>
      </c>
      <c r="I436" s="193">
        <v>2020000</v>
      </c>
      <c r="J436" s="193">
        <v>202000</v>
      </c>
      <c r="K436" s="193">
        <v>0</v>
      </c>
      <c r="L436" s="193">
        <v>17700</v>
      </c>
      <c r="M436" s="193">
        <v>13200</v>
      </c>
      <c r="N436" s="193">
        <f>SUM(I436:M437)</f>
        <v>2252900</v>
      </c>
      <c r="O436" s="191">
        <v>1800000</v>
      </c>
      <c r="P436" s="57" t="s">
        <v>2088</v>
      </c>
      <c r="Q436" s="29" t="s">
        <v>82</v>
      </c>
      <c r="R436" s="81"/>
      <c r="S436" s="48" t="s">
        <v>1494</v>
      </c>
      <c r="T436" s="50"/>
      <c r="U436" s="30"/>
      <c r="V436" s="58"/>
      <c r="W436" s="52"/>
      <c r="X436" s="193"/>
      <c r="Y436" s="206">
        <f>X436*0.1</f>
        <v>0</v>
      </c>
      <c r="Z436" s="193"/>
      <c r="AA436" s="193">
        <f>SUM(X436:Z436)</f>
        <v>0</v>
      </c>
      <c r="AB436" s="219"/>
    </row>
    <row r="437" spans="1:28" ht="18.600000000000001" thickBot="1">
      <c r="A437" s="250"/>
      <c r="B437" s="31" t="s">
        <v>1823</v>
      </c>
      <c r="C437" s="31">
        <v>82084</v>
      </c>
      <c r="D437" s="32" t="s">
        <v>2089</v>
      </c>
      <c r="E437" s="200"/>
      <c r="F437" s="43" t="s">
        <v>2090</v>
      </c>
      <c r="G437" s="38">
        <v>42292</v>
      </c>
      <c r="H437" s="202"/>
      <c r="I437" s="194"/>
      <c r="J437" s="194"/>
      <c r="K437" s="194"/>
      <c r="L437" s="194"/>
      <c r="M437" s="194"/>
      <c r="N437" s="194"/>
      <c r="O437" s="192"/>
      <c r="P437" s="55" t="s">
        <v>2091</v>
      </c>
      <c r="Q437" s="33" t="s">
        <v>86</v>
      </c>
      <c r="R437" s="34" t="s">
        <v>2092</v>
      </c>
      <c r="S437" s="44" t="s">
        <v>2093</v>
      </c>
      <c r="T437" s="46"/>
      <c r="U437" s="35"/>
      <c r="V437" s="56"/>
      <c r="W437" s="46"/>
      <c r="X437" s="194"/>
      <c r="Y437" s="194"/>
      <c r="Z437" s="194"/>
      <c r="AA437" s="194"/>
      <c r="AB437" s="220"/>
    </row>
    <row r="438" spans="1:28" ht="18.600000000000001" thickTop="1">
      <c r="A438" s="249" t="s">
        <v>2094</v>
      </c>
      <c r="B438" s="26">
        <v>44574</v>
      </c>
      <c r="C438" s="36">
        <v>1119</v>
      </c>
      <c r="D438" s="28" t="s">
        <v>2095</v>
      </c>
      <c r="E438" s="199"/>
      <c r="F438" s="54" t="s">
        <v>2096</v>
      </c>
      <c r="G438" s="37"/>
      <c r="H438" s="201">
        <v>4</v>
      </c>
      <c r="I438" s="193">
        <v>870000</v>
      </c>
      <c r="J438" s="193">
        <v>87000</v>
      </c>
      <c r="K438" s="193">
        <v>0</v>
      </c>
      <c r="L438" s="193">
        <v>16260</v>
      </c>
      <c r="M438" s="193">
        <v>13200</v>
      </c>
      <c r="N438" s="193">
        <f>SUM(I438:M439)</f>
        <v>986460</v>
      </c>
      <c r="O438" s="191">
        <v>700000</v>
      </c>
      <c r="P438" s="57" t="s">
        <v>2097</v>
      </c>
      <c r="Q438" s="29" t="s">
        <v>82</v>
      </c>
      <c r="R438" s="81"/>
      <c r="S438" s="48" t="s">
        <v>1494</v>
      </c>
      <c r="T438" s="50"/>
      <c r="U438" s="30"/>
      <c r="V438" s="58"/>
      <c r="W438" s="52"/>
      <c r="X438" s="193"/>
      <c r="Y438" s="206">
        <f>X438*0.1</f>
        <v>0</v>
      </c>
      <c r="Z438" s="193"/>
      <c r="AA438" s="193">
        <f>SUM(X438:Z438)</f>
        <v>0</v>
      </c>
      <c r="AB438" s="219"/>
    </row>
    <row r="439" spans="1:28" ht="18.600000000000001" thickBot="1">
      <c r="A439" s="250"/>
      <c r="B439" s="31" t="s">
        <v>2017</v>
      </c>
      <c r="C439" s="31">
        <v>243</v>
      </c>
      <c r="D439" s="32" t="s">
        <v>1849</v>
      </c>
      <c r="E439" s="200"/>
      <c r="F439" s="43" t="s">
        <v>2098</v>
      </c>
      <c r="G439" s="38">
        <v>35492</v>
      </c>
      <c r="H439" s="202"/>
      <c r="I439" s="194"/>
      <c r="J439" s="194"/>
      <c r="K439" s="194"/>
      <c r="L439" s="194"/>
      <c r="M439" s="194"/>
      <c r="N439" s="194"/>
      <c r="O439" s="192"/>
      <c r="P439" s="55" t="s">
        <v>2099</v>
      </c>
      <c r="Q439" s="33" t="s">
        <v>86</v>
      </c>
      <c r="R439" s="34" t="s">
        <v>2100</v>
      </c>
      <c r="S439" s="44" t="s">
        <v>2101</v>
      </c>
      <c r="T439" s="46"/>
      <c r="U439" s="35"/>
      <c r="V439" s="56"/>
      <c r="W439" s="46"/>
      <c r="X439" s="194"/>
      <c r="Y439" s="194"/>
      <c r="Z439" s="194"/>
      <c r="AA439" s="194"/>
      <c r="AB439" s="220"/>
    </row>
    <row r="440" spans="1:28" ht="18.600000000000001" thickTop="1">
      <c r="A440" s="249" t="s">
        <v>2102</v>
      </c>
      <c r="B440" s="26">
        <v>44575</v>
      </c>
      <c r="C440" s="36">
        <v>994</v>
      </c>
      <c r="D440" s="28" t="s">
        <v>2103</v>
      </c>
      <c r="E440" s="199"/>
      <c r="F440" s="54" t="s">
        <v>2104</v>
      </c>
      <c r="G440" s="37" t="s">
        <v>2105</v>
      </c>
      <c r="H440" s="201">
        <v>4.5</v>
      </c>
      <c r="I440" s="193">
        <v>1010000</v>
      </c>
      <c r="J440" s="193">
        <v>101000</v>
      </c>
      <c r="K440" s="193">
        <v>6500</v>
      </c>
      <c r="L440" s="193">
        <v>15440</v>
      </c>
      <c r="M440" s="193">
        <v>13200</v>
      </c>
      <c r="N440" s="193">
        <f>SUM(I440:M441)</f>
        <v>1146140</v>
      </c>
      <c r="O440" s="191">
        <v>500000</v>
      </c>
      <c r="P440" s="57" t="s">
        <v>2106</v>
      </c>
      <c r="Q440" s="29" t="s">
        <v>82</v>
      </c>
      <c r="R440" s="81"/>
      <c r="S440" s="48" t="s">
        <v>1494</v>
      </c>
      <c r="T440" s="50"/>
      <c r="U440" s="30" t="s">
        <v>2107</v>
      </c>
      <c r="V440" s="58"/>
      <c r="W440" s="52"/>
      <c r="X440" s="193"/>
      <c r="Y440" s="206">
        <f>X440*0.1</f>
        <v>0</v>
      </c>
      <c r="Z440" s="193"/>
      <c r="AA440" s="193">
        <f>SUM(X440:Z440)</f>
        <v>0</v>
      </c>
      <c r="AB440" s="219"/>
    </row>
    <row r="441" spans="1:28" ht="18.600000000000001" thickBot="1">
      <c r="A441" s="250"/>
      <c r="B441" s="31" t="s">
        <v>2108</v>
      </c>
      <c r="C441" s="31">
        <v>88027</v>
      </c>
      <c r="D441" s="32" t="s">
        <v>1097</v>
      </c>
      <c r="E441" s="200"/>
      <c r="F441" s="43" t="s">
        <v>2109</v>
      </c>
      <c r="G441" s="38">
        <v>42025</v>
      </c>
      <c r="H441" s="202"/>
      <c r="I441" s="194"/>
      <c r="J441" s="194"/>
      <c r="K441" s="194"/>
      <c r="L441" s="194"/>
      <c r="M441" s="194"/>
      <c r="N441" s="194"/>
      <c r="O441" s="192"/>
      <c r="P441" s="55" t="s">
        <v>2110</v>
      </c>
      <c r="Q441" s="33" t="s">
        <v>86</v>
      </c>
      <c r="R441" s="34" t="s">
        <v>2100</v>
      </c>
      <c r="S441" s="44" t="s">
        <v>96</v>
      </c>
      <c r="T441" s="46"/>
      <c r="U441" s="35" t="s">
        <v>1515</v>
      </c>
      <c r="V441" s="56"/>
      <c r="W441" s="46"/>
      <c r="X441" s="194"/>
      <c r="Y441" s="194"/>
      <c r="Z441" s="194"/>
      <c r="AA441" s="194"/>
      <c r="AB441" s="220"/>
    </row>
    <row r="442" spans="1:28" ht="18.600000000000001" thickTop="1">
      <c r="A442" s="249" t="s">
        <v>2111</v>
      </c>
      <c r="B442" s="26">
        <v>44583</v>
      </c>
      <c r="C442" s="36">
        <v>1089</v>
      </c>
      <c r="D442" s="28" t="s">
        <v>2112</v>
      </c>
      <c r="E442" s="199"/>
      <c r="F442" s="54" t="s">
        <v>2113</v>
      </c>
      <c r="G442" s="37"/>
      <c r="H442" s="201">
        <v>4</v>
      </c>
      <c r="I442" s="193">
        <v>1485000</v>
      </c>
      <c r="J442" s="193">
        <v>148500</v>
      </c>
      <c r="K442" s="193">
        <v>0</v>
      </c>
      <c r="L442" s="193">
        <v>17700</v>
      </c>
      <c r="M442" s="193">
        <v>13200</v>
      </c>
      <c r="N442" s="193">
        <f>SUM(I442:M443)</f>
        <v>1664400</v>
      </c>
      <c r="O442" s="191">
        <v>1200000</v>
      </c>
      <c r="P442" s="57" t="s">
        <v>2114</v>
      </c>
      <c r="Q442" s="29" t="s">
        <v>82</v>
      </c>
      <c r="R442" s="81"/>
      <c r="S442" s="48" t="s">
        <v>940</v>
      </c>
      <c r="T442" s="50"/>
      <c r="U442" s="30"/>
      <c r="V442" s="58"/>
      <c r="W442" s="52"/>
      <c r="X442" s="193"/>
      <c r="Y442" s="206">
        <f>X442*0.1</f>
        <v>0</v>
      </c>
      <c r="Z442" s="193"/>
      <c r="AA442" s="193">
        <f>SUM(X442:Z442)</f>
        <v>0</v>
      </c>
      <c r="AB442" s="219"/>
    </row>
    <row r="443" spans="1:28" ht="18.600000000000001" thickBot="1">
      <c r="A443" s="250"/>
      <c r="B443" s="31" t="s">
        <v>1823</v>
      </c>
      <c r="C443" s="31">
        <v>82155</v>
      </c>
      <c r="D443" s="32" t="s">
        <v>2115</v>
      </c>
      <c r="E443" s="200"/>
      <c r="F443" s="43" t="s">
        <v>2116</v>
      </c>
      <c r="G443" s="38">
        <v>60312</v>
      </c>
      <c r="H443" s="202"/>
      <c r="I443" s="194"/>
      <c r="J443" s="194"/>
      <c r="K443" s="194"/>
      <c r="L443" s="194"/>
      <c r="M443" s="194"/>
      <c r="N443" s="194"/>
      <c r="O443" s="192"/>
      <c r="P443" s="55" t="s">
        <v>2117</v>
      </c>
      <c r="Q443" s="33" t="s">
        <v>86</v>
      </c>
      <c r="R443" s="34" t="s">
        <v>2118</v>
      </c>
      <c r="S443" s="44" t="s">
        <v>2119</v>
      </c>
      <c r="T443" s="46"/>
      <c r="U443" s="35"/>
      <c r="V443" s="56"/>
      <c r="W443" s="46"/>
      <c r="X443" s="194"/>
      <c r="Y443" s="194"/>
      <c r="Z443" s="194"/>
      <c r="AA443" s="194"/>
      <c r="AB443" s="220"/>
    </row>
    <row r="444" spans="1:28" ht="18.600000000000001" thickTop="1">
      <c r="A444" s="249" t="s">
        <v>2120</v>
      </c>
      <c r="B444" s="26">
        <v>44592</v>
      </c>
      <c r="C444" s="36">
        <v>1883</v>
      </c>
      <c r="D444" s="28" t="s">
        <v>2121</v>
      </c>
      <c r="E444" s="199"/>
      <c r="F444" s="54" t="s">
        <v>2122</v>
      </c>
      <c r="G444" s="37"/>
      <c r="H444" s="201">
        <v>4</v>
      </c>
      <c r="I444" s="193">
        <v>1288000</v>
      </c>
      <c r="J444" s="193">
        <v>128800</v>
      </c>
      <c r="K444" s="193">
        <v>0</v>
      </c>
      <c r="L444" s="193">
        <v>19670</v>
      </c>
      <c r="M444" s="193">
        <v>11000</v>
      </c>
      <c r="N444" s="193">
        <f>SUM(I444:M445)</f>
        <v>1447470</v>
      </c>
      <c r="O444" s="191">
        <v>1200000</v>
      </c>
      <c r="P444" s="57" t="s">
        <v>2123</v>
      </c>
      <c r="Q444" s="29" t="s">
        <v>82</v>
      </c>
      <c r="R444" s="81"/>
      <c r="S444" s="48" t="s">
        <v>2124</v>
      </c>
      <c r="T444" s="50"/>
      <c r="U444" s="30"/>
      <c r="V444" s="58"/>
      <c r="W444" s="52"/>
      <c r="X444" s="193"/>
      <c r="Y444" s="206">
        <f>X444*0.1</f>
        <v>0</v>
      </c>
      <c r="Z444" s="193"/>
      <c r="AA444" s="193">
        <f>SUM(X444:Z444)</f>
        <v>0</v>
      </c>
      <c r="AB444" s="219"/>
    </row>
    <row r="445" spans="1:28" ht="18.600000000000001" thickBot="1">
      <c r="A445" s="250"/>
      <c r="B445" s="31" t="s">
        <v>189</v>
      </c>
      <c r="C445" s="31">
        <v>34029</v>
      </c>
      <c r="D445" s="32" t="s">
        <v>1097</v>
      </c>
      <c r="E445" s="200"/>
      <c r="F445" s="43" t="s">
        <v>2125</v>
      </c>
      <c r="G445" s="38">
        <v>52044</v>
      </c>
      <c r="H445" s="202"/>
      <c r="I445" s="194"/>
      <c r="J445" s="194"/>
      <c r="K445" s="194"/>
      <c r="L445" s="194"/>
      <c r="M445" s="194"/>
      <c r="N445" s="194"/>
      <c r="O445" s="192"/>
      <c r="P445" s="55" t="s">
        <v>2126</v>
      </c>
      <c r="Q445" s="33" t="s">
        <v>86</v>
      </c>
      <c r="R445" s="34" t="s">
        <v>2127</v>
      </c>
      <c r="S445" s="44" t="s">
        <v>272</v>
      </c>
      <c r="T445" s="46"/>
      <c r="U445" s="35"/>
      <c r="V445" s="56"/>
      <c r="W445" s="46"/>
      <c r="X445" s="194"/>
      <c r="Y445" s="194"/>
      <c r="Z445" s="194"/>
      <c r="AA445" s="194"/>
      <c r="AB445" s="220"/>
    </row>
    <row r="446" spans="1:28" ht="18.600000000000001" thickTop="1">
      <c r="A446" s="249" t="s">
        <v>2128</v>
      </c>
      <c r="B446" s="26">
        <v>44595</v>
      </c>
      <c r="C446" s="36">
        <v>1356</v>
      </c>
      <c r="D446" s="28" t="s">
        <v>2050</v>
      </c>
      <c r="E446" s="199"/>
      <c r="F446" s="54" t="s">
        <v>2129</v>
      </c>
      <c r="G446" s="37" t="s">
        <v>2130</v>
      </c>
      <c r="H446" s="201">
        <v>4.5</v>
      </c>
      <c r="I446" s="193">
        <v>2035000</v>
      </c>
      <c r="J446" s="193">
        <v>203500</v>
      </c>
      <c r="K446" s="193">
        <v>3200</v>
      </c>
      <c r="L446" s="193">
        <v>18960</v>
      </c>
      <c r="M446" s="193">
        <v>13200</v>
      </c>
      <c r="N446" s="193">
        <f>SUM(I446:M447)</f>
        <v>2273860</v>
      </c>
      <c r="O446" s="191">
        <v>1700000</v>
      </c>
      <c r="P446" s="57" t="s">
        <v>2131</v>
      </c>
      <c r="Q446" s="29" t="s">
        <v>82</v>
      </c>
      <c r="R446" s="81"/>
      <c r="S446" s="48"/>
      <c r="T446" s="50"/>
      <c r="U446" s="30" t="s">
        <v>2132</v>
      </c>
      <c r="V446" s="58"/>
      <c r="W446" s="52"/>
      <c r="X446" s="193"/>
      <c r="Y446" s="206">
        <f>X446*0.1</f>
        <v>0</v>
      </c>
      <c r="Z446" s="193"/>
      <c r="AA446" s="193">
        <f>SUM(X446:Z446)</f>
        <v>0</v>
      </c>
      <c r="AB446" s="219"/>
    </row>
    <row r="447" spans="1:28" ht="18.600000000000001" thickBot="1">
      <c r="A447" s="250"/>
      <c r="B447" s="31" t="s">
        <v>1858</v>
      </c>
      <c r="C447" s="31">
        <v>75733</v>
      </c>
      <c r="D447" s="32" t="s">
        <v>2133</v>
      </c>
      <c r="E447" s="200"/>
      <c r="F447" s="43" t="s">
        <v>2134</v>
      </c>
      <c r="G447" s="38">
        <v>38329</v>
      </c>
      <c r="H447" s="202"/>
      <c r="I447" s="194"/>
      <c r="J447" s="194"/>
      <c r="K447" s="194"/>
      <c r="L447" s="194"/>
      <c r="M447" s="194"/>
      <c r="N447" s="194"/>
      <c r="O447" s="192"/>
      <c r="P447" s="55" t="s">
        <v>2135</v>
      </c>
      <c r="Q447" s="33" t="s">
        <v>86</v>
      </c>
      <c r="R447" s="34" t="s">
        <v>2136</v>
      </c>
      <c r="S447" s="44" t="s">
        <v>2137</v>
      </c>
      <c r="T447" s="46"/>
      <c r="U447" s="35"/>
      <c r="V447" s="56"/>
      <c r="W447" s="46"/>
      <c r="X447" s="194"/>
      <c r="Y447" s="194"/>
      <c r="Z447" s="194"/>
      <c r="AA447" s="194"/>
      <c r="AB447" s="220"/>
    </row>
    <row r="448" spans="1:28" ht="18.600000000000001" thickTop="1">
      <c r="A448" s="249" t="s">
        <v>2138</v>
      </c>
      <c r="B448" s="26">
        <v>44597</v>
      </c>
      <c r="C448" s="36">
        <v>1515</v>
      </c>
      <c r="D448" s="28" t="s">
        <v>2139</v>
      </c>
      <c r="E448" s="199"/>
      <c r="F448" s="54" t="s">
        <v>2140</v>
      </c>
      <c r="G448" s="37" t="s">
        <v>2105</v>
      </c>
      <c r="H448" s="201">
        <v>4.5</v>
      </c>
      <c r="I448" s="193">
        <v>2540000</v>
      </c>
      <c r="J448" s="193">
        <v>254000</v>
      </c>
      <c r="K448" s="193">
        <v>3200</v>
      </c>
      <c r="L448" s="193">
        <v>17990</v>
      </c>
      <c r="M448" s="193">
        <v>13200</v>
      </c>
      <c r="N448" s="193">
        <f>SUM(I448:M449)</f>
        <v>2828390</v>
      </c>
      <c r="O448" s="191">
        <v>2100000</v>
      </c>
      <c r="P448" s="57" t="s">
        <v>2141</v>
      </c>
      <c r="Q448" s="29" t="s">
        <v>82</v>
      </c>
      <c r="R448" s="81"/>
      <c r="S448" s="48" t="s">
        <v>1741</v>
      </c>
      <c r="T448" s="50"/>
      <c r="U448" s="30"/>
      <c r="V448" s="58"/>
      <c r="W448" s="52"/>
      <c r="X448" s="193"/>
      <c r="Y448" s="206">
        <f>X448*0.1</f>
        <v>0</v>
      </c>
      <c r="Z448" s="193"/>
      <c r="AA448" s="193">
        <f>SUM(X448:Z448)</f>
        <v>0</v>
      </c>
      <c r="AB448" s="219"/>
    </row>
    <row r="449" spans="1:28" ht="18.600000000000001" thickBot="1">
      <c r="A449" s="250"/>
      <c r="B449" s="31" t="s">
        <v>2142</v>
      </c>
      <c r="C449" s="31">
        <v>441</v>
      </c>
      <c r="D449" s="32" t="s">
        <v>1849</v>
      </c>
      <c r="E449" s="200"/>
      <c r="F449" s="43" t="s">
        <v>2143</v>
      </c>
      <c r="G449" s="38">
        <v>30900</v>
      </c>
      <c r="H449" s="202"/>
      <c r="I449" s="194"/>
      <c r="J449" s="194"/>
      <c r="K449" s="194"/>
      <c r="L449" s="194"/>
      <c r="M449" s="194"/>
      <c r="N449" s="194"/>
      <c r="O449" s="192"/>
      <c r="P449" s="55" t="s">
        <v>2144</v>
      </c>
      <c r="Q449" s="33" t="s">
        <v>86</v>
      </c>
      <c r="R449" s="34" t="s">
        <v>2136</v>
      </c>
      <c r="S449" s="44" t="s">
        <v>96</v>
      </c>
      <c r="T449" s="46"/>
      <c r="U449" s="35" t="s">
        <v>2145</v>
      </c>
      <c r="V449" s="56"/>
      <c r="W449" s="46"/>
      <c r="X449" s="194"/>
      <c r="Y449" s="194"/>
      <c r="Z449" s="194"/>
      <c r="AA449" s="194"/>
      <c r="AB449" s="220"/>
    </row>
    <row r="450" spans="1:28" ht="18.600000000000001" thickTop="1">
      <c r="A450" s="249" t="s">
        <v>2146</v>
      </c>
      <c r="B450" s="26">
        <v>44601</v>
      </c>
      <c r="C450" s="36">
        <v>1631</v>
      </c>
      <c r="D450" s="28" t="s">
        <v>2147</v>
      </c>
      <c r="E450" s="199"/>
      <c r="F450" s="54" t="s">
        <v>2148</v>
      </c>
      <c r="G450" s="37"/>
      <c r="H450" s="201">
        <v>4.5</v>
      </c>
      <c r="I450" s="193">
        <v>1660000</v>
      </c>
      <c r="J450" s="193">
        <v>166000</v>
      </c>
      <c r="K450" s="193">
        <v>0</v>
      </c>
      <c r="L450" s="193">
        <v>15060</v>
      </c>
      <c r="M450" s="193">
        <v>15950</v>
      </c>
      <c r="N450" s="193">
        <f>SUM(I450:M451)</f>
        <v>1857010</v>
      </c>
      <c r="O450" s="191">
        <v>1600000</v>
      </c>
      <c r="P450" s="57" t="s">
        <v>2149</v>
      </c>
      <c r="Q450" s="29" t="s">
        <v>82</v>
      </c>
      <c r="R450" s="81"/>
      <c r="S450" s="48" t="s">
        <v>940</v>
      </c>
      <c r="T450" s="50"/>
      <c r="U450" s="30"/>
      <c r="V450" s="58"/>
      <c r="W450" s="52"/>
      <c r="X450" s="193"/>
      <c r="Y450" s="206">
        <f>X450*0.1</f>
        <v>0</v>
      </c>
      <c r="Z450" s="193"/>
      <c r="AA450" s="193">
        <f>SUM(X450:Z450)</f>
        <v>0</v>
      </c>
      <c r="AB450" s="219"/>
    </row>
    <row r="451" spans="1:28" ht="18.600000000000001" thickBot="1">
      <c r="A451" s="250"/>
      <c r="B451" s="31" t="s">
        <v>2082</v>
      </c>
      <c r="C451" s="31">
        <v>30409</v>
      </c>
      <c r="D451" s="32" t="s">
        <v>1849</v>
      </c>
      <c r="E451" s="200"/>
      <c r="F451" s="43" t="s">
        <v>2150</v>
      </c>
      <c r="G451" s="38">
        <v>42564</v>
      </c>
      <c r="H451" s="202"/>
      <c r="I451" s="194"/>
      <c r="J451" s="194"/>
      <c r="K451" s="194"/>
      <c r="L451" s="194"/>
      <c r="M451" s="194"/>
      <c r="N451" s="194"/>
      <c r="O451" s="192"/>
      <c r="P451" s="55" t="s">
        <v>2151</v>
      </c>
      <c r="Q451" s="33" t="s">
        <v>86</v>
      </c>
      <c r="R451" s="34" t="s">
        <v>2152</v>
      </c>
      <c r="S451" s="44" t="s">
        <v>2153</v>
      </c>
      <c r="T451" s="46"/>
      <c r="U451" s="35"/>
      <c r="V451" s="56"/>
      <c r="W451" s="46"/>
      <c r="X451" s="194"/>
      <c r="Y451" s="194"/>
      <c r="Z451" s="194"/>
      <c r="AA451" s="194"/>
      <c r="AB451" s="220"/>
    </row>
    <row r="452" spans="1:28" ht="18.600000000000001" thickTop="1">
      <c r="A452" s="249" t="s">
        <v>2154</v>
      </c>
      <c r="B452" s="26">
        <v>44602</v>
      </c>
      <c r="C452" s="36">
        <v>1357</v>
      </c>
      <c r="D452" s="28" t="s">
        <v>94</v>
      </c>
      <c r="E452" s="199"/>
      <c r="F452" s="54" t="s">
        <v>2155</v>
      </c>
      <c r="G452" s="37" t="s">
        <v>2061</v>
      </c>
      <c r="H452" s="201">
        <v>4.5</v>
      </c>
      <c r="I452" s="193">
        <v>1590000</v>
      </c>
      <c r="J452" s="193">
        <v>159000</v>
      </c>
      <c r="K452" s="193">
        <v>3200</v>
      </c>
      <c r="L452" s="193">
        <v>17700</v>
      </c>
      <c r="M452" s="193">
        <v>13200</v>
      </c>
      <c r="N452" s="193">
        <f>SUM(I452:M453)</f>
        <v>1783100</v>
      </c>
      <c r="O452" s="191">
        <v>1200000</v>
      </c>
      <c r="P452" s="57" t="s">
        <v>2156</v>
      </c>
      <c r="Q452" s="29" t="s">
        <v>82</v>
      </c>
      <c r="R452" s="81"/>
      <c r="S452" s="48" t="s">
        <v>2157</v>
      </c>
      <c r="T452" s="50"/>
      <c r="U452" s="30"/>
      <c r="V452" s="58"/>
      <c r="W452" s="52"/>
      <c r="X452" s="193"/>
      <c r="Y452" s="206">
        <f>X452*0.1</f>
        <v>0</v>
      </c>
      <c r="Z452" s="193"/>
      <c r="AA452" s="193">
        <f>SUM(X452:Z452)</f>
        <v>0</v>
      </c>
      <c r="AB452" s="219"/>
    </row>
    <row r="453" spans="1:28" ht="18.600000000000001" thickBot="1">
      <c r="A453" s="250"/>
      <c r="B453" s="31" t="s">
        <v>1858</v>
      </c>
      <c r="C453" s="31">
        <v>76175</v>
      </c>
      <c r="D453" s="32" t="s">
        <v>2158</v>
      </c>
      <c r="E453" s="200"/>
      <c r="F453" s="43" t="s">
        <v>2159</v>
      </c>
      <c r="G453" s="38">
        <v>12353</v>
      </c>
      <c r="H453" s="202"/>
      <c r="I453" s="194"/>
      <c r="J453" s="194"/>
      <c r="K453" s="194"/>
      <c r="L453" s="194"/>
      <c r="M453" s="194"/>
      <c r="N453" s="194"/>
      <c r="O453" s="192"/>
      <c r="P453" s="55" t="s">
        <v>2160</v>
      </c>
      <c r="Q453" s="33" t="s">
        <v>86</v>
      </c>
      <c r="R453" s="34" t="s">
        <v>2161</v>
      </c>
      <c r="S453" s="44" t="s">
        <v>2162</v>
      </c>
      <c r="T453" s="46"/>
      <c r="U453" s="35" t="s">
        <v>2145</v>
      </c>
      <c r="V453" s="56"/>
      <c r="W453" s="46"/>
      <c r="X453" s="194"/>
      <c r="Y453" s="194"/>
      <c r="Z453" s="194"/>
      <c r="AA453" s="194"/>
      <c r="AB453" s="220"/>
    </row>
    <row r="454" spans="1:28" ht="18.600000000000001" thickTop="1">
      <c r="A454" s="249" t="s">
        <v>2163</v>
      </c>
      <c r="B454" s="26">
        <v>44610</v>
      </c>
      <c r="C454" s="36">
        <v>1928</v>
      </c>
      <c r="D454" s="28" t="s">
        <v>2164</v>
      </c>
      <c r="E454" s="199"/>
      <c r="F454" s="54" t="s">
        <v>2165</v>
      </c>
      <c r="G454" s="37" t="s">
        <v>1912</v>
      </c>
      <c r="H454" s="201">
        <v>4.5</v>
      </c>
      <c r="I454" s="193">
        <v>2705000</v>
      </c>
      <c r="J454" s="193">
        <v>270500</v>
      </c>
      <c r="K454" s="193">
        <v>7300</v>
      </c>
      <c r="L454" s="193">
        <v>19720</v>
      </c>
      <c r="M454" s="193">
        <v>13200</v>
      </c>
      <c r="N454" s="193">
        <f>SUM(I454:M455)</f>
        <v>3015720</v>
      </c>
      <c r="O454" s="191">
        <v>2600000</v>
      </c>
      <c r="P454" s="57" t="s">
        <v>2166</v>
      </c>
      <c r="Q454" s="29" t="s">
        <v>82</v>
      </c>
      <c r="R454" s="81"/>
      <c r="S454" s="48" t="s">
        <v>940</v>
      </c>
      <c r="T454" s="50"/>
      <c r="U454" s="30" t="s">
        <v>2167</v>
      </c>
      <c r="V454" s="58"/>
      <c r="W454" s="52"/>
      <c r="X454" s="193"/>
      <c r="Y454" s="206">
        <f>X454*0.1</f>
        <v>0</v>
      </c>
      <c r="Z454" s="193"/>
      <c r="AA454" s="193">
        <f>SUM(X454:Z454)</f>
        <v>0</v>
      </c>
      <c r="AB454" s="219"/>
    </row>
    <row r="455" spans="1:28" ht="18.600000000000001" thickBot="1">
      <c r="A455" s="250"/>
      <c r="B455" s="31" t="s">
        <v>1797</v>
      </c>
      <c r="C455" s="31">
        <v>20736</v>
      </c>
      <c r="D455" s="32" t="s">
        <v>2168</v>
      </c>
      <c r="E455" s="200"/>
      <c r="F455" s="43" t="s">
        <v>2169</v>
      </c>
      <c r="G455" s="38">
        <v>52077</v>
      </c>
      <c r="H455" s="202"/>
      <c r="I455" s="194"/>
      <c r="J455" s="194"/>
      <c r="K455" s="194"/>
      <c r="L455" s="194"/>
      <c r="M455" s="194"/>
      <c r="N455" s="194"/>
      <c r="O455" s="192"/>
      <c r="P455" s="55" t="s">
        <v>2170</v>
      </c>
      <c r="Q455" s="33" t="s">
        <v>86</v>
      </c>
      <c r="R455" s="34" t="s">
        <v>2171</v>
      </c>
      <c r="S455" s="44" t="s">
        <v>2172</v>
      </c>
      <c r="T455" s="46"/>
      <c r="U455" s="35" t="s">
        <v>2173</v>
      </c>
      <c r="V455" s="56"/>
      <c r="W455" s="46"/>
      <c r="X455" s="194"/>
      <c r="Y455" s="194"/>
      <c r="Z455" s="194"/>
      <c r="AA455" s="194"/>
      <c r="AB455" s="220"/>
    </row>
    <row r="456" spans="1:28" ht="18.600000000000001" thickTop="1">
      <c r="A456" s="249" t="s">
        <v>2174</v>
      </c>
      <c r="B456" s="26">
        <v>44610</v>
      </c>
      <c r="C456" s="36">
        <v>999</v>
      </c>
      <c r="D456" s="28" t="s">
        <v>2175</v>
      </c>
      <c r="E456" s="199"/>
      <c r="F456" s="54" t="s">
        <v>2176</v>
      </c>
      <c r="G456" s="37" t="s">
        <v>2032</v>
      </c>
      <c r="H456" s="201">
        <v>4</v>
      </c>
      <c r="I456" s="193">
        <v>3590000</v>
      </c>
      <c r="J456" s="193">
        <v>359000</v>
      </c>
      <c r="K456" s="193">
        <v>4200</v>
      </c>
      <c r="L456" s="193">
        <v>21110</v>
      </c>
      <c r="M456" s="193">
        <v>24200</v>
      </c>
      <c r="N456" s="193">
        <f>SUM(I456:M457)</f>
        <v>3998510</v>
      </c>
      <c r="O456" s="191">
        <v>3400000</v>
      </c>
      <c r="P456" s="57" t="s">
        <v>2177</v>
      </c>
      <c r="Q456" s="29" t="s">
        <v>82</v>
      </c>
      <c r="R456" s="81"/>
      <c r="S456" s="48" t="s">
        <v>2178</v>
      </c>
      <c r="T456" s="50"/>
      <c r="U456" s="30"/>
      <c r="V456" s="58"/>
      <c r="W456" s="52"/>
      <c r="X456" s="193"/>
      <c r="Y456" s="206">
        <f>X456*0.1</f>
        <v>0</v>
      </c>
      <c r="Z456" s="193"/>
      <c r="AA456" s="193">
        <f>SUM(X456:Z456)</f>
        <v>0</v>
      </c>
      <c r="AB456" s="219"/>
    </row>
    <row r="457" spans="1:28" ht="18.600000000000001" thickBot="1">
      <c r="A457" s="250"/>
      <c r="B457" s="31" t="s">
        <v>2108</v>
      </c>
      <c r="C457" s="31">
        <v>84010</v>
      </c>
      <c r="D457" s="32" t="s">
        <v>399</v>
      </c>
      <c r="E457" s="200"/>
      <c r="F457" s="43" t="s">
        <v>2179</v>
      </c>
      <c r="G457" s="38">
        <v>39313</v>
      </c>
      <c r="H457" s="202"/>
      <c r="I457" s="194"/>
      <c r="J457" s="194"/>
      <c r="K457" s="194"/>
      <c r="L457" s="194"/>
      <c r="M457" s="194"/>
      <c r="N457" s="194"/>
      <c r="O457" s="192"/>
      <c r="P457" s="55" t="s">
        <v>2180</v>
      </c>
      <c r="Q457" s="33" t="s">
        <v>86</v>
      </c>
      <c r="R457" s="34" t="s">
        <v>2181</v>
      </c>
      <c r="S457" s="44" t="s">
        <v>96</v>
      </c>
      <c r="T457" s="46"/>
      <c r="U457" s="35" t="s">
        <v>2182</v>
      </c>
      <c r="V457" s="56"/>
      <c r="W457" s="46"/>
      <c r="X457" s="194"/>
      <c r="Y457" s="194"/>
      <c r="Z457" s="194"/>
      <c r="AA457" s="194"/>
      <c r="AB457" s="220"/>
    </row>
    <row r="458" spans="1:28" ht="18.600000000000001" thickTop="1">
      <c r="A458" s="249" t="s">
        <v>2183</v>
      </c>
      <c r="B458" s="26">
        <v>44616</v>
      </c>
      <c r="C458" s="36">
        <v>1359</v>
      </c>
      <c r="D458" s="28" t="s">
        <v>2184</v>
      </c>
      <c r="E458" s="199"/>
      <c r="F458" s="54" t="s">
        <v>2185</v>
      </c>
      <c r="G458" s="37"/>
      <c r="H458" s="201">
        <v>4.5</v>
      </c>
      <c r="I458" s="193">
        <v>1015000</v>
      </c>
      <c r="J458" s="193">
        <v>101500</v>
      </c>
      <c r="K458" s="193">
        <v>0</v>
      </c>
      <c r="L458" s="193">
        <v>24650</v>
      </c>
      <c r="M458" s="193">
        <v>13200</v>
      </c>
      <c r="N458" s="193">
        <f>SUM(I458:M459)</f>
        <v>1154350</v>
      </c>
      <c r="O458" s="191">
        <v>800000</v>
      </c>
      <c r="P458" s="57" t="s">
        <v>2186</v>
      </c>
      <c r="Q458" s="29" t="s">
        <v>82</v>
      </c>
      <c r="R458" s="81"/>
      <c r="S458" s="48" t="s">
        <v>2187</v>
      </c>
      <c r="T458" s="50"/>
      <c r="U458" s="30"/>
      <c r="V458" s="58"/>
      <c r="W458" s="52"/>
      <c r="X458" s="193"/>
      <c r="Y458" s="206">
        <f>X458*0.1</f>
        <v>0</v>
      </c>
      <c r="Z458" s="193"/>
      <c r="AA458" s="193">
        <f>SUM(X458:Z458)</f>
        <v>0</v>
      </c>
      <c r="AB458" s="219"/>
    </row>
    <row r="459" spans="1:28" ht="18.600000000000001" thickBot="1">
      <c r="A459" s="250"/>
      <c r="B459" s="31" t="s">
        <v>1858</v>
      </c>
      <c r="C459" s="31">
        <v>78022</v>
      </c>
      <c r="D459" s="32" t="s">
        <v>1965</v>
      </c>
      <c r="E459" s="200"/>
      <c r="F459" s="43" t="s">
        <v>2188</v>
      </c>
      <c r="G459" s="38">
        <v>57978</v>
      </c>
      <c r="H459" s="202"/>
      <c r="I459" s="194"/>
      <c r="J459" s="194"/>
      <c r="K459" s="194"/>
      <c r="L459" s="194"/>
      <c r="M459" s="194"/>
      <c r="N459" s="194"/>
      <c r="O459" s="192"/>
      <c r="P459" s="55" t="s">
        <v>2189</v>
      </c>
      <c r="Q459" s="33" t="s">
        <v>86</v>
      </c>
      <c r="R459" s="34" t="s">
        <v>2190</v>
      </c>
      <c r="S459" s="44" t="s">
        <v>2191</v>
      </c>
      <c r="T459" s="46"/>
      <c r="U459" s="35"/>
      <c r="V459" s="56"/>
      <c r="W459" s="46"/>
      <c r="X459" s="194"/>
      <c r="Y459" s="194"/>
      <c r="Z459" s="194"/>
      <c r="AA459" s="194"/>
      <c r="AB459" s="220"/>
    </row>
    <row r="460" spans="1:28" ht="18.600000000000001" thickTop="1">
      <c r="A460" s="249" t="s">
        <v>2192</v>
      </c>
      <c r="B460" s="26">
        <v>44639</v>
      </c>
      <c r="C460" s="36">
        <v>1097</v>
      </c>
      <c r="D460" s="28" t="s">
        <v>2193</v>
      </c>
      <c r="E460" s="199"/>
      <c r="F460" s="54" t="s">
        <v>2194</v>
      </c>
      <c r="G460" s="37" t="s">
        <v>2195</v>
      </c>
      <c r="H460" s="201">
        <v>4</v>
      </c>
      <c r="I460" s="193">
        <v>1280000</v>
      </c>
      <c r="J460" s="193">
        <v>128000</v>
      </c>
      <c r="K460" s="193">
        <v>87900</v>
      </c>
      <c r="L460" s="193">
        <v>19390</v>
      </c>
      <c r="M460" s="193">
        <v>13200</v>
      </c>
      <c r="N460" s="193">
        <f>SUM(I460:M461)</f>
        <v>1528490</v>
      </c>
      <c r="O460" s="191">
        <v>1200000</v>
      </c>
      <c r="P460" s="57" t="s">
        <v>2196</v>
      </c>
      <c r="Q460" s="29" t="s">
        <v>82</v>
      </c>
      <c r="R460" s="81"/>
      <c r="S460" s="48" t="s">
        <v>1983</v>
      </c>
      <c r="T460" s="50"/>
      <c r="U460" s="30"/>
      <c r="V460" s="58"/>
      <c r="W460" s="52"/>
      <c r="X460" s="193"/>
      <c r="Y460" s="206">
        <f>X460*0.1</f>
        <v>0</v>
      </c>
      <c r="Z460" s="193"/>
      <c r="AA460" s="193">
        <f>SUM(X460:Z460)</f>
        <v>0</v>
      </c>
      <c r="AB460" s="219"/>
    </row>
    <row r="461" spans="1:28" ht="18.600000000000001" thickBot="1">
      <c r="A461" s="250"/>
      <c r="B461" s="31" t="s">
        <v>1823</v>
      </c>
      <c r="C461" s="31">
        <v>82147</v>
      </c>
      <c r="D461" s="32" t="s">
        <v>1811</v>
      </c>
      <c r="E461" s="200"/>
      <c r="F461" s="43" t="s">
        <v>2197</v>
      </c>
      <c r="G461" s="38">
        <v>57876</v>
      </c>
      <c r="H461" s="202"/>
      <c r="I461" s="194"/>
      <c r="J461" s="194"/>
      <c r="K461" s="194"/>
      <c r="L461" s="194"/>
      <c r="M461" s="194"/>
      <c r="N461" s="194"/>
      <c r="O461" s="192"/>
      <c r="P461" s="55" t="s">
        <v>2198</v>
      </c>
      <c r="Q461" s="33" t="s">
        <v>86</v>
      </c>
      <c r="R461" s="34" t="s">
        <v>2199</v>
      </c>
      <c r="S461" s="44" t="s">
        <v>287</v>
      </c>
      <c r="T461" s="46"/>
      <c r="U461" s="35" t="s">
        <v>2200</v>
      </c>
      <c r="V461" s="56"/>
      <c r="W461" s="46"/>
      <c r="X461" s="194"/>
      <c r="Y461" s="194"/>
      <c r="Z461" s="194"/>
      <c r="AA461" s="194"/>
      <c r="AB461" s="220"/>
    </row>
    <row r="462" spans="1:28" ht="18.600000000000001" thickTop="1">
      <c r="A462" s="249" t="s">
        <v>2201</v>
      </c>
      <c r="B462" s="26">
        <v>44644</v>
      </c>
      <c r="C462" s="36">
        <v>1363</v>
      </c>
      <c r="D462" s="28" t="s">
        <v>1960</v>
      </c>
      <c r="E462" s="199"/>
      <c r="F462" s="54" t="s">
        <v>2202</v>
      </c>
      <c r="G462" s="37"/>
      <c r="H462" s="201">
        <v>4.5</v>
      </c>
      <c r="I462" s="193">
        <v>1865000</v>
      </c>
      <c r="J462" s="193">
        <v>186500</v>
      </c>
      <c r="K462" s="193">
        <v>0</v>
      </c>
      <c r="L462" s="193">
        <v>17700</v>
      </c>
      <c r="M462" s="193">
        <v>13200</v>
      </c>
      <c r="N462" s="193">
        <f>SUM(I462:M463)</f>
        <v>2082400</v>
      </c>
      <c r="O462" s="191"/>
      <c r="P462" s="57" t="s">
        <v>2203</v>
      </c>
      <c r="Q462" s="29" t="s">
        <v>82</v>
      </c>
      <c r="R462" s="81"/>
      <c r="S462" s="48" t="s">
        <v>2204</v>
      </c>
      <c r="T462" s="50"/>
      <c r="U462" s="30"/>
      <c r="V462" s="58"/>
      <c r="W462" s="52"/>
      <c r="X462" s="193"/>
      <c r="Y462" s="206">
        <f>X462*0.1</f>
        <v>0</v>
      </c>
      <c r="Z462" s="193"/>
      <c r="AA462" s="193">
        <f>SUM(X462:Z462)</f>
        <v>0</v>
      </c>
      <c r="AB462" s="219"/>
    </row>
    <row r="463" spans="1:28" ht="18.600000000000001" thickBot="1">
      <c r="A463" s="250"/>
      <c r="B463" s="31" t="s">
        <v>1858</v>
      </c>
      <c r="C463" s="31">
        <v>78215</v>
      </c>
      <c r="D463" s="32" t="s">
        <v>2133</v>
      </c>
      <c r="E463" s="200"/>
      <c r="F463" s="43" t="s">
        <v>2205</v>
      </c>
      <c r="G463" s="38">
        <v>44279</v>
      </c>
      <c r="H463" s="202"/>
      <c r="I463" s="194"/>
      <c r="J463" s="194"/>
      <c r="K463" s="194"/>
      <c r="L463" s="194"/>
      <c r="M463" s="194"/>
      <c r="N463" s="194"/>
      <c r="O463" s="192"/>
      <c r="P463" s="55" t="s">
        <v>2206</v>
      </c>
      <c r="Q463" s="33" t="s">
        <v>86</v>
      </c>
      <c r="R463" s="34" t="s">
        <v>2207</v>
      </c>
      <c r="S463" s="44" t="s">
        <v>2208</v>
      </c>
      <c r="T463" s="46"/>
      <c r="U463" s="35"/>
      <c r="V463" s="56"/>
      <c r="W463" s="46"/>
      <c r="X463" s="194"/>
      <c r="Y463" s="194"/>
      <c r="Z463" s="194"/>
      <c r="AA463" s="194"/>
      <c r="AB463" s="220"/>
    </row>
    <row r="464" spans="1:28" ht="18.600000000000001" thickTop="1">
      <c r="A464" s="249" t="s">
        <v>2209</v>
      </c>
      <c r="B464" s="26">
        <v>44645</v>
      </c>
      <c r="C464" s="36"/>
      <c r="D464" s="28" t="s">
        <v>2210</v>
      </c>
      <c r="E464" s="199" t="s">
        <v>282</v>
      </c>
      <c r="F464" s="54" t="s">
        <v>2211</v>
      </c>
      <c r="G464" s="37" t="s">
        <v>2212</v>
      </c>
      <c r="H464" s="201">
        <v>4</v>
      </c>
      <c r="I464" s="193">
        <v>1700000</v>
      </c>
      <c r="J464" s="193">
        <v>170000</v>
      </c>
      <c r="K464" s="193">
        <v>45000</v>
      </c>
      <c r="L464" s="193">
        <v>9160</v>
      </c>
      <c r="M464" s="193">
        <v>11000</v>
      </c>
      <c r="N464" s="193">
        <f>SUM(I464:M465)</f>
        <v>1935160</v>
      </c>
      <c r="O464" s="191"/>
      <c r="P464" s="57" t="s">
        <v>2213</v>
      </c>
      <c r="Q464" s="29" t="s">
        <v>82</v>
      </c>
      <c r="R464" s="81"/>
      <c r="S464" s="48"/>
      <c r="T464" s="50"/>
      <c r="U464" s="30" t="s">
        <v>2214</v>
      </c>
      <c r="V464" s="58"/>
      <c r="W464" s="52"/>
      <c r="X464" s="193"/>
      <c r="Y464" s="206">
        <f>X464*0.1</f>
        <v>0</v>
      </c>
      <c r="Z464" s="193"/>
      <c r="AA464" s="193">
        <f>SUM(X464:Z464)</f>
        <v>0</v>
      </c>
      <c r="AB464" s="219"/>
    </row>
    <row r="465" spans="1:28" ht="18.600000000000001" thickBot="1">
      <c r="A465" s="250"/>
      <c r="B465" s="31" t="s">
        <v>2215</v>
      </c>
      <c r="C465" s="31" t="s">
        <v>2216</v>
      </c>
      <c r="D465" s="32" t="s">
        <v>1849</v>
      </c>
      <c r="E465" s="200"/>
      <c r="F465" s="43" t="s">
        <v>2217</v>
      </c>
      <c r="G465" s="38">
        <v>63000</v>
      </c>
      <c r="H465" s="202"/>
      <c r="I465" s="194"/>
      <c r="J465" s="194"/>
      <c r="K465" s="194"/>
      <c r="L465" s="194"/>
      <c r="M465" s="194"/>
      <c r="N465" s="194"/>
      <c r="O465" s="192"/>
      <c r="P465" s="55" t="s">
        <v>2218</v>
      </c>
      <c r="Q465" s="33" t="s">
        <v>86</v>
      </c>
      <c r="R465" s="34" t="s">
        <v>1819</v>
      </c>
      <c r="S465" s="44"/>
      <c r="T465" s="46"/>
      <c r="U465" s="35"/>
      <c r="V465" s="56"/>
      <c r="W465" s="46"/>
      <c r="X465" s="194"/>
      <c r="Y465" s="194"/>
      <c r="Z465" s="194"/>
      <c r="AA465" s="194"/>
      <c r="AB465" s="220"/>
    </row>
    <row r="466" spans="1:28" ht="18.600000000000001" thickTop="1">
      <c r="A466" s="249" t="s">
        <v>2219</v>
      </c>
      <c r="B466" s="26">
        <v>44653</v>
      </c>
      <c r="C466" s="36">
        <v>1099</v>
      </c>
      <c r="D466" s="28" t="s">
        <v>2220</v>
      </c>
      <c r="E466" s="199"/>
      <c r="F466" s="54" t="s">
        <v>2155</v>
      </c>
      <c r="G466" s="37" t="s">
        <v>2221</v>
      </c>
      <c r="H466" s="201">
        <v>4.5</v>
      </c>
      <c r="I466" s="193">
        <v>1290000</v>
      </c>
      <c r="J466" s="193">
        <v>129000</v>
      </c>
      <c r="K466" s="193">
        <v>36200</v>
      </c>
      <c r="L466" s="193">
        <v>18960</v>
      </c>
      <c r="M466" s="193">
        <v>13200</v>
      </c>
      <c r="N466" s="193">
        <f>SUM(I466:M467)</f>
        <v>1487360</v>
      </c>
      <c r="O466" s="191"/>
      <c r="P466" s="57" t="s">
        <v>2222</v>
      </c>
      <c r="Q466" s="29" t="s">
        <v>82</v>
      </c>
      <c r="R466" s="81"/>
      <c r="S466" s="48" t="s">
        <v>2223</v>
      </c>
      <c r="T466" s="50"/>
      <c r="U466" s="30" t="s">
        <v>2224</v>
      </c>
      <c r="V466" s="58"/>
      <c r="W466" s="52"/>
      <c r="X466" s="193"/>
      <c r="Y466" s="206">
        <f>X466*0.1</f>
        <v>0</v>
      </c>
      <c r="Z466" s="193"/>
      <c r="AA466" s="193">
        <f>SUM(X466:Z466)</f>
        <v>0</v>
      </c>
      <c r="AB466" s="219"/>
    </row>
    <row r="467" spans="1:28" ht="18.600000000000001" thickBot="1">
      <c r="A467" s="250"/>
      <c r="B467" s="31" t="s">
        <v>1823</v>
      </c>
      <c r="C467" s="31">
        <v>82148</v>
      </c>
      <c r="D467" s="32" t="s">
        <v>2225</v>
      </c>
      <c r="E467" s="200"/>
      <c r="F467" s="43" t="s">
        <v>2226</v>
      </c>
      <c r="G467" s="38">
        <v>31947</v>
      </c>
      <c r="H467" s="202"/>
      <c r="I467" s="194"/>
      <c r="J467" s="194"/>
      <c r="K467" s="194"/>
      <c r="L467" s="194"/>
      <c r="M467" s="194"/>
      <c r="N467" s="194"/>
      <c r="O467" s="192"/>
      <c r="P467" s="55" t="s">
        <v>2227</v>
      </c>
      <c r="Q467" s="33" t="s">
        <v>86</v>
      </c>
      <c r="R467" s="34" t="s">
        <v>2071</v>
      </c>
      <c r="S467" s="44" t="s">
        <v>2093</v>
      </c>
      <c r="T467" s="46"/>
      <c r="U467" s="35"/>
      <c r="V467" s="56"/>
      <c r="W467" s="46"/>
      <c r="X467" s="194"/>
      <c r="Y467" s="194"/>
      <c r="Z467" s="194"/>
      <c r="AA467" s="194"/>
      <c r="AB467" s="220"/>
    </row>
    <row r="468" spans="1:28" ht="18.600000000000001" thickTop="1">
      <c r="A468" s="249" t="s">
        <v>2228</v>
      </c>
      <c r="B468" s="26">
        <v>44658</v>
      </c>
      <c r="C468" s="36">
        <v>1959</v>
      </c>
      <c r="D468" s="28" t="s">
        <v>2229</v>
      </c>
      <c r="E468" s="199"/>
      <c r="F468" s="54" t="s">
        <v>2230</v>
      </c>
      <c r="G468" s="37"/>
      <c r="H468" s="201">
        <v>4.5</v>
      </c>
      <c r="I468" s="193">
        <v>1184000</v>
      </c>
      <c r="J468" s="193">
        <v>118400</v>
      </c>
      <c r="K468" s="193">
        <v>0</v>
      </c>
      <c r="L468" s="193">
        <v>18960</v>
      </c>
      <c r="M468" s="193">
        <v>13750</v>
      </c>
      <c r="N468" s="193">
        <f>SUM(I468:M469)</f>
        <v>1335110</v>
      </c>
      <c r="O468" s="191"/>
      <c r="P468" s="57" t="s">
        <v>2231</v>
      </c>
      <c r="Q468" s="29" t="s">
        <v>82</v>
      </c>
      <c r="R468" s="81"/>
      <c r="S468" s="48"/>
      <c r="T468" s="50"/>
      <c r="U468" s="30"/>
      <c r="V468" s="58"/>
      <c r="W468" s="52"/>
      <c r="X468" s="193"/>
      <c r="Y468" s="206">
        <f>X468*0.1</f>
        <v>0</v>
      </c>
      <c r="Z468" s="193"/>
      <c r="AA468" s="193">
        <f>SUM(X468:Z468)</f>
        <v>0</v>
      </c>
      <c r="AB468" s="219"/>
    </row>
    <row r="469" spans="1:28" ht="18.600000000000001" thickBot="1">
      <c r="A469" s="250"/>
      <c r="B469" s="31" t="s">
        <v>2232</v>
      </c>
      <c r="C469" s="31">
        <v>3164</v>
      </c>
      <c r="D469" s="32" t="s">
        <v>2233</v>
      </c>
      <c r="E469" s="200"/>
      <c r="F469" s="43" t="s">
        <v>2234</v>
      </c>
      <c r="G469" s="38">
        <v>43786</v>
      </c>
      <c r="H469" s="202"/>
      <c r="I469" s="194"/>
      <c r="J469" s="194"/>
      <c r="K469" s="194"/>
      <c r="L469" s="194"/>
      <c r="M469" s="194"/>
      <c r="N469" s="194"/>
      <c r="O469" s="192"/>
      <c r="P469" s="55" t="s">
        <v>2235</v>
      </c>
      <c r="Q469" s="33" t="s">
        <v>86</v>
      </c>
      <c r="R469" s="34" t="s">
        <v>2236</v>
      </c>
      <c r="S469" s="44" t="s">
        <v>2237</v>
      </c>
      <c r="T469" s="46"/>
      <c r="U469" s="35"/>
      <c r="V469" s="56"/>
      <c r="W469" s="46"/>
      <c r="X469" s="194"/>
      <c r="Y469" s="194"/>
      <c r="Z469" s="194"/>
      <c r="AA469" s="194"/>
      <c r="AB469" s="220"/>
    </row>
    <row r="470" spans="1:28" ht="18.600000000000001" thickTop="1">
      <c r="A470" s="249" t="s">
        <v>2238</v>
      </c>
      <c r="B470" s="26">
        <v>44659</v>
      </c>
      <c r="C470" s="36">
        <v>89</v>
      </c>
      <c r="D470" s="28" t="s">
        <v>2239</v>
      </c>
      <c r="E470" s="199"/>
      <c r="F470" s="54" t="s">
        <v>2240</v>
      </c>
      <c r="G470" s="37"/>
      <c r="H470" s="201">
        <v>3</v>
      </c>
      <c r="I470" s="193">
        <v>453000</v>
      </c>
      <c r="J470" s="193">
        <v>45300</v>
      </c>
      <c r="K470" s="193">
        <v>0</v>
      </c>
      <c r="L470" s="193">
        <v>0</v>
      </c>
      <c r="M470" s="193">
        <v>19800</v>
      </c>
      <c r="N470" s="193">
        <f>SUM(I470:M471)</f>
        <v>518100</v>
      </c>
      <c r="O470" s="191"/>
      <c r="P470" s="57" t="s">
        <v>2241</v>
      </c>
      <c r="Q470" s="29" t="s">
        <v>82</v>
      </c>
      <c r="R470" s="81"/>
      <c r="S470" s="48"/>
      <c r="T470" s="50"/>
      <c r="U470" s="30"/>
      <c r="V470" s="58"/>
      <c r="W470" s="52"/>
      <c r="X470" s="193"/>
      <c r="Y470" s="206">
        <f>X470*0.1</f>
        <v>0</v>
      </c>
      <c r="Z470" s="193"/>
      <c r="AA470" s="193">
        <f>SUM(X470:Z470)</f>
        <v>0</v>
      </c>
      <c r="AB470" s="219"/>
    </row>
    <row r="471" spans="1:28" ht="18.600000000000001" thickBot="1">
      <c r="A471" s="250"/>
      <c r="B471" s="31" t="s">
        <v>2242</v>
      </c>
      <c r="C471" s="31">
        <v>117</v>
      </c>
      <c r="D471" s="32" t="s">
        <v>1987</v>
      </c>
      <c r="E471" s="200"/>
      <c r="F471" s="43" t="s">
        <v>2243</v>
      </c>
      <c r="G471" s="38">
        <v>55128</v>
      </c>
      <c r="H471" s="202"/>
      <c r="I471" s="194"/>
      <c r="J471" s="194"/>
      <c r="K471" s="194"/>
      <c r="L471" s="194"/>
      <c r="M471" s="194"/>
      <c r="N471" s="194"/>
      <c r="O471" s="192"/>
      <c r="P471" s="55" t="s">
        <v>2244</v>
      </c>
      <c r="Q471" s="33" t="s">
        <v>86</v>
      </c>
      <c r="R471" s="34" t="s">
        <v>2245</v>
      </c>
      <c r="S471" s="44"/>
      <c r="T471" s="46"/>
      <c r="U471" s="35"/>
      <c r="V471" s="56"/>
      <c r="W471" s="46"/>
      <c r="X471" s="194"/>
      <c r="Y471" s="194"/>
      <c r="Z471" s="194"/>
      <c r="AA471" s="194"/>
      <c r="AB471" s="220"/>
    </row>
    <row r="472" spans="1:28" ht="18.600000000000001" thickTop="1">
      <c r="A472" s="249" t="s">
        <v>2246</v>
      </c>
      <c r="B472" s="26">
        <v>44672</v>
      </c>
      <c r="C472" s="36">
        <v>1367</v>
      </c>
      <c r="D472" s="28" t="s">
        <v>2247</v>
      </c>
      <c r="E472" s="199"/>
      <c r="F472" s="54" t="s">
        <v>2155</v>
      </c>
      <c r="G472" s="37"/>
      <c r="H472" s="201">
        <v>4.5</v>
      </c>
      <c r="I472" s="193">
        <v>1980000</v>
      </c>
      <c r="J472" s="193">
        <v>198000</v>
      </c>
      <c r="K472" s="193">
        <v>0</v>
      </c>
      <c r="L472" s="193">
        <v>16240</v>
      </c>
      <c r="M472" s="193">
        <v>13200</v>
      </c>
      <c r="N472" s="193">
        <f>SUM(I472:M473)</f>
        <v>2207440</v>
      </c>
      <c r="O472" s="191"/>
      <c r="P472" s="57" t="s">
        <v>2248</v>
      </c>
      <c r="Q472" s="29" t="s">
        <v>82</v>
      </c>
      <c r="R472" s="81"/>
      <c r="S472" s="48" t="s">
        <v>1500</v>
      </c>
      <c r="T472" s="50"/>
      <c r="U472" s="30"/>
      <c r="V472" s="58"/>
      <c r="W472" s="52"/>
      <c r="X472" s="193"/>
      <c r="Y472" s="206">
        <f>X472*0.1</f>
        <v>0</v>
      </c>
      <c r="Z472" s="193"/>
      <c r="AA472" s="193">
        <f>SUM(X472:Z472)</f>
        <v>0</v>
      </c>
      <c r="AB472" s="219"/>
    </row>
    <row r="473" spans="1:28" ht="18.600000000000001" thickBot="1">
      <c r="A473" s="250"/>
      <c r="B473" s="31" t="s">
        <v>1858</v>
      </c>
      <c r="C473" s="31">
        <v>75364</v>
      </c>
      <c r="D473" s="32" t="s">
        <v>244</v>
      </c>
      <c r="E473" s="200"/>
      <c r="F473" s="43" t="s">
        <v>2249</v>
      </c>
      <c r="G473" s="38">
        <v>33656</v>
      </c>
      <c r="H473" s="202"/>
      <c r="I473" s="194"/>
      <c r="J473" s="194"/>
      <c r="K473" s="194"/>
      <c r="L473" s="194"/>
      <c r="M473" s="194"/>
      <c r="N473" s="194"/>
      <c r="O473" s="192"/>
      <c r="P473" s="55" t="s">
        <v>2235</v>
      </c>
      <c r="Q473" s="33" t="s">
        <v>86</v>
      </c>
      <c r="R473" s="34" t="s">
        <v>2250</v>
      </c>
      <c r="S473" s="44" t="s">
        <v>2237</v>
      </c>
      <c r="T473" s="46"/>
      <c r="U473" s="35"/>
      <c r="V473" s="56"/>
      <c r="W473" s="46"/>
      <c r="X473" s="194"/>
      <c r="Y473" s="194"/>
      <c r="Z473" s="194"/>
      <c r="AA473" s="194"/>
      <c r="AB473" s="220"/>
    </row>
    <row r="474" spans="1:28" ht="18.600000000000001" thickTop="1">
      <c r="A474" s="249" t="s">
        <v>2251</v>
      </c>
      <c r="B474" s="26">
        <v>44674</v>
      </c>
      <c r="C474" s="36">
        <v>1345</v>
      </c>
      <c r="D474" s="28" t="s">
        <v>2252</v>
      </c>
      <c r="E474" s="199"/>
      <c r="F474" s="54" t="s">
        <v>1358</v>
      </c>
      <c r="G474" s="37" t="s">
        <v>2071</v>
      </c>
      <c r="H474" s="201">
        <v>4.5</v>
      </c>
      <c r="I474" s="193">
        <v>1835000</v>
      </c>
      <c r="J474" s="193">
        <v>183500</v>
      </c>
      <c r="K474" s="193">
        <v>36200</v>
      </c>
      <c r="L474" s="193">
        <v>18960</v>
      </c>
      <c r="M474" s="193">
        <v>13200</v>
      </c>
      <c r="N474" s="193">
        <f>SUM(I474:M475)</f>
        <v>2086860</v>
      </c>
      <c r="O474" s="191"/>
      <c r="P474" s="57" t="s">
        <v>2253</v>
      </c>
      <c r="Q474" s="29" t="s">
        <v>82</v>
      </c>
      <c r="R474" s="81"/>
      <c r="S474" s="48" t="s">
        <v>2223</v>
      </c>
      <c r="T474" s="50"/>
      <c r="U474" s="30"/>
      <c r="V474" s="58"/>
      <c r="W474" s="52"/>
      <c r="X474" s="193"/>
      <c r="Y474" s="206">
        <f>X474*0.1</f>
        <v>0</v>
      </c>
      <c r="Z474" s="193"/>
      <c r="AA474" s="193">
        <f>SUM(X474:Z474)</f>
        <v>0</v>
      </c>
      <c r="AB474" s="219"/>
    </row>
    <row r="475" spans="1:28" ht="18.600000000000001" thickBot="1">
      <c r="A475" s="250"/>
      <c r="B475" s="31" t="s">
        <v>1810</v>
      </c>
      <c r="C475" s="31">
        <v>60231</v>
      </c>
      <c r="D475" s="32" t="s">
        <v>1849</v>
      </c>
      <c r="E475" s="200"/>
      <c r="F475" s="43" t="s">
        <v>2254</v>
      </c>
      <c r="G475" s="38">
        <v>31278</v>
      </c>
      <c r="H475" s="202"/>
      <c r="I475" s="194"/>
      <c r="J475" s="194"/>
      <c r="K475" s="194"/>
      <c r="L475" s="194"/>
      <c r="M475" s="194"/>
      <c r="N475" s="194"/>
      <c r="O475" s="192"/>
      <c r="P475" s="55" t="s">
        <v>2255</v>
      </c>
      <c r="Q475" s="33" t="s">
        <v>86</v>
      </c>
      <c r="R475" s="34" t="s">
        <v>2256</v>
      </c>
      <c r="S475" s="44" t="s">
        <v>272</v>
      </c>
      <c r="T475" s="46"/>
      <c r="U475" s="35" t="s">
        <v>2257</v>
      </c>
      <c r="V475" s="56"/>
      <c r="W475" s="46"/>
      <c r="X475" s="194"/>
      <c r="Y475" s="194"/>
      <c r="Z475" s="194"/>
      <c r="AA475" s="194"/>
      <c r="AB475" s="220"/>
    </row>
    <row r="476" spans="1:28" ht="18.600000000000001" thickTop="1">
      <c r="A476" s="249" t="s">
        <v>2258</v>
      </c>
      <c r="B476" s="26">
        <v>44681</v>
      </c>
      <c r="C476" s="36">
        <v>1527</v>
      </c>
      <c r="D476" s="28" t="s">
        <v>2040</v>
      </c>
      <c r="E476" s="199"/>
      <c r="F476" s="54" t="s">
        <v>2259</v>
      </c>
      <c r="G476" s="37" t="s">
        <v>2260</v>
      </c>
      <c r="H476" s="201">
        <v>4</v>
      </c>
      <c r="I476" s="193">
        <v>2000000</v>
      </c>
      <c r="J476" s="193">
        <v>200000</v>
      </c>
      <c r="K476" s="193">
        <v>36200</v>
      </c>
      <c r="L476" s="193">
        <v>20680</v>
      </c>
      <c r="M476" s="193">
        <v>13200</v>
      </c>
      <c r="N476" s="193">
        <f>SUM(I476:M477)</f>
        <v>2270080</v>
      </c>
      <c r="O476" s="191"/>
      <c r="P476" s="57" t="s">
        <v>2261</v>
      </c>
      <c r="Q476" s="29" t="s">
        <v>82</v>
      </c>
      <c r="R476" s="81"/>
      <c r="S476" s="48" t="s">
        <v>2262</v>
      </c>
      <c r="T476" s="50"/>
      <c r="U476" s="30" t="s">
        <v>2263</v>
      </c>
      <c r="V476" s="58"/>
      <c r="W476" s="52"/>
      <c r="X476" s="193"/>
      <c r="Y476" s="206">
        <f>X476*0.1</f>
        <v>0</v>
      </c>
      <c r="Z476" s="193"/>
      <c r="AA476" s="193">
        <f>SUM(X476:Z476)</f>
        <v>0</v>
      </c>
      <c r="AB476" s="219"/>
    </row>
    <row r="477" spans="1:28" ht="18.600000000000001" thickBot="1">
      <c r="A477" s="250"/>
      <c r="B477" s="31" t="s">
        <v>2142</v>
      </c>
      <c r="C477" s="31">
        <v>311</v>
      </c>
      <c r="D477" s="32" t="s">
        <v>2168</v>
      </c>
      <c r="E477" s="200"/>
      <c r="F477" s="43" t="s">
        <v>2264</v>
      </c>
      <c r="G477" s="38">
        <v>24881</v>
      </c>
      <c r="H477" s="202"/>
      <c r="I477" s="194"/>
      <c r="J477" s="194"/>
      <c r="K477" s="194"/>
      <c r="L477" s="194"/>
      <c r="M477" s="194"/>
      <c r="N477" s="194"/>
      <c r="O477" s="192"/>
      <c r="P477" s="55" t="s">
        <v>2265</v>
      </c>
      <c r="Q477" s="33" t="s">
        <v>86</v>
      </c>
      <c r="R477" s="34" t="s">
        <v>2266</v>
      </c>
      <c r="S477" s="44" t="s">
        <v>1872</v>
      </c>
      <c r="T477" s="46"/>
      <c r="U477" s="35" t="s">
        <v>153</v>
      </c>
      <c r="V477" s="56"/>
      <c r="W477" s="46"/>
      <c r="X477" s="194"/>
      <c r="Y477" s="194"/>
      <c r="Z477" s="194"/>
      <c r="AA477" s="194"/>
      <c r="AB477" s="220"/>
    </row>
    <row r="478" spans="1:28" ht="18.600000000000001" thickTop="1">
      <c r="A478" s="249" t="s">
        <v>2267</v>
      </c>
      <c r="B478" s="26">
        <v>44693</v>
      </c>
      <c r="C478" s="36">
        <v>1369</v>
      </c>
      <c r="D478" s="28" t="s">
        <v>2112</v>
      </c>
      <c r="E478" s="199"/>
      <c r="F478" s="54" t="s">
        <v>2268</v>
      </c>
      <c r="G478" s="37" t="s">
        <v>2195</v>
      </c>
      <c r="H478" s="201">
        <v>4.5</v>
      </c>
      <c r="I478" s="193">
        <v>1980000</v>
      </c>
      <c r="J478" s="193">
        <v>198000</v>
      </c>
      <c r="K478" s="193">
        <v>32900</v>
      </c>
      <c r="L478" s="193">
        <v>14750</v>
      </c>
      <c r="M478" s="193">
        <v>13200</v>
      </c>
      <c r="N478" s="193">
        <f>SUM(I478:M479)</f>
        <v>2238850</v>
      </c>
      <c r="O478" s="191"/>
      <c r="P478" s="57" t="s">
        <v>2269</v>
      </c>
      <c r="Q478" s="29" t="s">
        <v>82</v>
      </c>
      <c r="R478" s="81"/>
      <c r="S478" s="48" t="s">
        <v>1494</v>
      </c>
      <c r="T478" s="50"/>
      <c r="U478" s="30" t="s">
        <v>2270</v>
      </c>
      <c r="V478" s="58"/>
      <c r="W478" s="52"/>
      <c r="X478" s="193"/>
      <c r="Y478" s="206">
        <f>X478*0.1</f>
        <v>0</v>
      </c>
      <c r="Z478" s="193"/>
      <c r="AA478" s="193">
        <f>SUM(X478:Z478)</f>
        <v>0</v>
      </c>
      <c r="AB478" s="219"/>
    </row>
    <row r="479" spans="1:28" ht="18.600000000000001" thickBot="1">
      <c r="A479" s="250"/>
      <c r="B479" s="31" t="s">
        <v>1858</v>
      </c>
      <c r="C479" s="31">
        <v>75009</v>
      </c>
      <c r="D479" s="32" t="s">
        <v>1798</v>
      </c>
      <c r="E479" s="200"/>
      <c r="F479" s="43" t="s">
        <v>2271</v>
      </c>
      <c r="G479" s="38">
        <v>53562</v>
      </c>
      <c r="H479" s="202"/>
      <c r="I479" s="194"/>
      <c r="J479" s="194"/>
      <c r="K479" s="194"/>
      <c r="L479" s="194"/>
      <c r="M479" s="194"/>
      <c r="N479" s="194"/>
      <c r="O479" s="192"/>
      <c r="P479" s="55" t="s">
        <v>2180</v>
      </c>
      <c r="Q479" s="33" t="s">
        <v>86</v>
      </c>
      <c r="R479" s="34" t="s">
        <v>2272</v>
      </c>
      <c r="S479" s="44" t="s">
        <v>96</v>
      </c>
      <c r="T479" s="46"/>
      <c r="U479" s="35"/>
      <c r="V479" s="56"/>
      <c r="W479" s="46"/>
      <c r="X479" s="194"/>
      <c r="Y479" s="194"/>
      <c r="Z479" s="194"/>
      <c r="AA479" s="194"/>
      <c r="AB479" s="220"/>
    </row>
    <row r="480" spans="1:28" ht="18.600000000000001" thickTop="1">
      <c r="A480" s="249" t="s">
        <v>2273</v>
      </c>
      <c r="B480" s="26">
        <v>44695</v>
      </c>
      <c r="C480" s="36">
        <v>1347</v>
      </c>
      <c r="D480" s="28" t="s">
        <v>2274</v>
      </c>
      <c r="E480" s="199" t="s">
        <v>2275</v>
      </c>
      <c r="F480" s="54" t="s">
        <v>1358</v>
      </c>
      <c r="G480" s="37"/>
      <c r="H480" s="201">
        <v>4</v>
      </c>
      <c r="I480" s="193">
        <v>2895000</v>
      </c>
      <c r="J480" s="193">
        <v>289500</v>
      </c>
      <c r="K480" s="193">
        <v>0</v>
      </c>
      <c r="L480" s="193">
        <v>17600</v>
      </c>
      <c r="M480" s="193">
        <v>13200</v>
      </c>
      <c r="N480" s="193">
        <f>SUM(I480:M481)</f>
        <v>3215300</v>
      </c>
      <c r="O480" s="191"/>
      <c r="P480" s="57" t="s">
        <v>2276</v>
      </c>
      <c r="Q480" s="29" t="s">
        <v>82</v>
      </c>
      <c r="R480" s="81"/>
      <c r="S480" s="48" t="s">
        <v>1638</v>
      </c>
      <c r="T480" s="50"/>
      <c r="U480" s="30"/>
      <c r="V480" s="58"/>
      <c r="W480" s="52"/>
      <c r="X480" s="193"/>
      <c r="Y480" s="206">
        <f>X480*0.1</f>
        <v>0</v>
      </c>
      <c r="Z480" s="193"/>
      <c r="AA480" s="193">
        <f>SUM(X480:Z480)</f>
        <v>0</v>
      </c>
      <c r="AB480" s="219"/>
    </row>
    <row r="481" spans="1:28" ht="18.600000000000001" thickBot="1">
      <c r="A481" s="250"/>
      <c r="B481" s="31" t="s">
        <v>1810</v>
      </c>
      <c r="C481" s="31">
        <v>83214</v>
      </c>
      <c r="D481" s="141" t="s">
        <v>2277</v>
      </c>
      <c r="E481" s="200"/>
      <c r="F481" s="43" t="s">
        <v>2278</v>
      </c>
      <c r="G481" s="38">
        <v>12632</v>
      </c>
      <c r="H481" s="202"/>
      <c r="I481" s="194"/>
      <c r="J481" s="194"/>
      <c r="K481" s="194"/>
      <c r="L481" s="194"/>
      <c r="M481" s="194"/>
      <c r="N481" s="194"/>
      <c r="O481" s="192"/>
      <c r="P481" s="55" t="s">
        <v>2279</v>
      </c>
      <c r="Q481" s="33" t="s">
        <v>86</v>
      </c>
      <c r="R481" s="34" t="s">
        <v>2280</v>
      </c>
      <c r="S481" s="44" t="s">
        <v>2281</v>
      </c>
      <c r="T481" s="46"/>
      <c r="U481" s="35"/>
      <c r="V481" s="56"/>
      <c r="W481" s="46"/>
      <c r="X481" s="194"/>
      <c r="Y481" s="194"/>
      <c r="Z481" s="194"/>
      <c r="AA481" s="194"/>
      <c r="AB481" s="220"/>
    </row>
    <row r="482" spans="1:28" ht="18.600000000000001" thickTop="1">
      <c r="A482" s="249" t="s">
        <v>2282</v>
      </c>
      <c r="B482" s="26">
        <v>44700</v>
      </c>
      <c r="C482" s="36">
        <v>1370</v>
      </c>
      <c r="D482" s="28" t="s">
        <v>2283</v>
      </c>
      <c r="E482" s="199" t="s">
        <v>282</v>
      </c>
      <c r="F482" s="54" t="s">
        <v>2284</v>
      </c>
      <c r="G482" s="37" t="s">
        <v>2285</v>
      </c>
      <c r="H482" s="201">
        <v>5</v>
      </c>
      <c r="I482" s="193">
        <v>9760000</v>
      </c>
      <c r="J482" s="193">
        <v>976000</v>
      </c>
      <c r="K482" s="193">
        <v>41600</v>
      </c>
      <c r="L482" s="193">
        <v>18090</v>
      </c>
      <c r="M482" s="193">
        <v>13200</v>
      </c>
      <c r="N482" s="193">
        <f>SUM(I482:M483)</f>
        <v>10808890</v>
      </c>
      <c r="O482" s="191"/>
      <c r="P482" s="57" t="s">
        <v>2286</v>
      </c>
      <c r="Q482" s="29" t="s">
        <v>82</v>
      </c>
      <c r="R482" s="81"/>
      <c r="S482" s="48" t="s">
        <v>1821</v>
      </c>
      <c r="T482" s="50"/>
      <c r="U482" s="30" t="s">
        <v>2287</v>
      </c>
      <c r="V482" s="58"/>
      <c r="W482" s="52"/>
      <c r="X482" s="193"/>
      <c r="Y482" s="206">
        <f>X482*0.1</f>
        <v>0</v>
      </c>
      <c r="Z482" s="193"/>
      <c r="AA482" s="193">
        <f>SUM(X482:Z482)</f>
        <v>0</v>
      </c>
      <c r="AB482" s="219"/>
    </row>
    <row r="483" spans="1:28" ht="18.600000000000001" thickBot="1">
      <c r="A483" s="250"/>
      <c r="B483" s="31" t="s">
        <v>1858</v>
      </c>
      <c r="C483" s="31">
        <v>75668</v>
      </c>
      <c r="D483" s="32" t="s">
        <v>1849</v>
      </c>
      <c r="E483" s="200"/>
      <c r="F483" s="43" t="s">
        <v>2288</v>
      </c>
      <c r="G483" s="38">
        <v>9800</v>
      </c>
      <c r="H483" s="202"/>
      <c r="I483" s="194"/>
      <c r="J483" s="194"/>
      <c r="K483" s="194"/>
      <c r="L483" s="194"/>
      <c r="M483" s="194"/>
      <c r="N483" s="194"/>
      <c r="O483" s="192"/>
      <c r="P483" s="55" t="s">
        <v>2180</v>
      </c>
      <c r="Q483" s="33" t="s">
        <v>86</v>
      </c>
      <c r="R483" s="34" t="s">
        <v>2280</v>
      </c>
      <c r="S483" s="44" t="s">
        <v>2289</v>
      </c>
      <c r="T483" s="46"/>
      <c r="U483" s="35"/>
      <c r="V483" s="56"/>
      <c r="W483" s="46"/>
      <c r="X483" s="194"/>
      <c r="Y483" s="194"/>
      <c r="Z483" s="194"/>
      <c r="AA483" s="194"/>
      <c r="AB483" s="220"/>
    </row>
    <row r="484" spans="1:28" ht="18.600000000000001" thickTop="1">
      <c r="A484" s="249" t="s">
        <v>2290</v>
      </c>
      <c r="B484" s="26">
        <v>44708</v>
      </c>
      <c r="C484" s="36">
        <v>1941</v>
      </c>
      <c r="D484" s="28" t="s">
        <v>2291</v>
      </c>
      <c r="E484" s="199"/>
      <c r="F484" s="54" t="s">
        <v>2292</v>
      </c>
      <c r="G484" s="37"/>
      <c r="H484" s="201">
        <v>4</v>
      </c>
      <c r="I484" s="193">
        <v>580000</v>
      </c>
      <c r="J484" s="193">
        <v>58000</v>
      </c>
      <c r="K484" s="193">
        <v>0</v>
      </c>
      <c r="L484" s="193">
        <v>15590</v>
      </c>
      <c r="M484" s="193">
        <v>13200</v>
      </c>
      <c r="N484" s="193">
        <f>SUM(I484:M485)</f>
        <v>666790</v>
      </c>
      <c r="O484" s="191"/>
      <c r="P484" s="57" t="s">
        <v>2293</v>
      </c>
      <c r="Q484" s="29" t="s">
        <v>82</v>
      </c>
      <c r="R484" s="81"/>
      <c r="S484" s="48" t="s">
        <v>940</v>
      </c>
      <c r="T484" s="50"/>
      <c r="U484" s="30"/>
      <c r="V484" s="58"/>
      <c r="W484" s="52"/>
      <c r="X484" s="193"/>
      <c r="Y484" s="206">
        <f>X484*0.1</f>
        <v>0</v>
      </c>
      <c r="Z484" s="193"/>
      <c r="AA484" s="193">
        <f>SUM(X484:Z484)</f>
        <v>0</v>
      </c>
      <c r="AB484" s="219"/>
    </row>
    <row r="485" spans="1:28" ht="18.600000000000001" thickBot="1">
      <c r="A485" s="250"/>
      <c r="B485" s="31" t="s">
        <v>1797</v>
      </c>
      <c r="C485" s="31">
        <v>58169</v>
      </c>
      <c r="D485" s="32" t="s">
        <v>2168</v>
      </c>
      <c r="E485" s="200"/>
      <c r="F485" s="43" t="s">
        <v>2294</v>
      </c>
      <c r="G485" s="38">
        <v>65001</v>
      </c>
      <c r="H485" s="202"/>
      <c r="I485" s="194"/>
      <c r="J485" s="194"/>
      <c r="K485" s="194"/>
      <c r="L485" s="194"/>
      <c r="M485" s="194"/>
      <c r="N485" s="194"/>
      <c r="O485" s="192"/>
      <c r="P485" s="55" t="s">
        <v>2295</v>
      </c>
      <c r="Q485" s="33" t="s">
        <v>86</v>
      </c>
      <c r="R485" s="34" t="s">
        <v>2296</v>
      </c>
      <c r="S485" s="44" t="s">
        <v>2101</v>
      </c>
      <c r="T485" s="46"/>
      <c r="U485" s="35"/>
      <c r="V485" s="56"/>
      <c r="W485" s="46"/>
      <c r="X485" s="194"/>
      <c r="Y485" s="194"/>
      <c r="Z485" s="194"/>
      <c r="AA485" s="194"/>
      <c r="AB485" s="220"/>
    </row>
    <row r="486" spans="1:28" ht="18.600000000000001" thickTop="1">
      <c r="A486" s="249" t="s">
        <v>2308</v>
      </c>
      <c r="B486" s="26">
        <v>44715</v>
      </c>
      <c r="C486" s="36">
        <v>1942</v>
      </c>
      <c r="D486" s="28" t="s">
        <v>1829</v>
      </c>
      <c r="E486" s="199"/>
      <c r="F486" s="54" t="s">
        <v>2309</v>
      </c>
      <c r="G486" s="37" t="s">
        <v>2310</v>
      </c>
      <c r="H486" s="201">
        <v>4.5</v>
      </c>
      <c r="I486" s="193">
        <v>2255000</v>
      </c>
      <c r="J486" s="193">
        <v>225500</v>
      </c>
      <c r="K486" s="193">
        <v>29600</v>
      </c>
      <c r="L486" s="193">
        <v>21090</v>
      </c>
      <c r="M486" s="193">
        <v>13200</v>
      </c>
      <c r="N486" s="193">
        <f>SUM(I486:M487)</f>
        <v>2544390</v>
      </c>
      <c r="O486" s="191"/>
      <c r="P486" s="57" t="s">
        <v>2311</v>
      </c>
      <c r="Q486" s="29" t="s">
        <v>82</v>
      </c>
      <c r="R486" s="81"/>
      <c r="S486" s="48" t="s">
        <v>1326</v>
      </c>
      <c r="T486" s="50"/>
      <c r="U486" s="30" t="s">
        <v>2312</v>
      </c>
      <c r="V486" s="58"/>
      <c r="W486" s="52"/>
      <c r="X486" s="193"/>
      <c r="Y486" s="206">
        <f>X486*0.1</f>
        <v>0</v>
      </c>
      <c r="Z486" s="193"/>
      <c r="AA486" s="193">
        <f>SUM(X486:Z486)</f>
        <v>0</v>
      </c>
      <c r="AB486" s="219"/>
    </row>
    <row r="487" spans="1:28" ht="18.600000000000001" thickBot="1">
      <c r="A487" s="250"/>
      <c r="B487" s="31" t="s">
        <v>1797</v>
      </c>
      <c r="C487" s="31">
        <v>58443</v>
      </c>
      <c r="D487" s="32" t="s">
        <v>2168</v>
      </c>
      <c r="E487" s="200"/>
      <c r="F487" s="43" t="s">
        <v>2313</v>
      </c>
      <c r="G487" s="38">
        <v>51266</v>
      </c>
      <c r="H487" s="202"/>
      <c r="I487" s="194"/>
      <c r="J487" s="194"/>
      <c r="K487" s="194"/>
      <c r="L487" s="194"/>
      <c r="M487" s="194"/>
      <c r="N487" s="194"/>
      <c r="O487" s="192"/>
      <c r="P487" s="55" t="s">
        <v>2314</v>
      </c>
      <c r="Q487" s="33" t="s">
        <v>86</v>
      </c>
      <c r="R487" s="34" t="s">
        <v>2315</v>
      </c>
      <c r="S487" s="44" t="s">
        <v>2316</v>
      </c>
      <c r="T487" s="46"/>
      <c r="U487" s="35" t="s">
        <v>216</v>
      </c>
      <c r="V487" s="56"/>
      <c r="W487" s="46"/>
      <c r="X487" s="194"/>
      <c r="Y487" s="194"/>
      <c r="Z487" s="194"/>
      <c r="AA487" s="194"/>
      <c r="AB487" s="220"/>
    </row>
    <row r="488" spans="1:28" ht="18.600000000000001" thickTop="1">
      <c r="A488" s="249" t="s">
        <v>2317</v>
      </c>
      <c r="B488" s="26">
        <v>44722</v>
      </c>
      <c r="C488" s="36">
        <v>1943</v>
      </c>
      <c r="D488" s="28" t="s">
        <v>94</v>
      </c>
      <c r="E488" s="199" t="s">
        <v>2275</v>
      </c>
      <c r="F488" s="54" t="s">
        <v>2318</v>
      </c>
      <c r="G488" s="37"/>
      <c r="H488" s="201">
        <v>4.5</v>
      </c>
      <c r="I488" s="193">
        <v>1200000</v>
      </c>
      <c r="J488" s="193">
        <v>120000</v>
      </c>
      <c r="K488" s="193">
        <v>0</v>
      </c>
      <c r="L488" s="193">
        <v>17490</v>
      </c>
      <c r="M488" s="193">
        <v>24200</v>
      </c>
      <c r="N488" s="193">
        <f>SUM(I488:M489)</f>
        <v>1361690</v>
      </c>
      <c r="O488" s="191"/>
      <c r="P488" s="57" t="s">
        <v>2319</v>
      </c>
      <c r="Q488" s="29" t="s">
        <v>82</v>
      </c>
      <c r="R488" s="81"/>
      <c r="S488" s="48" t="s">
        <v>940</v>
      </c>
      <c r="T488" s="50"/>
      <c r="U488" s="30"/>
      <c r="V488" s="58"/>
      <c r="W488" s="52"/>
      <c r="X488" s="193"/>
      <c r="Y488" s="206">
        <f>X488*0.1</f>
        <v>0</v>
      </c>
      <c r="Z488" s="193"/>
      <c r="AA488" s="193">
        <f>SUM(X488:Z488)</f>
        <v>0</v>
      </c>
      <c r="AB488" s="219"/>
    </row>
    <row r="489" spans="1:28" ht="18.600000000000001" thickBot="1">
      <c r="A489" s="250"/>
      <c r="B489" s="31" t="s">
        <v>1797</v>
      </c>
      <c r="C489" s="31">
        <v>58068</v>
      </c>
      <c r="D489" s="32" t="s">
        <v>2115</v>
      </c>
      <c r="E489" s="200"/>
      <c r="F489" s="43" t="s">
        <v>2320</v>
      </c>
      <c r="G489" s="38">
        <v>54457</v>
      </c>
      <c r="H489" s="202"/>
      <c r="I489" s="194"/>
      <c r="J489" s="194"/>
      <c r="K489" s="194"/>
      <c r="L489" s="194"/>
      <c r="M489" s="194"/>
      <c r="N489" s="194"/>
      <c r="O489" s="192"/>
      <c r="P489" s="55" t="s">
        <v>2321</v>
      </c>
      <c r="Q489" s="33" t="s">
        <v>86</v>
      </c>
      <c r="R489" s="34" t="s">
        <v>2322</v>
      </c>
      <c r="S489" s="44" t="s">
        <v>2323</v>
      </c>
      <c r="T489" s="46"/>
      <c r="U489" s="35"/>
      <c r="V489" s="56"/>
      <c r="W489" s="46"/>
      <c r="X489" s="194"/>
      <c r="Y489" s="194"/>
      <c r="Z489" s="194"/>
      <c r="AA489" s="194"/>
      <c r="AB489" s="220"/>
    </row>
    <row r="490" spans="1:28" ht="18.600000000000001" thickTop="1">
      <c r="A490" s="249" t="s">
        <v>2324</v>
      </c>
      <c r="B490" s="26">
        <v>44722</v>
      </c>
      <c r="C490" s="36">
        <v>1943</v>
      </c>
      <c r="D490" s="28" t="s">
        <v>2325</v>
      </c>
      <c r="E490" s="199"/>
      <c r="F490" s="54" t="s">
        <v>1875</v>
      </c>
      <c r="G490" s="37" t="s">
        <v>2326</v>
      </c>
      <c r="H490" s="201">
        <v>4</v>
      </c>
      <c r="I490" s="193">
        <v>1330000</v>
      </c>
      <c r="J490" s="193">
        <v>133000</v>
      </c>
      <c r="K490" s="193">
        <v>25800</v>
      </c>
      <c r="L490" s="193">
        <v>17250</v>
      </c>
      <c r="M490" s="193">
        <v>13200</v>
      </c>
      <c r="N490" s="193">
        <f>SUM(I490:M491)</f>
        <v>1519250</v>
      </c>
      <c r="O490" s="191"/>
      <c r="P490" s="57" t="s">
        <v>2327</v>
      </c>
      <c r="Q490" s="29" t="s">
        <v>82</v>
      </c>
      <c r="R490" s="81"/>
      <c r="S490" s="48" t="s">
        <v>2328</v>
      </c>
      <c r="T490" s="140" t="s">
        <v>1877</v>
      </c>
      <c r="U490" s="30" t="s">
        <v>2329</v>
      </c>
      <c r="V490" s="58"/>
      <c r="W490" s="52"/>
      <c r="X490" s="193"/>
      <c r="Y490" s="206">
        <f>X490*0.1</f>
        <v>0</v>
      </c>
      <c r="Z490" s="193"/>
      <c r="AA490" s="193">
        <f>SUM(X490:Z490)</f>
        <v>0</v>
      </c>
      <c r="AB490" s="219"/>
    </row>
    <row r="491" spans="1:28" ht="18.600000000000001" thickBot="1">
      <c r="A491" s="250"/>
      <c r="B491" s="31" t="s">
        <v>1797</v>
      </c>
      <c r="C491" s="31">
        <v>58299</v>
      </c>
      <c r="D491" s="32" t="s">
        <v>2089</v>
      </c>
      <c r="E491" s="200"/>
      <c r="F491" s="43" t="s">
        <v>2330</v>
      </c>
      <c r="G491" s="38">
        <v>36133</v>
      </c>
      <c r="H491" s="202"/>
      <c r="I491" s="194"/>
      <c r="J491" s="194"/>
      <c r="K491" s="194"/>
      <c r="L491" s="194"/>
      <c r="M491" s="194"/>
      <c r="N491" s="194"/>
      <c r="O491" s="192"/>
      <c r="P491" s="55" t="s">
        <v>2331</v>
      </c>
      <c r="Q491" s="33" t="s">
        <v>86</v>
      </c>
      <c r="R491" s="34" t="s">
        <v>2332</v>
      </c>
      <c r="S491" s="44" t="s">
        <v>2333</v>
      </c>
      <c r="T491" s="46"/>
      <c r="U491" s="35" t="s">
        <v>1515</v>
      </c>
      <c r="V491" s="56"/>
      <c r="W491" s="46"/>
      <c r="X491" s="194"/>
      <c r="Y491" s="194"/>
      <c r="Z491" s="194"/>
      <c r="AA491" s="194"/>
      <c r="AB491" s="220"/>
    </row>
    <row r="492" spans="1:28" ht="18.600000000000001" thickTop="1">
      <c r="A492" s="249" t="s">
        <v>2334</v>
      </c>
      <c r="B492" s="26">
        <v>44726</v>
      </c>
      <c r="C492" s="36">
        <v>901</v>
      </c>
      <c r="D492" s="28" t="s">
        <v>2079</v>
      </c>
      <c r="E492" s="199"/>
      <c r="F492" s="54" t="s">
        <v>2335</v>
      </c>
      <c r="G492" s="37"/>
      <c r="H492" s="201">
        <v>4</v>
      </c>
      <c r="I492" s="193">
        <v>3100000</v>
      </c>
      <c r="J492" s="193">
        <v>310000</v>
      </c>
      <c r="K492" s="193">
        <v>0</v>
      </c>
      <c r="L492" s="193">
        <v>22210</v>
      </c>
      <c r="M492" s="193">
        <v>13200</v>
      </c>
      <c r="N492" s="193">
        <f>SUM(I492:M493)</f>
        <v>3445410</v>
      </c>
      <c r="O492" s="191"/>
      <c r="P492" s="57" t="s">
        <v>2336</v>
      </c>
      <c r="Q492" s="29" t="s">
        <v>82</v>
      </c>
      <c r="R492" s="81"/>
      <c r="S492" s="48" t="s">
        <v>1596</v>
      </c>
      <c r="T492" s="50"/>
      <c r="U492" s="30"/>
      <c r="V492" s="58"/>
      <c r="W492" s="52"/>
      <c r="X492" s="193"/>
      <c r="Y492" s="206">
        <f>X492*0.1</f>
        <v>0</v>
      </c>
      <c r="Z492" s="193"/>
      <c r="AA492" s="193">
        <f>SUM(X492:Z492)</f>
        <v>0</v>
      </c>
      <c r="AB492" s="219"/>
    </row>
    <row r="493" spans="1:28" ht="18.600000000000001" thickBot="1">
      <c r="A493" s="250"/>
      <c r="B493" s="31" t="s">
        <v>1848</v>
      </c>
      <c r="C493" s="31">
        <v>82053</v>
      </c>
      <c r="D493" s="32" t="s">
        <v>399</v>
      </c>
      <c r="E493" s="200"/>
      <c r="F493" s="43" t="s">
        <v>2337</v>
      </c>
      <c r="G493" s="38">
        <v>34192</v>
      </c>
      <c r="H493" s="202"/>
      <c r="I493" s="194"/>
      <c r="J493" s="194"/>
      <c r="K493" s="194"/>
      <c r="L493" s="194"/>
      <c r="M493" s="194"/>
      <c r="N493" s="194"/>
      <c r="O493" s="192"/>
      <c r="P493" s="55" t="s">
        <v>2338</v>
      </c>
      <c r="Q493" s="33" t="s">
        <v>86</v>
      </c>
      <c r="R493" s="34" t="s">
        <v>2339</v>
      </c>
      <c r="S493" s="44" t="s">
        <v>2316</v>
      </c>
      <c r="T493" s="46"/>
      <c r="U493" s="35"/>
      <c r="V493" s="56"/>
      <c r="W493" s="46"/>
      <c r="X493" s="194"/>
      <c r="Y493" s="194"/>
      <c r="Z493" s="194"/>
      <c r="AA493" s="194"/>
      <c r="AB493" s="220"/>
    </row>
    <row r="494" spans="1:28" ht="18.600000000000001" thickTop="1">
      <c r="A494" s="249" t="s">
        <v>2340</v>
      </c>
      <c r="B494" s="26">
        <v>44742</v>
      </c>
      <c r="C494" s="36">
        <v>1836</v>
      </c>
      <c r="D494" s="28" t="s">
        <v>2121</v>
      </c>
      <c r="E494" s="199"/>
      <c r="F494" s="54" t="s">
        <v>2341</v>
      </c>
      <c r="G494" s="37" t="s">
        <v>2342</v>
      </c>
      <c r="H494" s="201">
        <v>3</v>
      </c>
      <c r="I494" s="193">
        <v>690000</v>
      </c>
      <c r="J494" s="193">
        <v>69000</v>
      </c>
      <c r="K494" s="193">
        <v>0</v>
      </c>
      <c r="L494" s="193">
        <v>9910</v>
      </c>
      <c r="M494" s="193">
        <v>19800</v>
      </c>
      <c r="N494" s="193">
        <f>SUM(I494:M495)</f>
        <v>788710</v>
      </c>
      <c r="O494" s="191"/>
      <c r="P494" s="57" t="s">
        <v>2343</v>
      </c>
      <c r="Q494" s="29" t="s">
        <v>82</v>
      </c>
      <c r="R494" s="81"/>
      <c r="S494" s="48" t="s">
        <v>1494</v>
      </c>
      <c r="T494" s="50"/>
      <c r="U494" s="30" t="s">
        <v>2344</v>
      </c>
      <c r="V494" s="58"/>
      <c r="W494" s="52"/>
      <c r="X494" s="193"/>
      <c r="Y494" s="206">
        <f>X494*0.1</f>
        <v>0</v>
      </c>
      <c r="Z494" s="193"/>
      <c r="AA494" s="193">
        <f>SUM(X494:Z494)</f>
        <v>0</v>
      </c>
      <c r="AB494" s="219"/>
    </row>
    <row r="495" spans="1:28" ht="18.600000000000001" thickBot="1">
      <c r="A495" s="250"/>
      <c r="B495" s="31" t="s">
        <v>2345</v>
      </c>
      <c r="C495" s="31">
        <v>50292</v>
      </c>
      <c r="D495" s="32" t="s">
        <v>2346</v>
      </c>
      <c r="E495" s="200"/>
      <c r="F495" s="43" t="s">
        <v>2347</v>
      </c>
      <c r="G495" s="38">
        <v>57836</v>
      </c>
      <c r="H495" s="202"/>
      <c r="I495" s="194"/>
      <c r="J495" s="194"/>
      <c r="K495" s="194"/>
      <c r="L495" s="194"/>
      <c r="M495" s="194"/>
      <c r="N495" s="194"/>
      <c r="O495" s="192"/>
      <c r="P495" s="55" t="s">
        <v>2348</v>
      </c>
      <c r="Q495" s="33" t="s">
        <v>86</v>
      </c>
      <c r="R495" s="34" t="s">
        <v>2349</v>
      </c>
      <c r="S495" s="44" t="s">
        <v>2350</v>
      </c>
      <c r="T495" s="46"/>
      <c r="U495" s="35"/>
      <c r="V495" s="56"/>
      <c r="W495" s="46"/>
      <c r="X495" s="194"/>
      <c r="Y495" s="194"/>
      <c r="Z495" s="194"/>
      <c r="AA495" s="194"/>
      <c r="AB495" s="220"/>
    </row>
    <row r="496" spans="1:28" ht="18.600000000000001" thickTop="1">
      <c r="A496" s="249" t="s">
        <v>2351</v>
      </c>
      <c r="B496" s="26">
        <v>44750</v>
      </c>
      <c r="C496" s="36">
        <v>1947</v>
      </c>
      <c r="D496" s="28" t="s">
        <v>1950</v>
      </c>
      <c r="E496" s="199"/>
      <c r="F496" s="54" t="s">
        <v>2335</v>
      </c>
      <c r="G496" s="37" t="s">
        <v>2352</v>
      </c>
      <c r="H496" s="201">
        <v>4.5</v>
      </c>
      <c r="I496" s="193">
        <v>3115000</v>
      </c>
      <c r="J496" s="193">
        <v>311500</v>
      </c>
      <c r="K496" s="193">
        <v>26300</v>
      </c>
      <c r="L496" s="193">
        <v>22210</v>
      </c>
      <c r="M496" s="193">
        <v>13200</v>
      </c>
      <c r="N496" s="193">
        <f>SUM(I496:M497)</f>
        <v>3488210</v>
      </c>
      <c r="O496" s="191"/>
      <c r="P496" s="57" t="s">
        <v>2353</v>
      </c>
      <c r="Q496" s="29" t="s">
        <v>82</v>
      </c>
      <c r="R496" s="81"/>
      <c r="S496" s="48" t="s">
        <v>940</v>
      </c>
      <c r="T496" s="50"/>
      <c r="U496" s="30" t="s">
        <v>2354</v>
      </c>
      <c r="V496" s="58"/>
      <c r="W496" s="52"/>
      <c r="X496" s="193"/>
      <c r="Y496" s="206">
        <f>X496*0.1</f>
        <v>0</v>
      </c>
      <c r="Z496" s="193"/>
      <c r="AA496" s="193">
        <f>SUM(X496:Z496)</f>
        <v>0</v>
      </c>
      <c r="AB496" s="219"/>
    </row>
    <row r="497" spans="1:28" ht="18.600000000000001" thickBot="1">
      <c r="A497" s="250"/>
      <c r="B497" s="31" t="s">
        <v>1797</v>
      </c>
      <c r="C497" s="31">
        <v>58157</v>
      </c>
      <c r="D497" s="32" t="s">
        <v>2089</v>
      </c>
      <c r="E497" s="200"/>
      <c r="F497" s="43" t="s">
        <v>2355</v>
      </c>
      <c r="G497" s="38">
        <v>35165</v>
      </c>
      <c r="H497" s="202"/>
      <c r="I497" s="194"/>
      <c r="J497" s="194"/>
      <c r="K497" s="194"/>
      <c r="L497" s="194"/>
      <c r="M497" s="194"/>
      <c r="N497" s="194"/>
      <c r="O497" s="192"/>
      <c r="P497" s="55" t="s">
        <v>2356</v>
      </c>
      <c r="Q497" s="33" t="s">
        <v>86</v>
      </c>
      <c r="R497" s="34" t="s">
        <v>2357</v>
      </c>
      <c r="S497" s="44" t="s">
        <v>2358</v>
      </c>
      <c r="T497" s="46"/>
      <c r="U497" s="35" t="s">
        <v>1515</v>
      </c>
      <c r="V497" s="56"/>
      <c r="W497" s="46"/>
      <c r="X497" s="194"/>
      <c r="Y497" s="194"/>
      <c r="Z497" s="194"/>
      <c r="AA497" s="194"/>
      <c r="AB497" s="220"/>
    </row>
    <row r="498" spans="1:28" ht="18.600000000000001" thickTop="1">
      <c r="A498" s="249" t="s">
        <v>2359</v>
      </c>
      <c r="B498" s="26">
        <v>44761</v>
      </c>
      <c r="C498" s="36">
        <v>803</v>
      </c>
      <c r="D498" s="28" t="s">
        <v>1791</v>
      </c>
      <c r="E498" s="199"/>
      <c r="F498" s="54" t="s">
        <v>2360</v>
      </c>
      <c r="G498" s="37"/>
      <c r="H498" s="205" t="s">
        <v>1981</v>
      </c>
      <c r="I498" s="193">
        <v>418000</v>
      </c>
      <c r="J498" s="193">
        <v>41800</v>
      </c>
      <c r="K498" s="193">
        <v>0</v>
      </c>
      <c r="L498" s="193">
        <v>7340</v>
      </c>
      <c r="M498" s="193">
        <v>20350</v>
      </c>
      <c r="N498" s="193">
        <f>SUM(I498:M499)</f>
        <v>487490</v>
      </c>
      <c r="O498" s="191"/>
      <c r="P498" s="57" t="s">
        <v>2361</v>
      </c>
      <c r="Q498" s="29" t="s">
        <v>82</v>
      </c>
      <c r="R498" s="81"/>
      <c r="S498" s="48" t="s">
        <v>2362</v>
      </c>
      <c r="T498" s="50"/>
      <c r="U498" s="30"/>
      <c r="V498" s="58"/>
      <c r="W498" s="52"/>
      <c r="X498" s="193"/>
      <c r="Y498" s="206">
        <f>X498*0.1</f>
        <v>0</v>
      </c>
      <c r="Z498" s="193"/>
      <c r="AA498" s="193">
        <f>SUM(X498:Z498)</f>
        <v>0</v>
      </c>
      <c r="AB498" s="219"/>
    </row>
    <row r="499" spans="1:28" ht="18.600000000000001" thickBot="1">
      <c r="A499" s="250"/>
      <c r="B499" s="31" t="s">
        <v>2363</v>
      </c>
      <c r="C499" s="31">
        <v>76</v>
      </c>
      <c r="D499" s="32" t="s">
        <v>1859</v>
      </c>
      <c r="E499" s="200"/>
      <c r="F499" s="43" t="s">
        <v>2364</v>
      </c>
      <c r="G499" s="38">
        <v>43318</v>
      </c>
      <c r="H499" s="202"/>
      <c r="I499" s="194"/>
      <c r="J499" s="194"/>
      <c r="K499" s="194"/>
      <c r="L499" s="194"/>
      <c r="M499" s="194"/>
      <c r="N499" s="194"/>
      <c r="O499" s="192"/>
      <c r="P499" s="55" t="s">
        <v>2365</v>
      </c>
      <c r="Q499" s="33" t="s">
        <v>86</v>
      </c>
      <c r="R499" s="34" t="s">
        <v>2366</v>
      </c>
      <c r="S499" s="44" t="s">
        <v>128</v>
      </c>
      <c r="T499" s="46"/>
      <c r="U499" s="35"/>
      <c r="V499" s="56"/>
      <c r="W499" s="46"/>
      <c r="X499" s="194"/>
      <c r="Y499" s="194"/>
      <c r="Z499" s="194"/>
      <c r="AA499" s="194"/>
      <c r="AB499" s="220"/>
    </row>
    <row r="500" spans="1:28" ht="18.600000000000001" thickTop="1">
      <c r="A500" s="249" t="s">
        <v>2367</v>
      </c>
      <c r="B500" s="26">
        <v>44765</v>
      </c>
      <c r="C500" s="36">
        <v>1114</v>
      </c>
      <c r="D500" s="28" t="s">
        <v>2368</v>
      </c>
      <c r="E500" s="199"/>
      <c r="F500" s="54" t="s">
        <v>2369</v>
      </c>
      <c r="G500" s="37"/>
      <c r="H500" s="201">
        <v>4.5</v>
      </c>
      <c r="I500" s="193">
        <v>1145000</v>
      </c>
      <c r="J500" s="193">
        <v>114500</v>
      </c>
      <c r="K500" s="193">
        <v>0</v>
      </c>
      <c r="L500" s="193">
        <v>22120</v>
      </c>
      <c r="M500" s="193">
        <v>13200</v>
      </c>
      <c r="N500" s="193">
        <f>SUM(I500:M501)</f>
        <v>1294820</v>
      </c>
      <c r="O500" s="191"/>
      <c r="P500" s="57" t="s">
        <v>2370</v>
      </c>
      <c r="Q500" s="29" t="s">
        <v>82</v>
      </c>
      <c r="R500" s="81"/>
      <c r="S500" s="48" t="s">
        <v>1596</v>
      </c>
      <c r="T500" s="50"/>
      <c r="U500" s="30"/>
      <c r="V500" s="58"/>
      <c r="W500" s="52"/>
      <c r="X500" s="193"/>
      <c r="Y500" s="206">
        <f>X500*0.1</f>
        <v>0</v>
      </c>
      <c r="Z500" s="193"/>
      <c r="AA500" s="193">
        <f>SUM(X500:Z500)</f>
        <v>0</v>
      </c>
      <c r="AB500" s="219"/>
    </row>
    <row r="501" spans="1:28" ht="18.600000000000001" thickBot="1">
      <c r="A501" s="250"/>
      <c r="B501" s="31" t="s">
        <v>1823</v>
      </c>
      <c r="C501" s="31">
        <v>82288</v>
      </c>
      <c r="D501" s="32" t="s">
        <v>1895</v>
      </c>
      <c r="E501" s="200"/>
      <c r="F501" s="43" t="s">
        <v>2371</v>
      </c>
      <c r="G501" s="38">
        <v>21372</v>
      </c>
      <c r="H501" s="202"/>
      <c r="I501" s="194"/>
      <c r="J501" s="194"/>
      <c r="K501" s="194"/>
      <c r="L501" s="194"/>
      <c r="M501" s="194"/>
      <c r="N501" s="194"/>
      <c r="O501" s="192"/>
      <c r="P501" s="55" t="s">
        <v>2372</v>
      </c>
      <c r="Q501" s="33" t="s">
        <v>86</v>
      </c>
      <c r="R501" s="34" t="s">
        <v>2373</v>
      </c>
      <c r="S501" s="44" t="s">
        <v>287</v>
      </c>
      <c r="T501" s="46"/>
      <c r="U501" s="35"/>
      <c r="V501" s="56"/>
      <c r="W501" s="46"/>
      <c r="X501" s="194"/>
      <c r="Y501" s="194"/>
      <c r="Z501" s="194"/>
      <c r="AA501" s="194"/>
      <c r="AB501" s="220"/>
    </row>
    <row r="502" spans="1:28" ht="18.600000000000001" thickTop="1">
      <c r="A502" s="249" t="s">
        <v>2384</v>
      </c>
      <c r="B502" s="26">
        <v>44767</v>
      </c>
      <c r="C502" s="36">
        <v>1907</v>
      </c>
      <c r="D502" s="28" t="s">
        <v>2274</v>
      </c>
      <c r="E502" s="199" t="s">
        <v>282</v>
      </c>
      <c r="F502" s="54" t="s">
        <v>2385</v>
      </c>
      <c r="G502" s="37"/>
      <c r="H502" s="201">
        <v>4.5</v>
      </c>
      <c r="I502" s="193">
        <v>6415000</v>
      </c>
      <c r="J502" s="193">
        <v>641500</v>
      </c>
      <c r="K502" s="193">
        <v>0</v>
      </c>
      <c r="L502" s="193">
        <v>29390</v>
      </c>
      <c r="M502" s="193">
        <v>17600</v>
      </c>
      <c r="N502" s="193">
        <f>SUM(I502:M503)</f>
        <v>7103490</v>
      </c>
      <c r="O502" s="191"/>
      <c r="P502" s="57" t="s">
        <v>2386</v>
      </c>
      <c r="Q502" s="29" t="s">
        <v>82</v>
      </c>
      <c r="R502" s="81"/>
      <c r="S502" s="48" t="s">
        <v>2387</v>
      </c>
      <c r="T502" s="50"/>
      <c r="U502" s="30" t="s">
        <v>2388</v>
      </c>
      <c r="V502" s="58"/>
      <c r="W502" s="52"/>
      <c r="X502" s="193"/>
      <c r="Y502" s="206">
        <f>X502*0.1</f>
        <v>0</v>
      </c>
      <c r="Z502" s="193"/>
      <c r="AA502" s="193">
        <f>SUM(X502:Z502)</f>
        <v>0</v>
      </c>
      <c r="AB502" s="219"/>
    </row>
    <row r="503" spans="1:28" ht="18.600000000000001" thickBot="1">
      <c r="A503" s="250"/>
      <c r="B503" s="31" t="s">
        <v>189</v>
      </c>
      <c r="C503" s="31">
        <v>36021</v>
      </c>
      <c r="D503" s="32" t="s">
        <v>244</v>
      </c>
      <c r="E503" s="200"/>
      <c r="F503" s="43" t="s">
        <v>2389</v>
      </c>
      <c r="G503" s="38">
        <v>39744</v>
      </c>
      <c r="H503" s="202"/>
      <c r="I503" s="194"/>
      <c r="J503" s="194"/>
      <c r="K503" s="194"/>
      <c r="L503" s="194"/>
      <c r="M503" s="194"/>
      <c r="N503" s="194"/>
      <c r="O503" s="192"/>
      <c r="P503" s="55" t="s">
        <v>2390</v>
      </c>
      <c r="Q503" s="33" t="s">
        <v>86</v>
      </c>
      <c r="R503" s="34" t="s">
        <v>2391</v>
      </c>
      <c r="S503" s="44" t="s">
        <v>2392</v>
      </c>
      <c r="T503" s="46" t="s">
        <v>2393</v>
      </c>
      <c r="U503" s="35"/>
      <c r="V503" s="56"/>
      <c r="W503" s="46"/>
      <c r="X503" s="194"/>
      <c r="Y503" s="194"/>
      <c r="Z503" s="194"/>
      <c r="AA503" s="194"/>
      <c r="AB503" s="220"/>
    </row>
    <row r="504" spans="1:28" ht="18.600000000000001" thickTop="1">
      <c r="A504" s="249" t="s">
        <v>2394</v>
      </c>
      <c r="B504" s="26">
        <v>44792</v>
      </c>
      <c r="C504" s="36">
        <v>1952</v>
      </c>
      <c r="D504" s="28" t="s">
        <v>2395</v>
      </c>
      <c r="E504" s="199"/>
      <c r="F504" s="54" t="s">
        <v>2396</v>
      </c>
      <c r="G504" s="37" t="s">
        <v>2397</v>
      </c>
      <c r="H504" s="201">
        <v>3.5</v>
      </c>
      <c r="I504" s="193">
        <v>635000</v>
      </c>
      <c r="J504" s="193">
        <v>63500</v>
      </c>
      <c r="K504" s="193">
        <v>51200</v>
      </c>
      <c r="L504" s="193">
        <v>23340</v>
      </c>
      <c r="M504" s="193">
        <v>13200</v>
      </c>
      <c r="N504" s="193">
        <f>SUM(I504:M505)</f>
        <v>786240</v>
      </c>
      <c r="O504" s="191"/>
      <c r="P504" s="57" t="s">
        <v>2398</v>
      </c>
      <c r="Q504" s="29" t="s">
        <v>82</v>
      </c>
      <c r="R504" s="81"/>
      <c r="S504" s="48" t="s">
        <v>1666</v>
      </c>
      <c r="T504" s="50"/>
      <c r="U504" s="30"/>
      <c r="V504" s="58"/>
      <c r="W504" s="52"/>
      <c r="X504" s="193"/>
      <c r="Y504" s="206">
        <f>X504*0.1</f>
        <v>0</v>
      </c>
      <c r="Z504" s="193"/>
      <c r="AA504" s="193">
        <f>SUM(X504:Z504)</f>
        <v>0</v>
      </c>
      <c r="AB504" s="219"/>
    </row>
    <row r="505" spans="1:28" ht="18.600000000000001" thickBot="1">
      <c r="A505" s="250"/>
      <c r="B505" s="31" t="s">
        <v>1797</v>
      </c>
      <c r="C505" s="31">
        <v>58531</v>
      </c>
      <c r="D505" s="32" t="s">
        <v>2399</v>
      </c>
      <c r="E505" s="200"/>
      <c r="F505" s="43" t="s">
        <v>2400</v>
      </c>
      <c r="G505" s="38">
        <v>40931</v>
      </c>
      <c r="H505" s="202"/>
      <c r="I505" s="194"/>
      <c r="J505" s="194"/>
      <c r="K505" s="194"/>
      <c r="L505" s="194"/>
      <c r="M505" s="194"/>
      <c r="N505" s="194"/>
      <c r="O505" s="192"/>
      <c r="P505" s="55" t="s">
        <v>2401</v>
      </c>
      <c r="Q505" s="33" t="s">
        <v>86</v>
      </c>
      <c r="R505" s="34" t="s">
        <v>2402</v>
      </c>
      <c r="S505" s="44" t="s">
        <v>1872</v>
      </c>
      <c r="T505" s="46"/>
      <c r="U505" s="35" t="s">
        <v>2403</v>
      </c>
      <c r="V505" s="56"/>
      <c r="W505" s="46"/>
      <c r="X505" s="194"/>
      <c r="Y505" s="194"/>
      <c r="Z505" s="194"/>
      <c r="AA505" s="194"/>
      <c r="AB505" s="220"/>
    </row>
    <row r="506" spans="1:28" ht="18.600000000000001" thickTop="1">
      <c r="A506" s="249" t="s">
        <v>2404</v>
      </c>
      <c r="B506" s="26">
        <v>44792</v>
      </c>
      <c r="C506" s="36"/>
      <c r="D506" s="28" t="s">
        <v>1901</v>
      </c>
      <c r="E506" s="199"/>
      <c r="F506" s="54" t="s">
        <v>2405</v>
      </c>
      <c r="G506" s="37" t="s">
        <v>2406</v>
      </c>
      <c r="H506" s="201">
        <v>4</v>
      </c>
      <c r="I506" s="193">
        <v>2530000</v>
      </c>
      <c r="J506" s="193">
        <v>253000</v>
      </c>
      <c r="K506" s="193">
        <v>19700</v>
      </c>
      <c r="L506" s="193">
        <v>17800</v>
      </c>
      <c r="M506" s="193">
        <v>124575</v>
      </c>
      <c r="N506" s="193">
        <f>SUM(I506:M507)</f>
        <v>2945075</v>
      </c>
      <c r="O506" s="191"/>
      <c r="P506" s="57" t="s">
        <v>2407</v>
      </c>
      <c r="Q506" s="29" t="s">
        <v>82</v>
      </c>
      <c r="R506" s="81"/>
      <c r="S506" s="48" t="s">
        <v>1596</v>
      </c>
      <c r="T506" s="50"/>
      <c r="U506" s="30"/>
      <c r="V506" s="58"/>
      <c r="W506" s="52"/>
      <c r="X506" s="193"/>
      <c r="Y506" s="206">
        <f>X506*0.1</f>
        <v>0</v>
      </c>
      <c r="Z506" s="193"/>
      <c r="AA506" s="193">
        <f>SUM(X506:Z506)</f>
        <v>0</v>
      </c>
      <c r="AB506" s="219"/>
    </row>
    <row r="507" spans="1:28" ht="18.600000000000001" thickBot="1">
      <c r="A507" s="250"/>
      <c r="B507" s="31" t="s">
        <v>1985</v>
      </c>
      <c r="C507" s="31" t="s">
        <v>2408</v>
      </c>
      <c r="D507" s="32" t="s">
        <v>2409</v>
      </c>
      <c r="E507" s="200"/>
      <c r="F507" s="43" t="s">
        <v>2410</v>
      </c>
      <c r="G507" s="38">
        <v>32892</v>
      </c>
      <c r="H507" s="202"/>
      <c r="I507" s="194"/>
      <c r="J507" s="194"/>
      <c r="K507" s="194"/>
      <c r="L507" s="194"/>
      <c r="M507" s="194"/>
      <c r="N507" s="194"/>
      <c r="O507" s="192"/>
      <c r="P507" s="55" t="s">
        <v>2411</v>
      </c>
      <c r="Q507" s="33" t="s">
        <v>86</v>
      </c>
      <c r="R507" s="34" t="s">
        <v>2412</v>
      </c>
      <c r="S507" s="44" t="s">
        <v>287</v>
      </c>
      <c r="T507" s="46"/>
      <c r="U507" s="35" t="s">
        <v>2413</v>
      </c>
      <c r="V507" s="56"/>
      <c r="W507" s="46"/>
      <c r="X507" s="194"/>
      <c r="Y507" s="194"/>
      <c r="Z507" s="194"/>
      <c r="AA507" s="194"/>
      <c r="AB507" s="220"/>
    </row>
    <row r="508" spans="1:28" ht="18.600000000000001" thickTop="1">
      <c r="A508" s="249" t="s">
        <v>2414</v>
      </c>
      <c r="B508" s="26">
        <v>44799</v>
      </c>
      <c r="C508" s="36">
        <v>1953</v>
      </c>
      <c r="D508" s="28" t="s">
        <v>2415</v>
      </c>
      <c r="E508" s="199"/>
      <c r="F508" s="54" t="s">
        <v>2416</v>
      </c>
      <c r="G508" s="37" t="s">
        <v>2300</v>
      </c>
      <c r="H508" s="201">
        <v>5</v>
      </c>
      <c r="I508" s="193">
        <v>3545000</v>
      </c>
      <c r="J508" s="193">
        <v>354500</v>
      </c>
      <c r="K508" s="193">
        <v>23000</v>
      </c>
      <c r="L508" s="193">
        <v>22570</v>
      </c>
      <c r="M508" s="193">
        <v>13200</v>
      </c>
      <c r="N508" s="193">
        <f>SUM(I508:M509)</f>
        <v>3958270</v>
      </c>
      <c r="O508" s="191"/>
      <c r="P508" s="57" t="s">
        <v>2417</v>
      </c>
      <c r="Q508" s="29" t="s">
        <v>82</v>
      </c>
      <c r="R508" s="81"/>
      <c r="S508" s="48" t="s">
        <v>1666</v>
      </c>
      <c r="T508" s="50"/>
      <c r="U508" s="30"/>
      <c r="V508" s="58"/>
      <c r="W508" s="52"/>
      <c r="X508" s="193"/>
      <c r="Y508" s="206">
        <f>X508*0.1</f>
        <v>0</v>
      </c>
      <c r="Z508" s="193"/>
      <c r="AA508" s="193">
        <f>SUM(X508:Z508)</f>
        <v>0</v>
      </c>
      <c r="AB508" s="219"/>
    </row>
    <row r="509" spans="1:28" ht="18.600000000000001" thickBot="1">
      <c r="A509" s="250"/>
      <c r="B509" s="31" t="s">
        <v>1797</v>
      </c>
      <c r="C509" s="31">
        <v>58199</v>
      </c>
      <c r="D509" s="32" t="s">
        <v>2418</v>
      </c>
      <c r="E509" s="200"/>
      <c r="F509" s="43" t="s">
        <v>2419</v>
      </c>
      <c r="G509" s="38">
        <v>38366</v>
      </c>
      <c r="H509" s="202"/>
      <c r="I509" s="194"/>
      <c r="J509" s="194"/>
      <c r="K509" s="194"/>
      <c r="L509" s="194"/>
      <c r="M509" s="194"/>
      <c r="N509" s="194"/>
      <c r="O509" s="192"/>
      <c r="P509" s="55" t="s">
        <v>2411</v>
      </c>
      <c r="Q509" s="33" t="s">
        <v>86</v>
      </c>
      <c r="R509" s="34" t="s">
        <v>1814</v>
      </c>
      <c r="S509" s="44" t="s">
        <v>2420</v>
      </c>
      <c r="T509" s="46"/>
      <c r="U509" s="35" t="s">
        <v>2421</v>
      </c>
      <c r="V509" s="56"/>
      <c r="W509" s="46"/>
      <c r="X509" s="194"/>
      <c r="Y509" s="194"/>
      <c r="Z509" s="194"/>
      <c r="AA509" s="194"/>
      <c r="AB509" s="220"/>
    </row>
    <row r="510" spans="1:28" ht="18.600000000000001" thickTop="1">
      <c r="A510" s="249" t="s">
        <v>2422</v>
      </c>
      <c r="B510" s="26">
        <v>44805</v>
      </c>
      <c r="C510" s="36">
        <v>1150</v>
      </c>
      <c r="D510" s="28" t="s">
        <v>2103</v>
      </c>
      <c r="E510" s="199"/>
      <c r="F510" s="54" t="s">
        <v>2423</v>
      </c>
      <c r="G510" s="37"/>
      <c r="H510" s="201">
        <v>4.5</v>
      </c>
      <c r="I510" s="193">
        <v>3345000</v>
      </c>
      <c r="J510" s="193">
        <v>334500</v>
      </c>
      <c r="K510" s="193">
        <v>0</v>
      </c>
      <c r="L510" s="193">
        <v>19620</v>
      </c>
      <c r="M510" s="193">
        <v>13200</v>
      </c>
      <c r="N510" s="193">
        <f>SUM(I510:M511)</f>
        <v>3712320</v>
      </c>
      <c r="O510" s="191"/>
      <c r="P510" s="57" t="s">
        <v>2424</v>
      </c>
      <c r="Q510" s="29" t="s">
        <v>82</v>
      </c>
      <c r="R510" s="81"/>
      <c r="S510" s="48" t="s">
        <v>2425</v>
      </c>
      <c r="T510" s="50"/>
      <c r="U510" s="30"/>
      <c r="V510" s="58"/>
      <c r="W510" s="52"/>
      <c r="X510" s="193"/>
      <c r="Y510" s="206">
        <f>X510*0.1</f>
        <v>0</v>
      </c>
      <c r="Z510" s="193"/>
      <c r="AA510" s="193">
        <f>SUM(X510:Z510)</f>
        <v>0</v>
      </c>
      <c r="AB510" s="219"/>
    </row>
    <row r="511" spans="1:28" ht="18.600000000000001" thickBot="1">
      <c r="A511" s="250"/>
      <c r="B511" s="31" t="s">
        <v>2017</v>
      </c>
      <c r="C511" s="31">
        <v>63</v>
      </c>
      <c r="D511" s="32" t="s">
        <v>1849</v>
      </c>
      <c r="E511" s="200"/>
      <c r="F511" s="43" t="s">
        <v>2426</v>
      </c>
      <c r="G511" s="38">
        <v>46410</v>
      </c>
      <c r="H511" s="202"/>
      <c r="I511" s="194"/>
      <c r="J511" s="194"/>
      <c r="K511" s="194"/>
      <c r="L511" s="194"/>
      <c r="M511" s="194"/>
      <c r="N511" s="194"/>
      <c r="O511" s="192"/>
      <c r="P511" s="55" t="s">
        <v>2427</v>
      </c>
      <c r="Q511" s="33" t="s">
        <v>86</v>
      </c>
      <c r="R511" s="34" t="s">
        <v>2428</v>
      </c>
      <c r="S511" s="44" t="s">
        <v>1872</v>
      </c>
      <c r="T511" s="46"/>
      <c r="U511" s="35"/>
      <c r="V511" s="56"/>
      <c r="W511" s="46"/>
      <c r="X511" s="194"/>
      <c r="Y511" s="194"/>
      <c r="Z511" s="194"/>
      <c r="AA511" s="194"/>
      <c r="AB511" s="220"/>
    </row>
    <row r="512" spans="1:28" ht="18.600000000000001" thickTop="1">
      <c r="A512" s="249" t="s">
        <v>2429</v>
      </c>
      <c r="B512" s="26">
        <v>44812</v>
      </c>
      <c r="C512" s="36">
        <v>1385</v>
      </c>
      <c r="D512" s="28" t="s">
        <v>2430</v>
      </c>
      <c r="E512" s="199"/>
      <c r="F512" s="54" t="s">
        <v>2431</v>
      </c>
      <c r="G512" s="37"/>
      <c r="H512" s="201">
        <v>4.5</v>
      </c>
      <c r="I512" s="193">
        <v>3800000</v>
      </c>
      <c r="J512" s="193">
        <v>380000</v>
      </c>
      <c r="K512" s="193">
        <v>0</v>
      </c>
      <c r="L512" s="193">
        <v>23420</v>
      </c>
      <c r="M512" s="193">
        <v>13200</v>
      </c>
      <c r="N512" s="193">
        <f>SUM(I512:M513)</f>
        <v>4216620</v>
      </c>
      <c r="O512" s="191"/>
      <c r="P512" s="57" t="s">
        <v>2432</v>
      </c>
      <c r="Q512" s="29" t="s">
        <v>82</v>
      </c>
      <c r="R512" s="81"/>
      <c r="S512" s="48" t="s">
        <v>1494</v>
      </c>
      <c r="T512" s="50"/>
      <c r="U512" s="30"/>
      <c r="V512" s="58"/>
      <c r="W512" s="52"/>
      <c r="X512" s="193"/>
      <c r="Y512" s="206">
        <f>X512*0.1</f>
        <v>0</v>
      </c>
      <c r="Z512" s="193"/>
      <c r="AA512" s="193">
        <f>SUM(X512:Z512)</f>
        <v>0</v>
      </c>
      <c r="AB512" s="219"/>
    </row>
    <row r="513" spans="1:28" ht="18.600000000000001" thickBot="1">
      <c r="A513" s="250"/>
      <c r="B513" s="31" t="s">
        <v>1858</v>
      </c>
      <c r="C513" s="31">
        <v>75266</v>
      </c>
      <c r="D513" s="32" t="s">
        <v>2433</v>
      </c>
      <c r="E513" s="200"/>
      <c r="F513" s="43" t="s">
        <v>2434</v>
      </c>
      <c r="G513" s="38">
        <v>37311</v>
      </c>
      <c r="H513" s="202"/>
      <c r="I513" s="194"/>
      <c r="J513" s="194"/>
      <c r="K513" s="194"/>
      <c r="L513" s="194"/>
      <c r="M513" s="194"/>
      <c r="N513" s="194"/>
      <c r="O513" s="192"/>
      <c r="P513" s="55" t="s">
        <v>2435</v>
      </c>
      <c r="Q513" s="33" t="s">
        <v>86</v>
      </c>
      <c r="R513" s="34" t="s">
        <v>2436</v>
      </c>
      <c r="S513" s="44" t="s">
        <v>2437</v>
      </c>
      <c r="T513" s="46"/>
      <c r="U513" s="35"/>
      <c r="V513" s="56"/>
      <c r="W513" s="46"/>
      <c r="X513" s="194"/>
      <c r="Y513" s="194"/>
      <c r="Z513" s="194"/>
      <c r="AA513" s="194"/>
      <c r="AB513" s="220"/>
    </row>
    <row r="514" spans="1:28" ht="18.600000000000001" thickTop="1">
      <c r="A514" s="249" t="s">
        <v>2438</v>
      </c>
      <c r="B514" s="26">
        <v>44813</v>
      </c>
      <c r="C514" s="36">
        <v>1955</v>
      </c>
      <c r="D514" s="28" t="s">
        <v>1978</v>
      </c>
      <c r="E514" s="199"/>
      <c r="F514" s="54" t="s">
        <v>2439</v>
      </c>
      <c r="G514" s="37" t="s">
        <v>2440</v>
      </c>
      <c r="H514" s="201">
        <v>4.5</v>
      </c>
      <c r="I514" s="193">
        <v>2305000</v>
      </c>
      <c r="J514" s="193">
        <v>230500</v>
      </c>
      <c r="K514" s="193">
        <v>19700</v>
      </c>
      <c r="L514" s="193">
        <v>20680</v>
      </c>
      <c r="M514" s="193">
        <v>13200</v>
      </c>
      <c r="N514" s="193">
        <f>SUM(I514:M515)</f>
        <v>2589080</v>
      </c>
      <c r="O514" s="191"/>
      <c r="P514" s="57" t="s">
        <v>2441</v>
      </c>
      <c r="Q514" s="29" t="s">
        <v>82</v>
      </c>
      <c r="R514" s="81"/>
      <c r="S514" s="48"/>
      <c r="T514" s="50"/>
      <c r="U514" s="30" t="s">
        <v>2442</v>
      </c>
      <c r="V514" s="58"/>
      <c r="W514" s="52"/>
      <c r="X514" s="193"/>
      <c r="Y514" s="206">
        <f>X514*0.1</f>
        <v>0</v>
      </c>
      <c r="Z514" s="193"/>
      <c r="AA514" s="193">
        <f>SUM(X514:Z514)</f>
        <v>0</v>
      </c>
      <c r="AB514" s="219"/>
    </row>
    <row r="515" spans="1:28" ht="18.600000000000001" thickBot="1">
      <c r="A515" s="250"/>
      <c r="B515" s="31" t="s">
        <v>1797</v>
      </c>
      <c r="C515" s="31">
        <v>58270</v>
      </c>
      <c r="D515" s="32" t="s">
        <v>2443</v>
      </c>
      <c r="E515" s="200"/>
      <c r="F515" s="43" t="s">
        <v>2444</v>
      </c>
      <c r="G515" s="38">
        <v>40173</v>
      </c>
      <c r="H515" s="202"/>
      <c r="I515" s="194"/>
      <c r="J515" s="194"/>
      <c r="K515" s="194"/>
      <c r="L515" s="194"/>
      <c r="M515" s="194"/>
      <c r="N515" s="194"/>
      <c r="O515" s="192"/>
      <c r="P515" s="55" t="s">
        <v>1998</v>
      </c>
      <c r="Q515" s="33" t="s">
        <v>86</v>
      </c>
      <c r="R515" s="34" t="s">
        <v>2445</v>
      </c>
      <c r="S515" s="44" t="s">
        <v>2446</v>
      </c>
      <c r="T515" s="46"/>
      <c r="U515" s="35" t="s">
        <v>153</v>
      </c>
      <c r="V515" s="56"/>
      <c r="W515" s="46"/>
      <c r="X515" s="194"/>
      <c r="Y515" s="194"/>
      <c r="Z515" s="194"/>
      <c r="AA515" s="194"/>
      <c r="AB515" s="220"/>
    </row>
    <row r="516" spans="1:28" ht="18.600000000000001" thickTop="1">
      <c r="A516" s="249" t="s">
        <v>2447</v>
      </c>
      <c r="B516" s="26">
        <v>44817</v>
      </c>
      <c r="C516" s="36">
        <v>1761</v>
      </c>
      <c r="D516" s="28" t="s">
        <v>2175</v>
      </c>
      <c r="E516" s="199"/>
      <c r="F516" s="54" t="s">
        <v>2448</v>
      </c>
      <c r="G516" s="37"/>
      <c r="H516" s="201">
        <v>4.5</v>
      </c>
      <c r="I516" s="193">
        <v>3094000</v>
      </c>
      <c r="J516" s="193">
        <v>309400</v>
      </c>
      <c r="K516" s="193">
        <v>0</v>
      </c>
      <c r="L516" s="193">
        <v>16880</v>
      </c>
      <c r="M516" s="193">
        <v>15950</v>
      </c>
      <c r="N516" s="193">
        <f>SUM(I516:M517)</f>
        <v>3436230</v>
      </c>
      <c r="O516" s="191"/>
      <c r="P516" s="57" t="s">
        <v>2449</v>
      </c>
      <c r="Q516" s="29" t="s">
        <v>82</v>
      </c>
      <c r="R516" s="81"/>
      <c r="S516" s="48" t="s">
        <v>940</v>
      </c>
      <c r="T516" s="50"/>
      <c r="U516" s="30"/>
      <c r="V516" s="58"/>
      <c r="W516" s="52"/>
      <c r="X516" s="193"/>
      <c r="Y516" s="206">
        <f>X516*0.1</f>
        <v>0</v>
      </c>
      <c r="Z516" s="193"/>
      <c r="AA516" s="193">
        <f>SUM(X516:Z516)</f>
        <v>0</v>
      </c>
      <c r="AB516" s="219"/>
    </row>
    <row r="517" spans="1:28" ht="18.600000000000001" thickBot="1">
      <c r="A517" s="250"/>
      <c r="B517" s="31" t="s">
        <v>2450</v>
      </c>
      <c r="C517" s="31">
        <v>5014</v>
      </c>
      <c r="D517" s="32" t="s">
        <v>1987</v>
      </c>
      <c r="E517" s="200"/>
      <c r="F517" s="43" t="s">
        <v>2451</v>
      </c>
      <c r="G517" s="38">
        <v>36629</v>
      </c>
      <c r="H517" s="202"/>
      <c r="I517" s="194"/>
      <c r="J517" s="194"/>
      <c r="K517" s="194"/>
      <c r="L517" s="194"/>
      <c r="M517" s="194"/>
      <c r="N517" s="194"/>
      <c r="O517" s="192"/>
      <c r="P517" s="55" t="s">
        <v>2452</v>
      </c>
      <c r="Q517" s="33" t="s">
        <v>86</v>
      </c>
      <c r="R517" s="34" t="s">
        <v>1852</v>
      </c>
      <c r="S517" s="44" t="s">
        <v>2453</v>
      </c>
      <c r="T517" s="46"/>
      <c r="U517" s="35"/>
      <c r="V517" s="56"/>
      <c r="W517" s="46"/>
      <c r="X517" s="194"/>
      <c r="Y517" s="194"/>
      <c r="Z517" s="194"/>
      <c r="AA517" s="194"/>
      <c r="AB517" s="220"/>
    </row>
    <row r="518" spans="1:28" ht="18.600000000000001" thickTop="1">
      <c r="A518" s="249" t="s">
        <v>2454</v>
      </c>
      <c r="B518" s="26">
        <v>44820</v>
      </c>
      <c r="C518" s="36"/>
      <c r="D518" s="28" t="s">
        <v>2455</v>
      </c>
      <c r="E518" s="199"/>
      <c r="F518" s="54" t="s">
        <v>2456</v>
      </c>
      <c r="G518" s="37" t="s">
        <v>2105</v>
      </c>
      <c r="H518" s="201">
        <v>4</v>
      </c>
      <c r="I518" s="193">
        <v>3090000</v>
      </c>
      <c r="J518" s="193">
        <v>309000</v>
      </c>
      <c r="K518" s="193">
        <v>19700</v>
      </c>
      <c r="L518" s="193">
        <v>22210</v>
      </c>
      <c r="M518" s="193">
        <v>139975</v>
      </c>
      <c r="N518" s="193">
        <f>SUM(I518:M519)</f>
        <v>3580885</v>
      </c>
      <c r="O518" s="191"/>
      <c r="P518" s="57" t="s">
        <v>2457</v>
      </c>
      <c r="Q518" s="29" t="s">
        <v>82</v>
      </c>
      <c r="R518" s="81"/>
      <c r="S518" s="48" t="s">
        <v>1596</v>
      </c>
      <c r="T518" s="50"/>
      <c r="U518" s="30"/>
      <c r="V518" s="58"/>
      <c r="W518" s="52"/>
      <c r="X518" s="193"/>
      <c r="Y518" s="206">
        <f>X518*0.1</f>
        <v>0</v>
      </c>
      <c r="Z518" s="193"/>
      <c r="AA518" s="193">
        <f>SUM(X518:Z518)</f>
        <v>0</v>
      </c>
      <c r="AB518" s="219"/>
    </row>
    <row r="519" spans="1:28" ht="18.600000000000001" thickBot="1">
      <c r="A519" s="250"/>
      <c r="B519" s="31" t="s">
        <v>1985</v>
      </c>
      <c r="C519" s="31" t="s">
        <v>2458</v>
      </c>
      <c r="D519" s="32" t="s">
        <v>2168</v>
      </c>
      <c r="E519" s="200"/>
      <c r="F519" s="43" t="s">
        <v>2459</v>
      </c>
      <c r="G519" s="38">
        <v>38643</v>
      </c>
      <c r="H519" s="202"/>
      <c r="I519" s="194"/>
      <c r="J519" s="194"/>
      <c r="K519" s="194"/>
      <c r="L519" s="194"/>
      <c r="M519" s="194"/>
      <c r="N519" s="194"/>
      <c r="O519" s="192"/>
      <c r="P519" s="55" t="s">
        <v>2460</v>
      </c>
      <c r="Q519" s="33" t="s">
        <v>86</v>
      </c>
      <c r="R519" s="34" t="s">
        <v>1862</v>
      </c>
      <c r="S519" s="44" t="s">
        <v>96</v>
      </c>
      <c r="T519" s="46"/>
      <c r="U519" s="35"/>
      <c r="V519" s="56"/>
      <c r="W519" s="46"/>
      <c r="X519" s="194"/>
      <c r="Y519" s="194"/>
      <c r="Z519" s="194"/>
      <c r="AA519" s="194"/>
      <c r="AB519" s="220"/>
    </row>
    <row r="520" spans="1:28" ht="18.600000000000001" thickTop="1">
      <c r="A520" s="249" t="s">
        <v>2461</v>
      </c>
      <c r="B520" s="26">
        <v>44821</v>
      </c>
      <c r="C520" s="36">
        <v>1364</v>
      </c>
      <c r="D520" s="28" t="s">
        <v>2462</v>
      </c>
      <c r="E520" s="199"/>
      <c r="F520" s="54" t="s">
        <v>2463</v>
      </c>
      <c r="G520" s="37" t="s">
        <v>2440</v>
      </c>
      <c r="H520" s="201">
        <v>5</v>
      </c>
      <c r="I520" s="193">
        <v>7650000</v>
      </c>
      <c r="J520" s="193">
        <v>765000</v>
      </c>
      <c r="K520" s="193">
        <v>44000</v>
      </c>
      <c r="L520" s="193">
        <v>12740</v>
      </c>
      <c r="M520" s="193">
        <v>13200</v>
      </c>
      <c r="N520" s="193">
        <f>SUM(I520:M521)</f>
        <v>8484940</v>
      </c>
      <c r="O520" s="191"/>
      <c r="P520" s="57" t="s">
        <v>2464</v>
      </c>
      <c r="Q520" s="29" t="s">
        <v>82</v>
      </c>
      <c r="R520" s="81"/>
      <c r="S520" s="48" t="s">
        <v>2465</v>
      </c>
      <c r="T520" s="50"/>
      <c r="U520" s="30" t="s">
        <v>2466</v>
      </c>
      <c r="V520" s="58"/>
      <c r="W520" s="52"/>
      <c r="X520" s="193"/>
      <c r="Y520" s="206">
        <f>X520*0.1</f>
        <v>0</v>
      </c>
      <c r="Z520" s="193"/>
      <c r="AA520" s="193">
        <f>SUM(X520:Z520)</f>
        <v>0</v>
      </c>
      <c r="AB520" s="219"/>
    </row>
    <row r="521" spans="1:28" ht="18.600000000000001" thickBot="1">
      <c r="A521" s="250"/>
      <c r="B521" s="31" t="s">
        <v>1810</v>
      </c>
      <c r="C521" s="31">
        <v>83022</v>
      </c>
      <c r="D521" s="32" t="s">
        <v>2168</v>
      </c>
      <c r="E521" s="200"/>
      <c r="F521" s="43" t="s">
        <v>2467</v>
      </c>
      <c r="G521" s="38">
        <v>12914</v>
      </c>
      <c r="H521" s="202"/>
      <c r="I521" s="194"/>
      <c r="J521" s="194"/>
      <c r="K521" s="194"/>
      <c r="L521" s="194"/>
      <c r="M521" s="194"/>
      <c r="N521" s="194"/>
      <c r="O521" s="192"/>
      <c r="P521" s="55" t="s">
        <v>2468</v>
      </c>
      <c r="Q521" s="33" t="s">
        <v>86</v>
      </c>
      <c r="R521" s="34" t="s">
        <v>2469</v>
      </c>
      <c r="S521" s="44" t="s">
        <v>2470</v>
      </c>
      <c r="T521" s="46"/>
      <c r="U521" s="35" t="s">
        <v>153</v>
      </c>
      <c r="V521" s="56"/>
      <c r="W521" s="46"/>
      <c r="X521" s="194"/>
      <c r="Y521" s="194"/>
      <c r="Z521" s="194"/>
      <c r="AA521" s="194"/>
      <c r="AB521" s="220"/>
    </row>
    <row r="522" spans="1:28" ht="18.600000000000001" thickTop="1">
      <c r="A522" s="249" t="s">
        <v>2471</v>
      </c>
      <c r="B522" s="26">
        <v>44828</v>
      </c>
      <c r="C522" s="36">
        <v>1122</v>
      </c>
      <c r="D522" s="28" t="s">
        <v>2455</v>
      </c>
      <c r="E522" s="199"/>
      <c r="F522" s="54" t="s">
        <v>2472</v>
      </c>
      <c r="G522" s="37"/>
      <c r="H522" s="201">
        <v>4</v>
      </c>
      <c r="I522" s="193">
        <v>2925000</v>
      </c>
      <c r="J522" s="193">
        <v>292500</v>
      </c>
      <c r="K522" s="193">
        <v>0</v>
      </c>
      <c r="L522" s="193">
        <v>22280</v>
      </c>
      <c r="M522" s="193">
        <v>13200</v>
      </c>
      <c r="N522" s="193">
        <f>SUM(I522:M523)</f>
        <v>3252980</v>
      </c>
      <c r="O522" s="191"/>
      <c r="P522" s="57" t="s">
        <v>2473</v>
      </c>
      <c r="Q522" s="29" t="s">
        <v>82</v>
      </c>
      <c r="R522" s="81"/>
      <c r="S522" s="48" t="s">
        <v>1666</v>
      </c>
      <c r="T522" s="50"/>
      <c r="U522" s="30"/>
      <c r="V522" s="58"/>
      <c r="W522" s="52"/>
      <c r="X522" s="193"/>
      <c r="Y522" s="206">
        <f>X522*0.1</f>
        <v>0</v>
      </c>
      <c r="Z522" s="193"/>
      <c r="AA522" s="193">
        <f>SUM(X522:Z522)</f>
        <v>0</v>
      </c>
      <c r="AB522" s="219"/>
    </row>
    <row r="523" spans="1:28" ht="18.600000000000001" thickBot="1">
      <c r="A523" s="250"/>
      <c r="B523" s="31" t="s">
        <v>1823</v>
      </c>
      <c r="C523" s="31">
        <v>82267</v>
      </c>
      <c r="D523" s="32" t="s">
        <v>244</v>
      </c>
      <c r="E523" s="200"/>
      <c r="F523" s="43" t="s">
        <v>2474</v>
      </c>
      <c r="G523" s="38">
        <v>31486</v>
      </c>
      <c r="H523" s="202"/>
      <c r="I523" s="194"/>
      <c r="J523" s="194"/>
      <c r="K523" s="194"/>
      <c r="L523" s="194"/>
      <c r="M523" s="194"/>
      <c r="N523" s="194"/>
      <c r="O523" s="192"/>
      <c r="P523" s="55" t="s">
        <v>586</v>
      </c>
      <c r="Q523" s="33" t="s">
        <v>86</v>
      </c>
      <c r="R523" s="34" t="s">
        <v>2475</v>
      </c>
      <c r="S523" s="44" t="s">
        <v>1872</v>
      </c>
      <c r="T523" s="46"/>
      <c r="U523" s="35"/>
      <c r="V523" s="56"/>
      <c r="W523" s="46"/>
      <c r="X523" s="194"/>
      <c r="Y523" s="194"/>
      <c r="Z523" s="194"/>
      <c r="AA523" s="194"/>
      <c r="AB523" s="220"/>
    </row>
    <row r="524" spans="1:28" ht="18.600000000000001" thickTop="1">
      <c r="A524" s="249" t="s">
        <v>2476</v>
      </c>
      <c r="B524" s="26">
        <v>44833</v>
      </c>
      <c r="C524" s="36">
        <v>1388</v>
      </c>
      <c r="D524" s="28" t="s">
        <v>2139</v>
      </c>
      <c r="E524" s="199"/>
      <c r="F524" s="54" t="s">
        <v>2230</v>
      </c>
      <c r="G524" s="37"/>
      <c r="H524" s="201">
        <v>4.5</v>
      </c>
      <c r="I524" s="193">
        <v>1075000</v>
      </c>
      <c r="J524" s="193">
        <v>107500</v>
      </c>
      <c r="K524" s="193">
        <v>0</v>
      </c>
      <c r="L524" s="193">
        <v>17700</v>
      </c>
      <c r="M524" s="193">
        <v>13200</v>
      </c>
      <c r="N524" s="193">
        <f>SUM(I524:M525)</f>
        <v>1213400</v>
      </c>
      <c r="O524" s="191"/>
      <c r="P524" s="57" t="s">
        <v>2477</v>
      </c>
      <c r="Q524" s="29" t="s">
        <v>82</v>
      </c>
      <c r="R524" s="81"/>
      <c r="S524" s="48" t="s">
        <v>1500</v>
      </c>
      <c r="T524" s="50"/>
      <c r="U524" s="30"/>
      <c r="V524" s="58"/>
      <c r="W524" s="52"/>
      <c r="X524" s="193"/>
      <c r="Y524" s="206">
        <f>X524*0.1</f>
        <v>0</v>
      </c>
      <c r="Z524" s="193"/>
      <c r="AA524" s="193">
        <f>SUM(X524:Z524)</f>
        <v>0</v>
      </c>
      <c r="AB524" s="219"/>
    </row>
    <row r="525" spans="1:28" ht="18.600000000000001" thickBot="1">
      <c r="A525" s="250"/>
      <c r="B525" s="31" t="s">
        <v>1858</v>
      </c>
      <c r="C525" s="31">
        <v>76280</v>
      </c>
      <c r="D525" s="32" t="s">
        <v>2225</v>
      </c>
      <c r="E525" s="200"/>
      <c r="F525" s="43" t="s">
        <v>2478</v>
      </c>
      <c r="G525" s="38">
        <v>49014</v>
      </c>
      <c r="H525" s="202"/>
      <c r="I525" s="194"/>
      <c r="J525" s="194"/>
      <c r="K525" s="194"/>
      <c r="L525" s="194"/>
      <c r="M525" s="194"/>
      <c r="N525" s="194"/>
      <c r="O525" s="192"/>
      <c r="P525" s="55" t="s">
        <v>2479</v>
      </c>
      <c r="Q525" s="33" t="s">
        <v>86</v>
      </c>
      <c r="R525" s="34" t="s">
        <v>2480</v>
      </c>
      <c r="S525" s="44" t="s">
        <v>2237</v>
      </c>
      <c r="T525" s="46"/>
      <c r="U525" s="35"/>
      <c r="V525" s="56"/>
      <c r="W525" s="46"/>
      <c r="X525" s="194"/>
      <c r="Y525" s="194"/>
      <c r="Z525" s="194"/>
      <c r="AA525" s="194"/>
      <c r="AB525" s="220"/>
    </row>
    <row r="526" spans="1:28" ht="18.600000000000001" thickTop="1">
      <c r="A526" s="249" t="s">
        <v>2481</v>
      </c>
      <c r="B526" s="26">
        <v>44840</v>
      </c>
      <c r="C526" s="36">
        <v>1849</v>
      </c>
      <c r="D526" s="28" t="s">
        <v>2482</v>
      </c>
      <c r="E526" s="199"/>
      <c r="F526" s="54" t="s">
        <v>2483</v>
      </c>
      <c r="G526" s="37" t="s">
        <v>2300</v>
      </c>
      <c r="H526" s="201">
        <v>4</v>
      </c>
      <c r="I526" s="193">
        <v>612000</v>
      </c>
      <c r="J526" s="193">
        <v>61200</v>
      </c>
      <c r="K526" s="193">
        <v>0</v>
      </c>
      <c r="L526" s="193">
        <v>9790</v>
      </c>
      <c r="M526" s="193">
        <v>19800</v>
      </c>
      <c r="N526" s="193">
        <f>SUM(I526:M527)</f>
        <v>702790</v>
      </c>
      <c r="O526" s="191"/>
      <c r="P526" s="57" t="s">
        <v>2484</v>
      </c>
      <c r="Q526" s="29" t="s">
        <v>82</v>
      </c>
      <c r="R526" s="81"/>
      <c r="S526" s="48"/>
      <c r="T526" s="50"/>
      <c r="U526" s="30" t="s">
        <v>2485</v>
      </c>
      <c r="V526" s="58"/>
      <c r="W526" s="52"/>
      <c r="X526" s="193"/>
      <c r="Y526" s="206">
        <f>X526*0.1</f>
        <v>0</v>
      </c>
      <c r="Z526" s="193"/>
      <c r="AA526" s="193">
        <f>SUM(X526:Z526)</f>
        <v>0</v>
      </c>
      <c r="AB526" s="219"/>
    </row>
    <row r="527" spans="1:28" ht="18.600000000000001" thickBot="1">
      <c r="A527" s="250"/>
      <c r="B527" s="31" t="s">
        <v>2486</v>
      </c>
      <c r="C527" s="31">
        <v>50352</v>
      </c>
      <c r="D527" s="32" t="s">
        <v>399</v>
      </c>
      <c r="E527" s="200"/>
      <c r="F527" s="43" t="s">
        <v>2487</v>
      </c>
      <c r="G527" s="38">
        <v>48287</v>
      </c>
      <c r="H527" s="202"/>
      <c r="I527" s="194"/>
      <c r="J527" s="194"/>
      <c r="K527" s="194"/>
      <c r="L527" s="194"/>
      <c r="M527" s="194"/>
      <c r="N527" s="194"/>
      <c r="O527" s="192"/>
      <c r="P527" s="55" t="s">
        <v>2488</v>
      </c>
      <c r="Q527" s="33" t="s">
        <v>86</v>
      </c>
      <c r="R527" s="34" t="s">
        <v>2489</v>
      </c>
      <c r="S527" s="44" t="s">
        <v>2490</v>
      </c>
      <c r="T527" s="46"/>
      <c r="U527" s="35"/>
      <c r="V527" s="56"/>
      <c r="W527" s="46"/>
      <c r="X527" s="194"/>
      <c r="Y527" s="194"/>
      <c r="Z527" s="194"/>
      <c r="AA527" s="194"/>
      <c r="AB527" s="220"/>
    </row>
    <row r="528" spans="1:28" ht="18.600000000000001" thickTop="1">
      <c r="A528" s="249" t="s">
        <v>2491</v>
      </c>
      <c r="B528" s="26">
        <v>44847</v>
      </c>
      <c r="C528" s="36">
        <v>1390</v>
      </c>
      <c r="D528" s="28" t="s">
        <v>2492</v>
      </c>
      <c r="E528" s="199"/>
      <c r="F528" s="54" t="s">
        <v>2493</v>
      </c>
      <c r="G528" s="37" t="s">
        <v>1952</v>
      </c>
      <c r="H528" s="201">
        <v>3.5</v>
      </c>
      <c r="I528" s="193">
        <v>585000</v>
      </c>
      <c r="J528" s="193">
        <v>58500</v>
      </c>
      <c r="K528" s="193">
        <v>31800</v>
      </c>
      <c r="L528" s="193">
        <v>15530</v>
      </c>
      <c r="M528" s="193">
        <v>13200</v>
      </c>
      <c r="N528" s="193">
        <f>SUM(I528:M529)</f>
        <v>704030</v>
      </c>
      <c r="O528" s="191"/>
      <c r="P528" s="57" t="s">
        <v>2494</v>
      </c>
      <c r="Q528" s="29" t="s">
        <v>82</v>
      </c>
      <c r="R528" s="81"/>
      <c r="S528" s="48" t="s">
        <v>1596</v>
      </c>
      <c r="T528" s="50"/>
      <c r="U528" s="30"/>
      <c r="V528" s="58"/>
      <c r="W528" s="52"/>
      <c r="X528" s="193"/>
      <c r="Y528" s="206">
        <f>X528*0.1</f>
        <v>0</v>
      </c>
      <c r="Z528" s="193"/>
      <c r="AA528" s="193">
        <f>SUM(X528:Z528)</f>
        <v>0</v>
      </c>
      <c r="AB528" s="219"/>
    </row>
    <row r="529" spans="1:28" ht="18.600000000000001" thickBot="1">
      <c r="A529" s="250"/>
      <c r="B529" s="31" t="s">
        <v>1858</v>
      </c>
      <c r="C529" s="31">
        <v>75445</v>
      </c>
      <c r="D529" s="32" t="s">
        <v>1895</v>
      </c>
      <c r="E529" s="200"/>
      <c r="F529" s="43" t="s">
        <v>2495</v>
      </c>
      <c r="G529" s="38">
        <v>51490</v>
      </c>
      <c r="H529" s="202"/>
      <c r="I529" s="194"/>
      <c r="J529" s="194"/>
      <c r="K529" s="194"/>
      <c r="L529" s="194"/>
      <c r="M529" s="194"/>
      <c r="N529" s="194"/>
      <c r="O529" s="192"/>
      <c r="P529" s="55" t="s">
        <v>2496</v>
      </c>
      <c r="Q529" s="33" t="s">
        <v>86</v>
      </c>
      <c r="R529" s="34" t="s">
        <v>2497</v>
      </c>
      <c r="S529" s="44" t="s">
        <v>2498</v>
      </c>
      <c r="T529" s="46"/>
      <c r="U529" s="35" t="s">
        <v>2499</v>
      </c>
      <c r="V529" s="56"/>
      <c r="W529" s="46"/>
      <c r="X529" s="194"/>
      <c r="Y529" s="194"/>
      <c r="Z529" s="194"/>
      <c r="AA529" s="194"/>
      <c r="AB529" s="220"/>
    </row>
    <row r="530" spans="1:28" ht="18.600000000000001" thickTop="1">
      <c r="A530" s="249" t="s">
        <v>2500</v>
      </c>
      <c r="B530" s="26">
        <v>44847</v>
      </c>
      <c r="C530" s="36">
        <v>1156</v>
      </c>
      <c r="D530" s="28" t="s">
        <v>2455</v>
      </c>
      <c r="E530" s="199"/>
      <c r="F530" s="54" t="s">
        <v>2501</v>
      </c>
      <c r="G530" s="37"/>
      <c r="H530" s="201">
        <v>4.5</v>
      </c>
      <c r="I530" s="193">
        <v>2655000</v>
      </c>
      <c r="J530" s="193">
        <v>265500</v>
      </c>
      <c r="K530" s="193">
        <v>0</v>
      </c>
      <c r="L530" s="193">
        <v>19090</v>
      </c>
      <c r="M530" s="193">
        <v>13200</v>
      </c>
      <c r="N530" s="193">
        <f>SUM(I530:M531)</f>
        <v>2952790</v>
      </c>
      <c r="O530" s="191"/>
      <c r="P530" s="57" t="s">
        <v>2502</v>
      </c>
      <c r="Q530" s="29" t="s">
        <v>82</v>
      </c>
      <c r="R530" s="81"/>
      <c r="S530" s="48" t="s">
        <v>2503</v>
      </c>
      <c r="T530" s="50"/>
      <c r="U530" s="30"/>
      <c r="V530" s="58"/>
      <c r="W530" s="52"/>
      <c r="X530" s="193"/>
      <c r="Y530" s="206">
        <f>X530*0.1</f>
        <v>0</v>
      </c>
      <c r="Z530" s="193"/>
      <c r="AA530" s="193">
        <f>SUM(X530:Z530)</f>
        <v>0</v>
      </c>
      <c r="AB530" s="219"/>
    </row>
    <row r="531" spans="1:28" ht="18.600000000000001" thickBot="1">
      <c r="A531" s="250"/>
      <c r="B531" s="31" t="s">
        <v>2017</v>
      </c>
      <c r="C531" s="31">
        <v>351</v>
      </c>
      <c r="D531" s="32" t="s">
        <v>1849</v>
      </c>
      <c r="E531" s="200"/>
      <c r="F531" s="43" t="s">
        <v>2504</v>
      </c>
      <c r="G531" s="38">
        <v>37052</v>
      </c>
      <c r="H531" s="202"/>
      <c r="I531" s="194"/>
      <c r="J531" s="194"/>
      <c r="K531" s="194"/>
      <c r="L531" s="194"/>
      <c r="M531" s="194"/>
      <c r="N531" s="194"/>
      <c r="O531" s="192"/>
      <c r="P531" s="55" t="s">
        <v>2505</v>
      </c>
      <c r="Q531" s="33" t="s">
        <v>86</v>
      </c>
      <c r="R531" s="34" t="s">
        <v>2497</v>
      </c>
      <c r="S531" s="44" t="s">
        <v>1872</v>
      </c>
      <c r="T531" s="46"/>
      <c r="U531" s="35"/>
      <c r="V531" s="56"/>
      <c r="W531" s="46"/>
      <c r="X531" s="194"/>
      <c r="Y531" s="194"/>
      <c r="Z531" s="194"/>
      <c r="AA531" s="194"/>
      <c r="AB531" s="220"/>
    </row>
    <row r="532" spans="1:28" ht="18.600000000000001" thickTop="1">
      <c r="A532" s="249" t="s">
        <v>2506</v>
      </c>
      <c r="B532" s="26">
        <v>44862</v>
      </c>
      <c r="C532" s="36"/>
      <c r="D532" s="28" t="s">
        <v>2507</v>
      </c>
      <c r="E532" s="199"/>
      <c r="F532" s="54" t="s">
        <v>2508</v>
      </c>
      <c r="G532" s="37" t="s">
        <v>2376</v>
      </c>
      <c r="H532" s="201">
        <v>4.5</v>
      </c>
      <c r="I532" s="193">
        <v>5625000</v>
      </c>
      <c r="J532" s="193">
        <v>562500</v>
      </c>
      <c r="K532" s="193">
        <v>0</v>
      </c>
      <c r="L532" s="193">
        <v>17700</v>
      </c>
      <c r="M532" s="193">
        <v>49688</v>
      </c>
      <c r="N532" s="193">
        <f>SUM(I532:M533)</f>
        <v>6254888</v>
      </c>
      <c r="O532" s="191"/>
      <c r="P532" s="57" t="s">
        <v>2509</v>
      </c>
      <c r="Q532" s="29" t="s">
        <v>82</v>
      </c>
      <c r="R532" s="81"/>
      <c r="S532" s="48" t="s">
        <v>1596</v>
      </c>
      <c r="T532" s="50"/>
      <c r="U532" s="30"/>
      <c r="V532" s="58"/>
      <c r="W532" s="52"/>
      <c r="X532" s="193"/>
      <c r="Y532" s="206">
        <f>X532*0.1</f>
        <v>0</v>
      </c>
      <c r="Z532" s="193"/>
      <c r="AA532" s="193">
        <f>SUM(X532:Z532)</f>
        <v>0</v>
      </c>
      <c r="AB532" s="219"/>
    </row>
    <row r="533" spans="1:28" ht="18.600000000000001" thickBot="1">
      <c r="A533" s="250"/>
      <c r="B533" s="31" t="s">
        <v>1985</v>
      </c>
      <c r="C533" s="31" t="s">
        <v>2510</v>
      </c>
      <c r="D533" s="32" t="s">
        <v>2511</v>
      </c>
      <c r="E533" s="200"/>
      <c r="F533" s="43" t="s">
        <v>2512</v>
      </c>
      <c r="G533" s="38">
        <v>44363</v>
      </c>
      <c r="H533" s="202"/>
      <c r="I533" s="194"/>
      <c r="J533" s="194"/>
      <c r="K533" s="194"/>
      <c r="L533" s="194"/>
      <c r="M533" s="194"/>
      <c r="N533" s="194"/>
      <c r="O533" s="192"/>
      <c r="P533" s="55" t="s">
        <v>2513</v>
      </c>
      <c r="Q533" s="33" t="s">
        <v>86</v>
      </c>
      <c r="R533" s="34" t="s">
        <v>2514</v>
      </c>
      <c r="S533" s="44" t="s">
        <v>96</v>
      </c>
      <c r="T533" s="46"/>
      <c r="U533" s="35" t="s">
        <v>1515</v>
      </c>
      <c r="V533" s="56"/>
      <c r="W533" s="46"/>
      <c r="X533" s="194"/>
      <c r="Y533" s="194"/>
      <c r="Z533" s="194"/>
      <c r="AA533" s="194"/>
      <c r="AB533" s="220"/>
    </row>
    <row r="534" spans="1:28" ht="18.600000000000001" thickTop="1">
      <c r="A534" s="249" t="s">
        <v>2515</v>
      </c>
      <c r="B534" s="26">
        <v>44869</v>
      </c>
      <c r="C534" s="36">
        <v>2077</v>
      </c>
      <c r="D534" s="28" t="s">
        <v>2516</v>
      </c>
      <c r="E534" s="199"/>
      <c r="F534" s="54" t="s">
        <v>2517</v>
      </c>
      <c r="G534" s="37" t="s">
        <v>2266</v>
      </c>
      <c r="H534" s="201">
        <v>4.5</v>
      </c>
      <c r="I534" s="193">
        <v>2156000</v>
      </c>
      <c r="J534" s="193">
        <v>215600</v>
      </c>
      <c r="K534" s="193">
        <v>10100</v>
      </c>
      <c r="L534" s="193">
        <v>16250</v>
      </c>
      <c r="M534" s="193">
        <v>13750</v>
      </c>
      <c r="N534" s="193">
        <f>SUM(I534:M535)</f>
        <v>2411700</v>
      </c>
      <c r="O534" s="191"/>
      <c r="P534" s="57" t="s">
        <v>2518</v>
      </c>
      <c r="Q534" s="29" t="s">
        <v>82</v>
      </c>
      <c r="R534" s="81"/>
      <c r="S534" s="48"/>
      <c r="T534" s="140" t="s">
        <v>1877</v>
      </c>
      <c r="U534" s="30" t="s">
        <v>2519</v>
      </c>
      <c r="V534" s="58"/>
      <c r="W534" s="52"/>
      <c r="X534" s="193"/>
      <c r="Y534" s="206">
        <f>X534*0.1</f>
        <v>0</v>
      </c>
      <c r="Z534" s="193"/>
      <c r="AA534" s="193">
        <f>SUM(X534:Z534)</f>
        <v>0</v>
      </c>
      <c r="AB534" s="219"/>
    </row>
    <row r="535" spans="1:28" ht="18.600000000000001" thickBot="1">
      <c r="A535" s="250"/>
      <c r="B535" s="31" t="s">
        <v>2520</v>
      </c>
      <c r="C535" s="31">
        <v>4359</v>
      </c>
      <c r="D535" s="32" t="s">
        <v>2168</v>
      </c>
      <c r="E535" s="200"/>
      <c r="F535" s="43" t="s">
        <v>2521</v>
      </c>
      <c r="G535" s="38">
        <v>11781</v>
      </c>
      <c r="H535" s="202"/>
      <c r="I535" s="194"/>
      <c r="J535" s="194"/>
      <c r="K535" s="194"/>
      <c r="L535" s="194"/>
      <c r="M535" s="194"/>
      <c r="N535" s="194"/>
      <c r="O535" s="192"/>
      <c r="P535" s="55" t="s">
        <v>2522</v>
      </c>
      <c r="Q535" s="33" t="s">
        <v>86</v>
      </c>
      <c r="R535" s="34" t="s">
        <v>2523</v>
      </c>
      <c r="S535" s="44" t="s">
        <v>2524</v>
      </c>
      <c r="T535" s="46"/>
      <c r="U535" s="35" t="s">
        <v>153</v>
      </c>
      <c r="V535" s="56"/>
      <c r="W535" s="46"/>
      <c r="X535" s="194"/>
      <c r="Y535" s="194"/>
      <c r="Z535" s="194"/>
      <c r="AA535" s="194"/>
      <c r="AB535" s="220"/>
    </row>
    <row r="536" spans="1:28" ht="18.600000000000001" thickTop="1">
      <c r="A536" s="249" t="s">
        <v>2525</v>
      </c>
      <c r="B536" s="26">
        <v>44875</v>
      </c>
      <c r="C536" s="36">
        <v>1854</v>
      </c>
      <c r="D536" s="28" t="s">
        <v>2526</v>
      </c>
      <c r="E536" s="199"/>
      <c r="F536" s="54" t="s">
        <v>1358</v>
      </c>
      <c r="G536" s="37" t="s">
        <v>2376</v>
      </c>
      <c r="H536" s="201">
        <v>4</v>
      </c>
      <c r="I536" s="193">
        <v>1807000</v>
      </c>
      <c r="J536" s="193">
        <v>180700</v>
      </c>
      <c r="K536" s="193">
        <v>13100</v>
      </c>
      <c r="L536" s="193">
        <v>16240</v>
      </c>
      <c r="M536" s="193">
        <v>22000</v>
      </c>
      <c r="N536" s="193">
        <f>SUM(I536:M537)</f>
        <v>2039040</v>
      </c>
      <c r="O536" s="191"/>
      <c r="P536" s="57" t="s">
        <v>2527</v>
      </c>
      <c r="Q536" s="29" t="s">
        <v>82</v>
      </c>
      <c r="R536" s="81"/>
      <c r="S536" s="48" t="s">
        <v>2528</v>
      </c>
      <c r="T536" s="50"/>
      <c r="U536" s="30" t="s">
        <v>2529</v>
      </c>
      <c r="V536" s="58"/>
      <c r="W536" s="52"/>
      <c r="X536" s="193"/>
      <c r="Y536" s="206">
        <f>X536*0.1</f>
        <v>0</v>
      </c>
      <c r="Z536" s="193"/>
      <c r="AA536" s="193">
        <f>SUM(X536:Z536)</f>
        <v>0</v>
      </c>
      <c r="AB536" s="219"/>
    </row>
    <row r="537" spans="1:28" ht="18.600000000000001" thickBot="1">
      <c r="A537" s="250"/>
      <c r="B537" s="31" t="s">
        <v>2530</v>
      </c>
      <c r="C537" s="31">
        <v>30251</v>
      </c>
      <c r="D537" s="32" t="s">
        <v>2511</v>
      </c>
      <c r="E537" s="200"/>
      <c r="F537" s="43" t="s">
        <v>2531</v>
      </c>
      <c r="G537" s="38">
        <v>34251</v>
      </c>
      <c r="H537" s="202"/>
      <c r="I537" s="194"/>
      <c r="J537" s="194"/>
      <c r="K537" s="194"/>
      <c r="L537" s="194"/>
      <c r="M537" s="194"/>
      <c r="N537" s="194"/>
      <c r="O537" s="192"/>
      <c r="P537" s="55" t="s">
        <v>2532</v>
      </c>
      <c r="Q537" s="33" t="s">
        <v>86</v>
      </c>
      <c r="R537" s="34" t="s">
        <v>2533</v>
      </c>
      <c r="S537" s="44" t="s">
        <v>1872</v>
      </c>
      <c r="T537" s="46"/>
      <c r="U537" s="35"/>
      <c r="V537" s="56"/>
      <c r="W537" s="46"/>
      <c r="X537" s="194"/>
      <c r="Y537" s="194"/>
      <c r="Z537" s="194"/>
      <c r="AA537" s="194"/>
      <c r="AB537" s="220"/>
    </row>
    <row r="538" spans="1:28" ht="18.600000000000001" thickTop="1">
      <c r="A538" s="249" t="s">
        <v>2534</v>
      </c>
      <c r="B538" s="26">
        <v>44877</v>
      </c>
      <c r="C538" s="36">
        <v>852</v>
      </c>
      <c r="D538" s="28" t="s">
        <v>2291</v>
      </c>
      <c r="E538" s="199"/>
      <c r="F538" s="54" t="s">
        <v>2535</v>
      </c>
      <c r="G538" s="37"/>
      <c r="H538" s="201">
        <v>3.5</v>
      </c>
      <c r="I538" s="193">
        <v>634000</v>
      </c>
      <c r="J538" s="193">
        <v>63400</v>
      </c>
      <c r="K538" s="193">
        <v>0</v>
      </c>
      <c r="L538" s="193">
        <v>15590</v>
      </c>
      <c r="M538" s="193">
        <v>17600</v>
      </c>
      <c r="N538" s="193">
        <f>SUM(I538:M539)</f>
        <v>730590</v>
      </c>
      <c r="O538" s="191"/>
      <c r="P538" s="57" t="s">
        <v>2536</v>
      </c>
      <c r="Q538" s="29" t="s">
        <v>82</v>
      </c>
      <c r="R538" s="81"/>
      <c r="S538" s="48"/>
      <c r="T538" s="50"/>
      <c r="U538" s="30"/>
      <c r="V538" s="58"/>
      <c r="W538" s="52"/>
      <c r="X538" s="193"/>
      <c r="Y538" s="206">
        <f>X538*0.1</f>
        <v>0</v>
      </c>
      <c r="Z538" s="193"/>
      <c r="AA538" s="193">
        <f>SUM(X538:Z538)</f>
        <v>0</v>
      </c>
      <c r="AB538" s="219"/>
    </row>
    <row r="539" spans="1:28" ht="18.600000000000001" thickBot="1">
      <c r="A539" s="250"/>
      <c r="B539" s="31" t="s">
        <v>1972</v>
      </c>
      <c r="C539" s="31">
        <v>5039</v>
      </c>
      <c r="D539" s="32" t="s">
        <v>2537</v>
      </c>
      <c r="E539" s="200"/>
      <c r="F539" s="43" t="s">
        <v>2538</v>
      </c>
      <c r="G539" s="38">
        <v>62288</v>
      </c>
      <c r="H539" s="202"/>
      <c r="I539" s="194"/>
      <c r="J539" s="194"/>
      <c r="K539" s="194"/>
      <c r="L539" s="194"/>
      <c r="M539" s="194"/>
      <c r="N539" s="194"/>
      <c r="O539" s="192"/>
      <c r="P539" s="55" t="s">
        <v>2539</v>
      </c>
      <c r="Q539" s="33" t="s">
        <v>86</v>
      </c>
      <c r="R539" s="34" t="s">
        <v>2540</v>
      </c>
      <c r="S539" s="44"/>
      <c r="T539" s="46"/>
      <c r="U539" s="35"/>
      <c r="V539" s="56"/>
      <c r="W539" s="46"/>
      <c r="X539" s="194"/>
      <c r="Y539" s="194"/>
      <c r="Z539" s="194"/>
      <c r="AA539" s="194"/>
      <c r="AB539" s="220"/>
    </row>
    <row r="540" spans="1:28" ht="18.600000000000001" thickTop="1">
      <c r="A540" s="249" t="s">
        <v>2541</v>
      </c>
      <c r="B540" s="26">
        <v>44882</v>
      </c>
      <c r="C540" s="36">
        <v>1161</v>
      </c>
      <c r="D540" s="28" t="s">
        <v>1791</v>
      </c>
      <c r="E540" s="199"/>
      <c r="F540" s="54" t="s">
        <v>2542</v>
      </c>
      <c r="G540" s="37" t="s">
        <v>2543</v>
      </c>
      <c r="H540" s="201">
        <v>4.5</v>
      </c>
      <c r="I540" s="193">
        <v>3470000</v>
      </c>
      <c r="J540" s="193">
        <v>347000</v>
      </c>
      <c r="K540" s="193">
        <v>17000</v>
      </c>
      <c r="L540" s="193">
        <v>25460</v>
      </c>
      <c r="M540" s="193">
        <v>13200</v>
      </c>
      <c r="N540" s="193">
        <f>SUM(I540:M541)</f>
        <v>3872660</v>
      </c>
      <c r="O540" s="191"/>
      <c r="P540" s="57" t="s">
        <v>2544</v>
      </c>
      <c r="Q540" s="29" t="s">
        <v>82</v>
      </c>
      <c r="R540" s="81"/>
      <c r="S540" s="48" t="s">
        <v>2016</v>
      </c>
      <c r="T540" s="50"/>
      <c r="U540" s="30" t="s">
        <v>2545</v>
      </c>
      <c r="V540" s="58"/>
      <c r="W540" s="52"/>
      <c r="X540" s="193"/>
      <c r="Y540" s="206">
        <f>X540*0.1</f>
        <v>0</v>
      </c>
      <c r="Z540" s="193"/>
      <c r="AA540" s="193">
        <f>SUM(X540:Z540)</f>
        <v>0</v>
      </c>
      <c r="AB540" s="219"/>
    </row>
    <row r="541" spans="1:28" ht="18.600000000000001" thickBot="1">
      <c r="A541" s="250"/>
      <c r="B541" s="31" t="s">
        <v>2017</v>
      </c>
      <c r="C541" s="31">
        <v>545</v>
      </c>
      <c r="D541" s="32" t="s">
        <v>2546</v>
      </c>
      <c r="E541" s="200"/>
      <c r="F541" s="43" t="s">
        <v>2547</v>
      </c>
      <c r="G541" s="38">
        <v>52742</v>
      </c>
      <c r="H541" s="202"/>
      <c r="I541" s="194"/>
      <c r="J541" s="194"/>
      <c r="K541" s="194"/>
      <c r="L541" s="194"/>
      <c r="M541" s="194"/>
      <c r="N541" s="194"/>
      <c r="O541" s="192"/>
      <c r="P541" s="55" t="s">
        <v>2548</v>
      </c>
      <c r="Q541" s="33" t="s">
        <v>86</v>
      </c>
      <c r="R541" s="34" t="s">
        <v>2549</v>
      </c>
      <c r="S541" s="44" t="s">
        <v>1872</v>
      </c>
      <c r="T541" s="46"/>
      <c r="U541" s="35" t="s">
        <v>2011</v>
      </c>
      <c r="V541" s="56"/>
      <c r="W541" s="46"/>
      <c r="X541" s="194"/>
      <c r="Y541" s="194"/>
      <c r="Z541" s="194"/>
      <c r="AA541" s="194"/>
      <c r="AB541" s="220"/>
    </row>
    <row r="542" spans="1:28" ht="18.600000000000001" thickTop="1">
      <c r="A542" s="249" t="s">
        <v>2550</v>
      </c>
      <c r="B542" s="26">
        <v>44883</v>
      </c>
      <c r="C542" s="36">
        <v>1965</v>
      </c>
      <c r="D542" s="28" t="s">
        <v>1093</v>
      </c>
      <c r="E542" s="199"/>
      <c r="F542" s="54" t="s">
        <v>2551</v>
      </c>
      <c r="G542" s="37"/>
      <c r="H542" s="201">
        <v>4</v>
      </c>
      <c r="I542" s="193">
        <v>2775000</v>
      </c>
      <c r="J542" s="193">
        <v>277500</v>
      </c>
      <c r="K542" s="193">
        <v>0</v>
      </c>
      <c r="L542" s="193">
        <v>19620</v>
      </c>
      <c r="M542" s="193">
        <v>13200</v>
      </c>
      <c r="N542" s="193">
        <f>SUM(I542:M543)</f>
        <v>3085320</v>
      </c>
      <c r="O542" s="191"/>
      <c r="P542" s="57" t="s">
        <v>2552</v>
      </c>
      <c r="Q542" s="29" t="s">
        <v>82</v>
      </c>
      <c r="R542" s="81"/>
      <c r="S542" s="48" t="s">
        <v>2553</v>
      </c>
      <c r="T542" s="50"/>
      <c r="U542" s="30"/>
      <c r="V542" s="58"/>
      <c r="W542" s="52"/>
      <c r="X542" s="193"/>
      <c r="Y542" s="206">
        <f>X542*0.1</f>
        <v>0</v>
      </c>
      <c r="Z542" s="193"/>
      <c r="AA542" s="193">
        <f>SUM(X542:Z542)</f>
        <v>0</v>
      </c>
      <c r="AB542" s="219"/>
    </row>
    <row r="543" spans="1:28" ht="18.600000000000001" thickBot="1">
      <c r="A543" s="250"/>
      <c r="B543" s="31" t="s">
        <v>1797</v>
      </c>
      <c r="C543" s="31">
        <v>58276</v>
      </c>
      <c r="D543" s="32" t="s">
        <v>1849</v>
      </c>
      <c r="E543" s="200"/>
      <c r="F543" s="43" t="s">
        <v>2554</v>
      </c>
      <c r="G543" s="38">
        <v>56530</v>
      </c>
      <c r="H543" s="202"/>
      <c r="I543" s="194"/>
      <c r="J543" s="194"/>
      <c r="K543" s="194"/>
      <c r="L543" s="194"/>
      <c r="M543" s="194"/>
      <c r="N543" s="194"/>
      <c r="O543" s="192"/>
      <c r="P543" s="55" t="s">
        <v>2555</v>
      </c>
      <c r="Q543" s="33" t="s">
        <v>86</v>
      </c>
      <c r="R543" s="34" t="s">
        <v>2556</v>
      </c>
      <c r="S543" s="44" t="s">
        <v>2358</v>
      </c>
      <c r="T543" s="46"/>
      <c r="U543" s="35"/>
      <c r="V543" s="56"/>
      <c r="W543" s="46"/>
      <c r="X543" s="194"/>
      <c r="Y543" s="194"/>
      <c r="Z543" s="194"/>
      <c r="AA543" s="194"/>
      <c r="AB543" s="220"/>
    </row>
    <row r="544" spans="1:28" ht="18.600000000000001" thickTop="1">
      <c r="A544" s="249" t="s">
        <v>2557</v>
      </c>
      <c r="B544" s="26">
        <v>44883</v>
      </c>
      <c r="C544" s="36"/>
      <c r="D544" s="28" t="s">
        <v>1892</v>
      </c>
      <c r="E544" s="199"/>
      <c r="F544" s="54" t="s">
        <v>2558</v>
      </c>
      <c r="G544" s="37" t="s">
        <v>2559</v>
      </c>
      <c r="H544" s="201">
        <v>4.5</v>
      </c>
      <c r="I544" s="193">
        <v>9195000</v>
      </c>
      <c r="J544" s="193">
        <v>919500</v>
      </c>
      <c r="K544" s="193">
        <v>16600</v>
      </c>
      <c r="L544" s="193">
        <v>18090</v>
      </c>
      <c r="M544" s="193">
        <v>267863</v>
      </c>
      <c r="N544" s="193">
        <f>SUM(I544:M545)</f>
        <v>10417053</v>
      </c>
      <c r="O544" s="191"/>
      <c r="P544" s="57" t="s">
        <v>2560</v>
      </c>
      <c r="Q544" s="29" t="s">
        <v>82</v>
      </c>
      <c r="R544" s="81"/>
      <c r="S544" s="48" t="s">
        <v>1500</v>
      </c>
      <c r="T544" s="50"/>
      <c r="U544" s="30" t="s">
        <v>2561</v>
      </c>
      <c r="V544" s="58"/>
      <c r="W544" s="52"/>
      <c r="X544" s="193"/>
      <c r="Y544" s="206">
        <f>X544*0.1</f>
        <v>0</v>
      </c>
      <c r="Z544" s="193"/>
      <c r="AA544" s="193">
        <f>SUM(X544:Z544)</f>
        <v>0</v>
      </c>
      <c r="AB544" s="219"/>
    </row>
    <row r="545" spans="1:28" ht="18.600000000000001" thickBot="1">
      <c r="A545" s="250"/>
      <c r="B545" s="31" t="s">
        <v>1985</v>
      </c>
      <c r="C545" s="31" t="s">
        <v>2562</v>
      </c>
      <c r="D545" s="32" t="s">
        <v>244</v>
      </c>
      <c r="E545" s="200"/>
      <c r="F545" s="43" t="s">
        <v>2563</v>
      </c>
      <c r="G545" s="38">
        <v>11181</v>
      </c>
      <c r="H545" s="202"/>
      <c r="I545" s="194"/>
      <c r="J545" s="194"/>
      <c r="K545" s="194"/>
      <c r="L545" s="194"/>
      <c r="M545" s="194"/>
      <c r="N545" s="194"/>
      <c r="O545" s="192"/>
      <c r="P545" s="55" t="s">
        <v>2564</v>
      </c>
      <c r="Q545" s="33" t="s">
        <v>86</v>
      </c>
      <c r="R545" s="34" t="s">
        <v>2037</v>
      </c>
      <c r="S545" s="44" t="s">
        <v>2565</v>
      </c>
      <c r="T545" s="46"/>
      <c r="U545" s="142" t="s">
        <v>2566</v>
      </c>
      <c r="V545" s="56"/>
      <c r="W545" s="46"/>
      <c r="X545" s="194"/>
      <c r="Y545" s="194"/>
      <c r="Z545" s="194"/>
      <c r="AA545" s="194"/>
      <c r="AB545" s="220"/>
    </row>
    <row r="546" spans="1:28" ht="18.600000000000001" thickTop="1">
      <c r="A546" s="249" t="s">
        <v>2567</v>
      </c>
      <c r="B546" s="26">
        <v>44893</v>
      </c>
      <c r="C546" s="36">
        <v>1924</v>
      </c>
      <c r="D546" s="28" t="s">
        <v>2568</v>
      </c>
      <c r="E546" s="199"/>
      <c r="F546" s="54" t="s">
        <v>2569</v>
      </c>
      <c r="G546" s="37" t="s">
        <v>1952</v>
      </c>
      <c r="H546" s="201">
        <v>4</v>
      </c>
      <c r="I546" s="193">
        <v>2505000</v>
      </c>
      <c r="J546" s="193">
        <v>250500</v>
      </c>
      <c r="K546" s="193">
        <v>13100</v>
      </c>
      <c r="L546" s="193">
        <v>19090</v>
      </c>
      <c r="M546" s="193">
        <v>11000</v>
      </c>
      <c r="N546" s="193">
        <f>SUM(I546:M547)</f>
        <v>2798690</v>
      </c>
      <c r="O546" s="191"/>
      <c r="P546" s="57" t="s">
        <v>2570</v>
      </c>
      <c r="Q546" s="29" t="s">
        <v>82</v>
      </c>
      <c r="R546" s="81"/>
      <c r="S546" s="48" t="s">
        <v>2387</v>
      </c>
      <c r="T546" s="50"/>
      <c r="U546" s="30"/>
      <c r="V546" s="58"/>
      <c r="W546" s="52"/>
      <c r="X546" s="193"/>
      <c r="Y546" s="206">
        <f>X546*0.1</f>
        <v>0</v>
      </c>
      <c r="Z546" s="193"/>
      <c r="AA546" s="193">
        <f>SUM(X546:Z546)</f>
        <v>0</v>
      </c>
      <c r="AB546" s="219"/>
    </row>
    <row r="547" spans="1:28" ht="18.600000000000001" thickBot="1">
      <c r="A547" s="250"/>
      <c r="B547" s="31" t="s">
        <v>189</v>
      </c>
      <c r="C547" s="31">
        <v>34027</v>
      </c>
      <c r="D547" s="32" t="s">
        <v>399</v>
      </c>
      <c r="E547" s="200"/>
      <c r="F547" s="43" t="s">
        <v>2571</v>
      </c>
      <c r="G547" s="38">
        <v>39330</v>
      </c>
      <c r="H547" s="202"/>
      <c r="I547" s="194"/>
      <c r="J547" s="194"/>
      <c r="K547" s="194"/>
      <c r="L547" s="194"/>
      <c r="M547" s="194"/>
      <c r="N547" s="194"/>
      <c r="O547" s="192"/>
      <c r="P547" s="55" t="s">
        <v>2572</v>
      </c>
      <c r="Q547" s="33" t="s">
        <v>86</v>
      </c>
      <c r="R547" s="34" t="s">
        <v>2573</v>
      </c>
      <c r="S547" s="44" t="s">
        <v>2574</v>
      </c>
      <c r="T547" s="46"/>
      <c r="U547" s="35" t="s">
        <v>2575</v>
      </c>
      <c r="V547" s="56"/>
      <c r="W547" s="46"/>
      <c r="X547" s="194"/>
      <c r="Y547" s="194"/>
      <c r="Z547" s="194"/>
      <c r="AA547" s="194"/>
      <c r="AB547" s="220"/>
    </row>
    <row r="548" spans="1:28" ht="18.600000000000001" thickTop="1">
      <c r="A548" s="249" t="s">
        <v>2576</v>
      </c>
      <c r="B548" s="26">
        <v>44896</v>
      </c>
      <c r="C548" s="36">
        <v>1397</v>
      </c>
      <c r="D548" s="28" t="s">
        <v>1829</v>
      </c>
      <c r="E548" s="199"/>
      <c r="F548" s="54" t="s">
        <v>2577</v>
      </c>
      <c r="G548" s="37" t="s">
        <v>2578</v>
      </c>
      <c r="H548" s="201">
        <v>4</v>
      </c>
      <c r="I548" s="193">
        <v>3360000</v>
      </c>
      <c r="J548" s="193">
        <v>336000</v>
      </c>
      <c r="K548" s="193">
        <v>9800</v>
      </c>
      <c r="L548" s="193">
        <v>19630</v>
      </c>
      <c r="M548" s="193">
        <v>13200</v>
      </c>
      <c r="N548" s="193">
        <f>SUM(I548:M549)</f>
        <v>3738630</v>
      </c>
      <c r="O548" s="191"/>
      <c r="P548" s="57" t="s">
        <v>2579</v>
      </c>
      <c r="Q548" s="29" t="s">
        <v>82</v>
      </c>
      <c r="R548" s="81"/>
      <c r="S548" s="48" t="s">
        <v>1741</v>
      </c>
      <c r="T548" s="50"/>
      <c r="U548" s="30" t="s">
        <v>2580</v>
      </c>
      <c r="V548" s="58"/>
      <c r="W548" s="52"/>
      <c r="X548" s="193"/>
      <c r="Y548" s="206">
        <f>X548*0.1</f>
        <v>0</v>
      </c>
      <c r="Z548" s="193"/>
      <c r="AA548" s="193">
        <f>SUM(X548:Z548)</f>
        <v>0</v>
      </c>
      <c r="AB548" s="219"/>
    </row>
    <row r="549" spans="1:28" ht="18.600000000000001" thickBot="1">
      <c r="A549" s="250"/>
      <c r="B549" s="31" t="s">
        <v>1858</v>
      </c>
      <c r="C549" s="31">
        <v>75695</v>
      </c>
      <c r="D549" s="32" t="s">
        <v>2511</v>
      </c>
      <c r="E549" s="200"/>
      <c r="F549" s="43" t="s">
        <v>2581</v>
      </c>
      <c r="G549" s="38">
        <v>37416</v>
      </c>
      <c r="H549" s="202"/>
      <c r="I549" s="194"/>
      <c r="J549" s="194"/>
      <c r="K549" s="194"/>
      <c r="L549" s="194"/>
      <c r="M549" s="194"/>
      <c r="N549" s="194"/>
      <c r="O549" s="192"/>
      <c r="P549" s="55" t="s">
        <v>2180</v>
      </c>
      <c r="Q549" s="33" t="s">
        <v>86</v>
      </c>
      <c r="R549" s="34" t="s">
        <v>2582</v>
      </c>
      <c r="S549" s="44" t="s">
        <v>96</v>
      </c>
      <c r="T549" s="46"/>
      <c r="U549" s="35" t="s">
        <v>2583</v>
      </c>
      <c r="V549" s="56"/>
      <c r="W549" s="46"/>
      <c r="X549" s="194"/>
      <c r="Y549" s="194"/>
      <c r="Z549" s="194"/>
      <c r="AA549" s="194"/>
      <c r="AB549" s="220"/>
    </row>
    <row r="550" spans="1:28" ht="18.600000000000001" thickTop="1">
      <c r="A550" s="249" t="s">
        <v>2593</v>
      </c>
      <c r="B550" s="26">
        <v>44897</v>
      </c>
      <c r="C550" s="36">
        <v>1967</v>
      </c>
      <c r="D550" s="28" t="s">
        <v>2040</v>
      </c>
      <c r="E550" s="199"/>
      <c r="F550" s="54" t="s">
        <v>2594</v>
      </c>
      <c r="G550" s="37" t="s">
        <v>2342</v>
      </c>
      <c r="H550" s="201">
        <v>4.5</v>
      </c>
      <c r="I550" s="193">
        <v>1075000</v>
      </c>
      <c r="J550" s="193">
        <v>107500</v>
      </c>
      <c r="K550" s="193">
        <v>8600</v>
      </c>
      <c r="L550" s="193">
        <v>14940</v>
      </c>
      <c r="M550" s="193">
        <v>13200</v>
      </c>
      <c r="N550" s="193">
        <f>SUM(I550:M551)</f>
        <v>1219240</v>
      </c>
      <c r="O550" s="191"/>
      <c r="P550" s="57" t="s">
        <v>2595</v>
      </c>
      <c r="Q550" s="29" t="s">
        <v>82</v>
      </c>
      <c r="R550" s="81"/>
      <c r="S550" s="48" t="s">
        <v>2596</v>
      </c>
      <c r="T550" s="50"/>
      <c r="U550" s="30"/>
      <c r="V550" s="58"/>
      <c r="W550" s="52"/>
      <c r="X550" s="193"/>
      <c r="Y550" s="206">
        <f>X550*0.1</f>
        <v>0</v>
      </c>
      <c r="Z550" s="193"/>
      <c r="AA550" s="193">
        <f>SUM(X550:Z550)</f>
        <v>0</v>
      </c>
      <c r="AB550" s="219"/>
    </row>
    <row r="551" spans="1:28" ht="18.600000000000001" thickBot="1">
      <c r="A551" s="250"/>
      <c r="B551" s="31" t="s">
        <v>1797</v>
      </c>
      <c r="C551" s="31">
        <v>58151</v>
      </c>
      <c r="D551" s="32" t="s">
        <v>2168</v>
      </c>
      <c r="E551" s="200"/>
      <c r="F551" s="43" t="s">
        <v>2597</v>
      </c>
      <c r="G551" s="38">
        <v>54126</v>
      </c>
      <c r="H551" s="202"/>
      <c r="I551" s="194"/>
      <c r="J551" s="194"/>
      <c r="K551" s="194"/>
      <c r="L551" s="194"/>
      <c r="M551" s="194"/>
      <c r="N551" s="194"/>
      <c r="O551" s="192"/>
      <c r="P551" s="55" t="s">
        <v>2598</v>
      </c>
      <c r="Q551" s="33" t="s">
        <v>86</v>
      </c>
      <c r="R551" s="34" t="s">
        <v>2590</v>
      </c>
      <c r="S551" s="44" t="s">
        <v>2599</v>
      </c>
      <c r="T551" s="46"/>
      <c r="U551" s="35" t="s">
        <v>2575</v>
      </c>
      <c r="V551" s="56"/>
      <c r="W551" s="46"/>
      <c r="X551" s="194"/>
      <c r="Y551" s="194"/>
      <c r="Z551" s="194"/>
      <c r="AA551" s="194"/>
      <c r="AB551" s="220"/>
    </row>
    <row r="552" spans="1:28" ht="18.600000000000001" thickTop="1">
      <c r="A552" s="249" t="s">
        <v>2600</v>
      </c>
      <c r="B552" s="26">
        <v>44901</v>
      </c>
      <c r="C552" s="36">
        <v>1773</v>
      </c>
      <c r="D552" s="28" t="s">
        <v>2040</v>
      </c>
      <c r="E552" s="199"/>
      <c r="F552" s="54" t="s">
        <v>2601</v>
      </c>
      <c r="G552" s="37" t="s">
        <v>2130</v>
      </c>
      <c r="H552" s="201">
        <v>4.5</v>
      </c>
      <c r="I552" s="193">
        <v>3534000</v>
      </c>
      <c r="J552" s="193">
        <v>353400</v>
      </c>
      <c r="K552" s="193">
        <v>12700</v>
      </c>
      <c r="L552" s="193">
        <v>18110</v>
      </c>
      <c r="M552" s="193">
        <v>15950</v>
      </c>
      <c r="N552" s="193">
        <f>SUM(I552:M553)</f>
        <v>3934160</v>
      </c>
      <c r="O552" s="191"/>
      <c r="P552" s="57" t="s">
        <v>2602</v>
      </c>
      <c r="Q552" s="29" t="s">
        <v>82</v>
      </c>
      <c r="R552" s="81"/>
      <c r="S552" s="48"/>
      <c r="T552" s="140" t="s">
        <v>1877</v>
      </c>
      <c r="U552" s="30" t="s">
        <v>2603</v>
      </c>
      <c r="V552" s="58"/>
      <c r="W552" s="52"/>
      <c r="X552" s="193"/>
      <c r="Y552" s="206">
        <f>X552*0.1</f>
        <v>0</v>
      </c>
      <c r="Z552" s="193"/>
      <c r="AA552" s="193">
        <f>SUM(X552:Z552)</f>
        <v>0</v>
      </c>
      <c r="AB552" s="219"/>
    </row>
    <row r="553" spans="1:28" ht="18.600000000000001" thickBot="1">
      <c r="A553" s="250"/>
      <c r="B553" s="31" t="s">
        <v>2450</v>
      </c>
      <c r="C553" s="31">
        <v>5043</v>
      </c>
      <c r="D553" s="32" t="s">
        <v>2433</v>
      </c>
      <c r="E553" s="200"/>
      <c r="F553" s="43" t="s">
        <v>2604</v>
      </c>
      <c r="G553" s="38">
        <v>15525</v>
      </c>
      <c r="H553" s="202"/>
      <c r="I553" s="194"/>
      <c r="J553" s="194"/>
      <c r="K553" s="194"/>
      <c r="L553" s="194"/>
      <c r="M553" s="194"/>
      <c r="N553" s="194"/>
      <c r="O553" s="192"/>
      <c r="P553" s="55" t="s">
        <v>2605</v>
      </c>
      <c r="Q553" s="33" t="s">
        <v>86</v>
      </c>
      <c r="R553" s="34" t="s">
        <v>2606</v>
      </c>
      <c r="S553" s="44" t="s">
        <v>2607</v>
      </c>
      <c r="T553" s="46"/>
      <c r="U553" s="35" t="s">
        <v>2608</v>
      </c>
      <c r="V553" s="56"/>
      <c r="W553" s="46"/>
      <c r="X553" s="194"/>
      <c r="Y553" s="194"/>
      <c r="Z553" s="194"/>
      <c r="AA553" s="194"/>
      <c r="AB553" s="220"/>
    </row>
    <row r="554" spans="1:28" ht="18.600000000000001" thickTop="1">
      <c r="A554" s="249" t="s">
        <v>2609</v>
      </c>
      <c r="B554" s="26">
        <v>44903</v>
      </c>
      <c r="C554" s="36">
        <v>1398</v>
      </c>
      <c r="D554" s="28" t="s">
        <v>1047</v>
      </c>
      <c r="E554" s="199" t="s">
        <v>282</v>
      </c>
      <c r="F554" s="54" t="s">
        <v>2610</v>
      </c>
      <c r="G554" s="37" t="s">
        <v>2611</v>
      </c>
      <c r="H554" s="201">
        <v>5</v>
      </c>
      <c r="I554" s="193">
        <v>9260000</v>
      </c>
      <c r="J554" s="193">
        <v>926000</v>
      </c>
      <c r="K554" s="193">
        <v>12500</v>
      </c>
      <c r="L554" s="193">
        <v>18090</v>
      </c>
      <c r="M554" s="193">
        <v>13200</v>
      </c>
      <c r="N554" s="193">
        <f>SUM(I554:M555)</f>
        <v>10229790</v>
      </c>
      <c r="O554" s="191"/>
      <c r="P554" s="57" t="s">
        <v>2612</v>
      </c>
      <c r="Q554" s="29" t="s">
        <v>82</v>
      </c>
      <c r="R554" s="81"/>
      <c r="S554" s="48" t="s">
        <v>2613</v>
      </c>
      <c r="T554" s="50"/>
      <c r="U554" s="30" t="s">
        <v>2614</v>
      </c>
      <c r="V554" s="58"/>
      <c r="W554" s="52"/>
      <c r="X554" s="193"/>
      <c r="Y554" s="206">
        <f>X554*0.1</f>
        <v>0</v>
      </c>
      <c r="Z554" s="193"/>
      <c r="AA554" s="193">
        <f>SUM(X554:Z554)</f>
        <v>0</v>
      </c>
      <c r="AB554" s="219"/>
    </row>
    <row r="555" spans="1:28" ht="18.600000000000001" thickBot="1">
      <c r="A555" s="250"/>
      <c r="B555" s="31" t="s">
        <v>1858</v>
      </c>
      <c r="C555" s="31">
        <v>75474</v>
      </c>
      <c r="D555" s="32" t="s">
        <v>399</v>
      </c>
      <c r="E555" s="200"/>
      <c r="F555" s="43" t="s">
        <v>2615</v>
      </c>
      <c r="G555" s="38">
        <v>8686</v>
      </c>
      <c r="H555" s="202"/>
      <c r="I555" s="194"/>
      <c r="J555" s="194"/>
      <c r="K555" s="194"/>
      <c r="L555" s="194"/>
      <c r="M555" s="194"/>
      <c r="N555" s="194"/>
      <c r="O555" s="192"/>
      <c r="P555" s="55" t="s">
        <v>2616</v>
      </c>
      <c r="Q555" s="33" t="s">
        <v>86</v>
      </c>
      <c r="R555" s="34" t="s">
        <v>2606</v>
      </c>
      <c r="S555" s="44" t="s">
        <v>2617</v>
      </c>
      <c r="T555" s="46"/>
      <c r="U555" s="35"/>
      <c r="V555" s="56"/>
      <c r="W555" s="46"/>
      <c r="X555" s="194"/>
      <c r="Y555" s="194"/>
      <c r="Z555" s="194"/>
      <c r="AA555" s="194"/>
      <c r="AB555" s="220"/>
    </row>
    <row r="556" spans="1:28" ht="18.600000000000001" thickTop="1">
      <c r="A556" s="249" t="s">
        <v>2618</v>
      </c>
      <c r="B556" s="26">
        <v>44918</v>
      </c>
      <c r="C556" s="36">
        <v>1970</v>
      </c>
      <c r="D556" s="28" t="s">
        <v>1047</v>
      </c>
      <c r="E556" s="199"/>
      <c r="F556" s="54" t="s">
        <v>2619</v>
      </c>
      <c r="G556" s="37" t="s">
        <v>2611</v>
      </c>
      <c r="H556" s="201">
        <v>4.5</v>
      </c>
      <c r="I556" s="193">
        <v>1900000</v>
      </c>
      <c r="J556" s="193">
        <v>190000</v>
      </c>
      <c r="K556" s="193">
        <v>7600</v>
      </c>
      <c r="L556" s="193">
        <v>16250</v>
      </c>
      <c r="M556" s="193">
        <v>24200</v>
      </c>
      <c r="N556" s="193">
        <f>SUM(I556:M557)</f>
        <v>2138050</v>
      </c>
      <c r="O556" s="191"/>
      <c r="P556" s="57" t="s">
        <v>2620</v>
      </c>
      <c r="Q556" s="29" t="s">
        <v>82</v>
      </c>
      <c r="R556" s="81"/>
      <c r="S556" s="48" t="s">
        <v>940</v>
      </c>
      <c r="T556" s="50"/>
      <c r="U556" s="30" t="s">
        <v>2621</v>
      </c>
      <c r="V556" s="58"/>
      <c r="W556" s="52"/>
      <c r="X556" s="193"/>
      <c r="Y556" s="206">
        <f>X556*0.1</f>
        <v>0</v>
      </c>
      <c r="Z556" s="193"/>
      <c r="AA556" s="193">
        <f>SUM(X556:Z556)</f>
        <v>0</v>
      </c>
      <c r="AB556" s="219"/>
    </row>
    <row r="557" spans="1:28" ht="18.600000000000001" thickBot="1">
      <c r="A557" s="250"/>
      <c r="B557" s="31" t="s">
        <v>1797</v>
      </c>
      <c r="C557" s="31">
        <v>35170</v>
      </c>
      <c r="D557" s="32" t="s">
        <v>2622</v>
      </c>
      <c r="E557" s="200"/>
      <c r="F557" s="43" t="s">
        <v>2623</v>
      </c>
      <c r="G557" s="38">
        <v>22436</v>
      </c>
      <c r="H557" s="202"/>
      <c r="I557" s="194"/>
      <c r="J557" s="194"/>
      <c r="K557" s="194"/>
      <c r="L557" s="194"/>
      <c r="M557" s="194"/>
      <c r="N557" s="194"/>
      <c r="O557" s="192"/>
      <c r="P557" s="55" t="s">
        <v>1998</v>
      </c>
      <c r="Q557" s="33" t="s">
        <v>86</v>
      </c>
      <c r="R557" s="34" t="s">
        <v>2624</v>
      </c>
      <c r="S557" s="44" t="s">
        <v>2237</v>
      </c>
      <c r="T557" s="46"/>
      <c r="U557" s="35" t="s">
        <v>2625</v>
      </c>
      <c r="V557" s="56"/>
      <c r="W557" s="46"/>
      <c r="X557" s="194"/>
      <c r="Y557" s="194"/>
      <c r="Z557" s="194"/>
      <c r="AA557" s="194"/>
      <c r="AB557" s="220"/>
    </row>
    <row r="558" spans="1:28" ht="18.600000000000001" thickTop="1">
      <c r="A558" s="249" t="s">
        <v>2626</v>
      </c>
      <c r="B558" s="26">
        <v>44919</v>
      </c>
      <c r="C558" s="36">
        <v>1670</v>
      </c>
      <c r="D558" s="28" t="s">
        <v>2507</v>
      </c>
      <c r="E558" s="199"/>
      <c r="F558" s="54" t="s">
        <v>2627</v>
      </c>
      <c r="G558" s="37"/>
      <c r="H558" s="201">
        <v>4.5</v>
      </c>
      <c r="I558" s="193">
        <v>1916000</v>
      </c>
      <c r="J558" s="193">
        <v>191600</v>
      </c>
      <c r="K558" s="193">
        <v>0</v>
      </c>
      <c r="L558" s="193">
        <v>20680</v>
      </c>
      <c r="M558" s="193">
        <v>13750</v>
      </c>
      <c r="N558" s="193">
        <f>SUM(I558:M559)</f>
        <v>2142030</v>
      </c>
      <c r="O558" s="191"/>
      <c r="P558" s="57" t="s">
        <v>2628</v>
      </c>
      <c r="Q558" s="29" t="s">
        <v>82</v>
      </c>
      <c r="R558" s="81"/>
      <c r="S558" s="48" t="s">
        <v>940</v>
      </c>
      <c r="T558" s="50"/>
      <c r="U558" s="30"/>
      <c r="V558" s="58"/>
      <c r="W558" s="52"/>
      <c r="X558" s="193"/>
      <c r="Y558" s="206">
        <f>X558*0.1</f>
        <v>0</v>
      </c>
      <c r="Z558" s="193"/>
      <c r="AA558" s="193">
        <f>SUM(X558:Z558)</f>
        <v>0</v>
      </c>
      <c r="AB558" s="219"/>
    </row>
    <row r="559" spans="1:28" ht="18.600000000000001" thickBot="1">
      <c r="A559" s="250"/>
      <c r="B559" s="31" t="s">
        <v>2629</v>
      </c>
      <c r="C559" s="31">
        <v>6025</v>
      </c>
      <c r="D559" s="32" t="s">
        <v>2630</v>
      </c>
      <c r="E559" s="200"/>
      <c r="F559" s="43" t="s">
        <v>2631</v>
      </c>
      <c r="G559" s="38">
        <v>46175</v>
      </c>
      <c r="H559" s="202"/>
      <c r="I559" s="194"/>
      <c r="J559" s="194"/>
      <c r="K559" s="194"/>
      <c r="L559" s="194"/>
      <c r="M559" s="194"/>
      <c r="N559" s="194"/>
      <c r="O559" s="192"/>
      <c r="P559" s="55" t="s">
        <v>2632</v>
      </c>
      <c r="Q559" s="33" t="s">
        <v>86</v>
      </c>
      <c r="R559" s="34" t="s">
        <v>2624</v>
      </c>
      <c r="S559" s="44" t="s">
        <v>128</v>
      </c>
      <c r="T559" s="46"/>
      <c r="U559" s="35"/>
      <c r="V559" s="56"/>
      <c r="W559" s="46"/>
      <c r="X559" s="194"/>
      <c r="Y559" s="194"/>
      <c r="Z559" s="194"/>
      <c r="AA559" s="194"/>
      <c r="AB559" s="220"/>
    </row>
    <row r="560" spans="1:28" ht="18.600000000000001" thickTop="1">
      <c r="A560" s="249" t="s">
        <v>2633</v>
      </c>
      <c r="B560" s="26">
        <v>44935</v>
      </c>
      <c r="C560" s="36"/>
      <c r="D560" s="28" t="s">
        <v>2634</v>
      </c>
      <c r="E560" s="199"/>
      <c r="F560" s="54" t="s">
        <v>2635</v>
      </c>
      <c r="G560" s="37" t="s">
        <v>1952</v>
      </c>
      <c r="H560" s="201">
        <v>3.5</v>
      </c>
      <c r="I560" s="193">
        <v>3590000</v>
      </c>
      <c r="J560" s="193">
        <v>359000</v>
      </c>
      <c r="K560" s="193">
        <v>0</v>
      </c>
      <c r="L560" s="193">
        <v>15120</v>
      </c>
      <c r="M560" s="193">
        <v>162450</v>
      </c>
      <c r="N560" s="193">
        <f>SUM(I560:M561)</f>
        <v>4126570</v>
      </c>
      <c r="O560" s="191"/>
      <c r="P560" s="57" t="s">
        <v>2636</v>
      </c>
      <c r="Q560" s="29" t="s">
        <v>82</v>
      </c>
      <c r="R560" s="81"/>
      <c r="S560" s="48" t="s">
        <v>1279</v>
      </c>
      <c r="T560" s="50"/>
      <c r="U560" s="30"/>
      <c r="V560" s="58"/>
      <c r="W560" s="52"/>
      <c r="X560" s="193"/>
      <c r="Y560" s="206">
        <f>X560*0.1</f>
        <v>0</v>
      </c>
      <c r="Z560" s="193"/>
      <c r="AA560" s="193">
        <f>SUM(X560:Z560)</f>
        <v>0</v>
      </c>
      <c r="AB560" s="219"/>
    </row>
    <row r="561" spans="1:28" ht="18.600000000000001" thickBot="1">
      <c r="A561" s="250"/>
      <c r="B561" s="31" t="s">
        <v>1985</v>
      </c>
      <c r="C561" s="31" t="s">
        <v>2637</v>
      </c>
      <c r="D561" s="32" t="s">
        <v>2089</v>
      </c>
      <c r="E561" s="200"/>
      <c r="F561" s="43" t="s">
        <v>2638</v>
      </c>
      <c r="G561" s="38">
        <v>54281</v>
      </c>
      <c r="H561" s="202"/>
      <c r="I561" s="194"/>
      <c r="J561" s="194"/>
      <c r="K561" s="194"/>
      <c r="L561" s="194"/>
      <c r="M561" s="194"/>
      <c r="N561" s="194"/>
      <c r="O561" s="192"/>
      <c r="P561" s="55" t="s">
        <v>2639</v>
      </c>
      <c r="Q561" s="33" t="s">
        <v>86</v>
      </c>
      <c r="R561" s="34" t="s">
        <v>2640</v>
      </c>
      <c r="S561" s="44" t="s">
        <v>2641</v>
      </c>
      <c r="T561" s="46"/>
      <c r="U561" s="35" t="s">
        <v>2642</v>
      </c>
      <c r="V561" s="56"/>
      <c r="W561" s="46"/>
      <c r="X561" s="194"/>
      <c r="Y561" s="194"/>
      <c r="Z561" s="194"/>
      <c r="AA561" s="194"/>
      <c r="AB561" s="220"/>
    </row>
    <row r="562" spans="1:28" ht="18.600000000000001" thickTop="1">
      <c r="A562" s="249" t="s">
        <v>2643</v>
      </c>
      <c r="B562" s="26">
        <v>44936</v>
      </c>
      <c r="C562" s="36">
        <v>929</v>
      </c>
      <c r="D562" s="28" t="s">
        <v>2644</v>
      </c>
      <c r="E562" s="199"/>
      <c r="F562" s="54" t="s">
        <v>2645</v>
      </c>
      <c r="G562" s="37" t="s">
        <v>2310</v>
      </c>
      <c r="H562" s="201">
        <v>4.5</v>
      </c>
      <c r="I562" s="193">
        <v>2310000</v>
      </c>
      <c r="J562" s="193">
        <v>231000</v>
      </c>
      <c r="K562" s="193">
        <v>6500</v>
      </c>
      <c r="L562" s="193">
        <v>20440</v>
      </c>
      <c r="M562" s="193">
        <v>13200</v>
      </c>
      <c r="N562" s="193">
        <f>SUM(I562:M563)</f>
        <v>2581140</v>
      </c>
      <c r="O562" s="191"/>
      <c r="P562" s="57" t="s">
        <v>2646</v>
      </c>
      <c r="Q562" s="29" t="s">
        <v>82</v>
      </c>
      <c r="R562" s="81"/>
      <c r="S562" s="48" t="s">
        <v>1596</v>
      </c>
      <c r="T562" s="50"/>
      <c r="U562" s="30"/>
      <c r="V562" s="58"/>
      <c r="W562" s="52"/>
      <c r="X562" s="193"/>
      <c r="Y562" s="206">
        <f>X562*0.1</f>
        <v>0</v>
      </c>
      <c r="Z562" s="193"/>
      <c r="AA562" s="193">
        <f>SUM(X562:Z562)</f>
        <v>0</v>
      </c>
      <c r="AB562" s="219"/>
    </row>
    <row r="563" spans="1:28" ht="18.600000000000001" thickBot="1">
      <c r="A563" s="250"/>
      <c r="B563" s="31" t="s">
        <v>1848</v>
      </c>
      <c r="C563" s="31">
        <v>82043</v>
      </c>
      <c r="D563" s="32" t="s">
        <v>2511</v>
      </c>
      <c r="E563" s="200"/>
      <c r="F563" s="43" t="s">
        <v>2647</v>
      </c>
      <c r="G563" s="38">
        <v>34277</v>
      </c>
      <c r="H563" s="202"/>
      <c r="I563" s="194"/>
      <c r="J563" s="194"/>
      <c r="K563" s="194"/>
      <c r="L563" s="194"/>
      <c r="M563" s="194"/>
      <c r="N563" s="194"/>
      <c r="O563" s="192"/>
      <c r="P563" s="55" t="s">
        <v>2648</v>
      </c>
      <c r="Q563" s="33" t="s">
        <v>86</v>
      </c>
      <c r="R563" s="34" t="s">
        <v>2092</v>
      </c>
      <c r="S563" s="44" t="s">
        <v>2649</v>
      </c>
      <c r="T563" s="46"/>
      <c r="U563" s="35" t="s">
        <v>2642</v>
      </c>
      <c r="V563" s="56"/>
      <c r="W563" s="46"/>
      <c r="X563" s="194"/>
      <c r="Y563" s="194"/>
      <c r="Z563" s="194"/>
      <c r="AA563" s="194"/>
      <c r="AB563" s="220"/>
    </row>
    <row r="564" spans="1:28" ht="18.600000000000001" thickTop="1">
      <c r="A564" s="249" t="s">
        <v>2650</v>
      </c>
      <c r="B564" s="26">
        <v>44939</v>
      </c>
      <c r="C564" s="36">
        <v>1971</v>
      </c>
      <c r="D564" s="28" t="s">
        <v>1950</v>
      </c>
      <c r="E564" s="199"/>
      <c r="F564" s="54" t="s">
        <v>2439</v>
      </c>
      <c r="G564" s="37"/>
      <c r="H564" s="201">
        <v>4.5</v>
      </c>
      <c r="I564" s="193">
        <v>2100000</v>
      </c>
      <c r="J564" s="193">
        <v>210000</v>
      </c>
      <c r="K564" s="193">
        <v>0</v>
      </c>
      <c r="L564" s="193">
        <v>20680</v>
      </c>
      <c r="M564" s="193">
        <v>13200</v>
      </c>
      <c r="N564" s="193">
        <f>SUM(I564:M565)</f>
        <v>2343880</v>
      </c>
      <c r="O564" s="191"/>
      <c r="P564" s="57" t="s">
        <v>2651</v>
      </c>
      <c r="Q564" s="29" t="s">
        <v>82</v>
      </c>
      <c r="R564" s="81"/>
      <c r="S564" s="48" t="s">
        <v>940</v>
      </c>
      <c r="T564" s="50"/>
      <c r="U564" s="30"/>
      <c r="V564" s="58"/>
      <c r="W564" s="52"/>
      <c r="X564" s="193"/>
      <c r="Y564" s="206">
        <f>X564*0.1</f>
        <v>0</v>
      </c>
      <c r="Z564" s="193"/>
      <c r="AA564" s="193">
        <f>SUM(X564:Z564)</f>
        <v>0</v>
      </c>
      <c r="AB564" s="219"/>
    </row>
    <row r="565" spans="1:28" ht="18.600000000000001" thickBot="1">
      <c r="A565" s="250"/>
      <c r="B565" s="31" t="s">
        <v>1797</v>
      </c>
      <c r="C565" s="31">
        <v>58389</v>
      </c>
      <c r="D565" s="32" t="s">
        <v>1849</v>
      </c>
      <c r="E565" s="200"/>
      <c r="F565" s="43" t="s">
        <v>2652</v>
      </c>
      <c r="G565" s="38">
        <v>45600</v>
      </c>
      <c r="H565" s="202"/>
      <c r="I565" s="194"/>
      <c r="J565" s="194"/>
      <c r="K565" s="194"/>
      <c r="L565" s="194"/>
      <c r="M565" s="194"/>
      <c r="N565" s="194"/>
      <c r="O565" s="192"/>
      <c r="P565" s="55" t="s">
        <v>2653</v>
      </c>
      <c r="Q565" s="33" t="s">
        <v>86</v>
      </c>
      <c r="R565" s="34" t="s">
        <v>2654</v>
      </c>
      <c r="S565" s="44" t="s">
        <v>2655</v>
      </c>
      <c r="T565" s="46"/>
      <c r="U565" s="35"/>
      <c r="V565" s="56"/>
      <c r="W565" s="46"/>
      <c r="X565" s="194"/>
      <c r="Y565" s="194"/>
      <c r="Z565" s="194"/>
      <c r="AA565" s="194"/>
      <c r="AB565" s="220"/>
    </row>
    <row r="566" spans="1:28" ht="18.600000000000001" thickTop="1">
      <c r="A566" s="249" t="s">
        <v>2656</v>
      </c>
      <c r="B566" s="26">
        <v>44947</v>
      </c>
      <c r="C566" s="36">
        <v>1138</v>
      </c>
      <c r="D566" s="28" t="s">
        <v>1901</v>
      </c>
      <c r="E566" s="199"/>
      <c r="F566" s="54" t="s">
        <v>2657</v>
      </c>
      <c r="G566" s="37" t="s">
        <v>2397</v>
      </c>
      <c r="H566" s="201">
        <v>4.5</v>
      </c>
      <c r="I566" s="193">
        <v>1895000</v>
      </c>
      <c r="J566" s="193">
        <v>189500</v>
      </c>
      <c r="K566" s="193">
        <v>6500</v>
      </c>
      <c r="L566" s="193">
        <v>17700</v>
      </c>
      <c r="M566" s="193">
        <v>13200</v>
      </c>
      <c r="N566" s="193">
        <f>SUM(I566:M567)</f>
        <v>2121900</v>
      </c>
      <c r="O566" s="191"/>
      <c r="P566" s="57" t="s">
        <v>2658</v>
      </c>
      <c r="Q566" s="29" t="s">
        <v>82</v>
      </c>
      <c r="R566" s="81"/>
      <c r="S566" s="48"/>
      <c r="T566" s="50"/>
      <c r="U566" s="30" t="s">
        <v>2659</v>
      </c>
      <c r="V566" s="58"/>
      <c r="W566" s="52"/>
      <c r="X566" s="193"/>
      <c r="Y566" s="206">
        <f>X566*0.1</f>
        <v>0</v>
      </c>
      <c r="Z566" s="193"/>
      <c r="AA566" s="193">
        <f>SUM(X566:Z566)</f>
        <v>0</v>
      </c>
      <c r="AB566" s="219"/>
    </row>
    <row r="567" spans="1:28" ht="18.600000000000001" thickBot="1">
      <c r="A567" s="250"/>
      <c r="B567" s="31" t="s">
        <v>1823</v>
      </c>
      <c r="C567" s="31">
        <v>82139</v>
      </c>
      <c r="D567" s="32" t="s">
        <v>1859</v>
      </c>
      <c r="E567" s="200"/>
      <c r="F567" s="43" t="s">
        <v>2660</v>
      </c>
      <c r="G567" s="38">
        <v>32287</v>
      </c>
      <c r="H567" s="202"/>
      <c r="I567" s="194"/>
      <c r="J567" s="194"/>
      <c r="K567" s="194"/>
      <c r="L567" s="194"/>
      <c r="M567" s="194"/>
      <c r="N567" s="194"/>
      <c r="O567" s="192"/>
      <c r="P567" s="55" t="s">
        <v>568</v>
      </c>
      <c r="Q567" s="33" t="s">
        <v>86</v>
      </c>
      <c r="R567" s="34" t="s">
        <v>2661</v>
      </c>
      <c r="S567" s="44" t="s">
        <v>287</v>
      </c>
      <c r="T567" s="46"/>
      <c r="U567" s="142" t="s">
        <v>153</v>
      </c>
      <c r="V567" s="56"/>
      <c r="W567" s="46"/>
      <c r="X567" s="194"/>
      <c r="Y567" s="194"/>
      <c r="Z567" s="194"/>
      <c r="AA567" s="194"/>
      <c r="AB567" s="220"/>
    </row>
    <row r="568" spans="1:28" ht="18.600000000000001" thickTop="1">
      <c r="A568" s="249" t="s">
        <v>2662</v>
      </c>
      <c r="B568" s="26">
        <v>44953</v>
      </c>
      <c r="C568" s="36">
        <v>1973</v>
      </c>
      <c r="D568" s="28" t="s">
        <v>1865</v>
      </c>
      <c r="E568" s="199"/>
      <c r="F568" s="54" t="s">
        <v>2663</v>
      </c>
      <c r="G568" s="37" t="s">
        <v>2221</v>
      </c>
      <c r="H568" s="201">
        <v>4.5</v>
      </c>
      <c r="I568" s="193">
        <v>2085000</v>
      </c>
      <c r="J568" s="193">
        <v>208500</v>
      </c>
      <c r="K568" s="193">
        <v>6500</v>
      </c>
      <c r="L568" s="193">
        <v>20680</v>
      </c>
      <c r="M568" s="193">
        <v>13200</v>
      </c>
      <c r="N568" s="193">
        <f>SUM(I568:M569)</f>
        <v>2333880</v>
      </c>
      <c r="O568" s="191"/>
      <c r="P568" s="57" t="s">
        <v>2664</v>
      </c>
      <c r="Q568" s="29" t="s">
        <v>82</v>
      </c>
      <c r="R568" s="81"/>
      <c r="S568" s="48" t="s">
        <v>940</v>
      </c>
      <c r="T568" s="50"/>
      <c r="U568" s="30" t="s">
        <v>2665</v>
      </c>
      <c r="V568" s="58"/>
      <c r="W568" s="52"/>
      <c r="X568" s="193"/>
      <c r="Y568" s="206">
        <f>X568*0.1</f>
        <v>0</v>
      </c>
      <c r="Z568" s="193"/>
      <c r="AA568" s="193">
        <f>SUM(X568:Z568)</f>
        <v>0</v>
      </c>
      <c r="AB568" s="219"/>
    </row>
    <row r="569" spans="1:28" ht="18.600000000000001" thickBot="1">
      <c r="A569" s="250"/>
      <c r="B569" s="31" t="s">
        <v>1797</v>
      </c>
      <c r="C569" s="31">
        <v>58347</v>
      </c>
      <c r="D569" s="32" t="s">
        <v>399</v>
      </c>
      <c r="E569" s="200"/>
      <c r="F569" s="43" t="s">
        <v>2666</v>
      </c>
      <c r="G569" s="38">
        <v>28252</v>
      </c>
      <c r="H569" s="202"/>
      <c r="I569" s="194"/>
      <c r="J569" s="194"/>
      <c r="K569" s="194"/>
      <c r="L569" s="194"/>
      <c r="M569" s="194"/>
      <c r="N569" s="194"/>
      <c r="O569" s="192"/>
      <c r="P569" s="55" t="s">
        <v>2667</v>
      </c>
      <c r="Q569" s="33" t="s">
        <v>86</v>
      </c>
      <c r="R569" s="34" t="s">
        <v>1001</v>
      </c>
      <c r="S569" s="44" t="s">
        <v>96</v>
      </c>
      <c r="T569" s="46"/>
      <c r="U569" s="35" t="s">
        <v>153</v>
      </c>
      <c r="V569" s="56"/>
      <c r="W569" s="46"/>
      <c r="X569" s="194"/>
      <c r="Y569" s="194"/>
      <c r="Z569" s="194"/>
      <c r="AA569" s="194"/>
      <c r="AB569" s="220"/>
    </row>
    <row r="570" spans="1:28" ht="18.600000000000001" thickTop="1">
      <c r="A570" s="249" t="s">
        <v>2668</v>
      </c>
      <c r="B570" s="26">
        <v>44954</v>
      </c>
      <c r="C570" s="36">
        <v>1382</v>
      </c>
      <c r="D570" s="28" t="s">
        <v>2669</v>
      </c>
      <c r="E570" s="199"/>
      <c r="F570" s="54" t="s">
        <v>2670</v>
      </c>
      <c r="G570" s="37"/>
      <c r="H570" s="201">
        <v>4.5</v>
      </c>
      <c r="I570" s="193">
        <v>3400000</v>
      </c>
      <c r="J570" s="193">
        <v>340000</v>
      </c>
      <c r="K570" s="193">
        <v>0</v>
      </c>
      <c r="L570" s="193">
        <v>27730</v>
      </c>
      <c r="M570" s="193">
        <v>24200</v>
      </c>
      <c r="N570" s="193">
        <f>SUM(I570:M571)</f>
        <v>3791930</v>
      </c>
      <c r="O570" s="191"/>
      <c r="P570" s="57" t="s">
        <v>2671</v>
      </c>
      <c r="Q570" s="29" t="s">
        <v>82</v>
      </c>
      <c r="R570" s="81"/>
      <c r="S570" s="48" t="s">
        <v>940</v>
      </c>
      <c r="T570" s="50"/>
      <c r="U570" s="30"/>
      <c r="V570" s="58"/>
      <c r="W570" s="52"/>
      <c r="X570" s="193"/>
      <c r="Y570" s="206">
        <f>X570*0.1</f>
        <v>0</v>
      </c>
      <c r="Z570" s="193"/>
      <c r="AA570" s="193">
        <f>SUM(X570:Z570)</f>
        <v>0</v>
      </c>
      <c r="AB570" s="219"/>
    </row>
    <row r="571" spans="1:28" ht="18.600000000000001" thickBot="1">
      <c r="A571" s="250"/>
      <c r="B571" s="31" t="s">
        <v>1810</v>
      </c>
      <c r="C571" s="31">
        <v>83030</v>
      </c>
      <c r="D571" s="32" t="s">
        <v>2672</v>
      </c>
      <c r="E571" s="200"/>
      <c r="F571" s="43" t="s">
        <v>2673</v>
      </c>
      <c r="G571" s="38">
        <v>49265</v>
      </c>
      <c r="H571" s="202"/>
      <c r="I571" s="194"/>
      <c r="J571" s="194"/>
      <c r="K571" s="194"/>
      <c r="L571" s="194"/>
      <c r="M571" s="194"/>
      <c r="N571" s="194"/>
      <c r="O571" s="192"/>
      <c r="P571" s="55" t="s">
        <v>2674</v>
      </c>
      <c r="Q571" s="33" t="s">
        <v>86</v>
      </c>
      <c r="R571" s="34" t="s">
        <v>1001</v>
      </c>
      <c r="S571" s="44" t="s">
        <v>2675</v>
      </c>
      <c r="T571" s="46"/>
      <c r="U571" s="35"/>
      <c r="V571" s="56"/>
      <c r="W571" s="46"/>
      <c r="X571" s="194"/>
      <c r="Y571" s="194"/>
      <c r="Z571" s="194"/>
      <c r="AA571" s="194"/>
      <c r="AB571" s="220"/>
    </row>
    <row r="572" spans="1:28" ht="18.600000000000001" thickTop="1">
      <c r="A572" s="249" t="s">
        <v>2676</v>
      </c>
      <c r="B572" s="26">
        <v>44956</v>
      </c>
      <c r="C572" s="36">
        <v>1931</v>
      </c>
      <c r="D572" s="28" t="s">
        <v>2677</v>
      </c>
      <c r="E572" s="199"/>
      <c r="F572" s="54" t="s">
        <v>2678</v>
      </c>
      <c r="G572" s="37" t="s">
        <v>2342</v>
      </c>
      <c r="H572" s="201">
        <v>4.5</v>
      </c>
      <c r="I572" s="193">
        <v>2615000</v>
      </c>
      <c r="J572" s="193">
        <v>261500</v>
      </c>
      <c r="K572" s="193">
        <v>6000</v>
      </c>
      <c r="L572" s="193">
        <v>17600</v>
      </c>
      <c r="M572" s="193">
        <v>11000</v>
      </c>
      <c r="N572" s="193">
        <f>SUM(I572:M573)</f>
        <v>2911100</v>
      </c>
      <c r="O572" s="191"/>
      <c r="P572" s="57" t="s">
        <v>2679</v>
      </c>
      <c r="Q572" s="29" t="s">
        <v>82</v>
      </c>
      <c r="R572" s="81"/>
      <c r="S572" s="48" t="s">
        <v>2387</v>
      </c>
      <c r="T572" s="50"/>
      <c r="U572" s="30"/>
      <c r="V572" s="58"/>
      <c r="W572" s="52"/>
      <c r="X572" s="193"/>
      <c r="Y572" s="206">
        <f>X572*0.1</f>
        <v>0</v>
      </c>
      <c r="Z572" s="193"/>
      <c r="AA572" s="193">
        <f>SUM(X572:Z572)</f>
        <v>0</v>
      </c>
      <c r="AB572" s="219"/>
    </row>
    <row r="573" spans="1:28" ht="18.600000000000001" thickBot="1">
      <c r="A573" s="250"/>
      <c r="B573" s="31" t="s">
        <v>189</v>
      </c>
      <c r="C573" s="31">
        <v>34001</v>
      </c>
      <c r="D573" s="32" t="s">
        <v>244</v>
      </c>
      <c r="E573" s="200"/>
      <c r="F573" s="43" t="s">
        <v>2680</v>
      </c>
      <c r="G573" s="38">
        <v>15995</v>
      </c>
      <c r="H573" s="202"/>
      <c r="I573" s="194"/>
      <c r="J573" s="194"/>
      <c r="K573" s="194"/>
      <c r="L573" s="194"/>
      <c r="M573" s="194"/>
      <c r="N573" s="194"/>
      <c r="O573" s="192"/>
      <c r="P573" s="55" t="s">
        <v>417</v>
      </c>
      <c r="Q573" s="33" t="s">
        <v>86</v>
      </c>
      <c r="R573" s="34" t="s">
        <v>2677</v>
      </c>
      <c r="S573" s="44" t="s">
        <v>1872</v>
      </c>
      <c r="T573" s="46"/>
      <c r="U573" s="35" t="s">
        <v>2681</v>
      </c>
      <c r="V573" s="56"/>
      <c r="W573" s="46"/>
      <c r="X573" s="194"/>
      <c r="Y573" s="194"/>
      <c r="Z573" s="194"/>
      <c r="AA573" s="194"/>
      <c r="AB573" s="220"/>
    </row>
    <row r="574" spans="1:28" ht="18.600000000000001" thickTop="1">
      <c r="A574" s="249" t="s">
        <v>2682</v>
      </c>
      <c r="B574" s="26">
        <v>44966</v>
      </c>
      <c r="C574" s="36">
        <v>1171</v>
      </c>
      <c r="D574" s="28" t="s">
        <v>2050</v>
      </c>
      <c r="E574" s="199"/>
      <c r="F574" s="54" t="s">
        <v>2683</v>
      </c>
      <c r="G574" s="37" t="s">
        <v>2130</v>
      </c>
      <c r="H574" s="201">
        <v>4.5</v>
      </c>
      <c r="I574" s="193">
        <v>1550000</v>
      </c>
      <c r="J574" s="193">
        <v>155000</v>
      </c>
      <c r="K574" s="193">
        <v>3200</v>
      </c>
      <c r="L574" s="193">
        <v>22240</v>
      </c>
      <c r="M574" s="193">
        <v>22000</v>
      </c>
      <c r="N574" s="193">
        <f>SUM(I574:M575)</f>
        <v>1752440</v>
      </c>
      <c r="O574" s="191"/>
      <c r="P574" s="57" t="s">
        <v>2684</v>
      </c>
      <c r="Q574" s="29" t="s">
        <v>82</v>
      </c>
      <c r="R574" s="81"/>
      <c r="S574" s="48" t="s">
        <v>1494</v>
      </c>
      <c r="T574" s="50"/>
      <c r="U574" s="30"/>
      <c r="V574" s="58"/>
      <c r="W574" s="52"/>
      <c r="X574" s="193"/>
      <c r="Y574" s="206">
        <f>X574*0.1</f>
        <v>0</v>
      </c>
      <c r="Z574" s="193"/>
      <c r="AA574" s="193">
        <f>SUM(X574:Z574)</f>
        <v>0</v>
      </c>
      <c r="AB574" s="219"/>
    </row>
    <row r="575" spans="1:28" ht="18.600000000000001" thickBot="1">
      <c r="A575" s="250"/>
      <c r="B575" s="31" t="s">
        <v>2017</v>
      </c>
      <c r="C575" s="31">
        <v>249</v>
      </c>
      <c r="D575" s="32" t="s">
        <v>2685</v>
      </c>
      <c r="E575" s="200"/>
      <c r="F575" s="43" t="s">
        <v>2686</v>
      </c>
      <c r="G575" s="38">
        <v>46878</v>
      </c>
      <c r="H575" s="202"/>
      <c r="I575" s="194"/>
      <c r="J575" s="194"/>
      <c r="K575" s="194"/>
      <c r="L575" s="194"/>
      <c r="M575" s="194"/>
      <c r="N575" s="194"/>
      <c r="O575" s="192"/>
      <c r="P575" s="55" t="s">
        <v>2687</v>
      </c>
      <c r="Q575" s="33" t="s">
        <v>86</v>
      </c>
      <c r="R575" s="34" t="s">
        <v>2688</v>
      </c>
      <c r="S575" s="44" t="s">
        <v>96</v>
      </c>
      <c r="T575" s="46"/>
      <c r="U575" s="35" t="s">
        <v>153</v>
      </c>
      <c r="V575" s="56"/>
      <c r="W575" s="46"/>
      <c r="X575" s="194"/>
      <c r="Y575" s="194"/>
      <c r="Z575" s="194"/>
      <c r="AA575" s="194"/>
      <c r="AB575" s="220"/>
    </row>
    <row r="576" spans="1:28" ht="18.600000000000001" thickTop="1">
      <c r="A576" s="249" t="s">
        <v>2699</v>
      </c>
      <c r="B576" s="26">
        <v>44975</v>
      </c>
      <c r="C576" s="36">
        <v>1142</v>
      </c>
      <c r="D576" s="28" t="s">
        <v>2700</v>
      </c>
      <c r="E576" s="199"/>
      <c r="F576" s="54" t="s">
        <v>2701</v>
      </c>
      <c r="G576" s="37"/>
      <c r="H576" s="201">
        <v>4.5</v>
      </c>
      <c r="I576" s="193">
        <v>3460000</v>
      </c>
      <c r="J576" s="193">
        <v>346000</v>
      </c>
      <c r="K576" s="193">
        <v>0</v>
      </c>
      <c r="L576" s="193">
        <v>21930</v>
      </c>
      <c r="M576" s="193">
        <v>13200</v>
      </c>
      <c r="N576" s="193">
        <f>SUM(I576:M577)</f>
        <v>3841130</v>
      </c>
      <c r="O576" s="191"/>
      <c r="P576" s="57" t="s">
        <v>2702</v>
      </c>
      <c r="Q576" s="29" t="s">
        <v>82</v>
      </c>
      <c r="R576" s="81"/>
      <c r="S576" s="48" t="s">
        <v>1868</v>
      </c>
      <c r="T576" s="50"/>
      <c r="U576" s="30"/>
      <c r="V576" s="58"/>
      <c r="W576" s="52"/>
      <c r="X576" s="193"/>
      <c r="Y576" s="206">
        <f>X576*0.1</f>
        <v>0</v>
      </c>
      <c r="Z576" s="193"/>
      <c r="AA576" s="193">
        <f>SUM(X576:Z576)</f>
        <v>0</v>
      </c>
      <c r="AB576" s="219"/>
    </row>
    <row r="577" spans="1:28" ht="18.600000000000001" thickBot="1">
      <c r="A577" s="250"/>
      <c r="B577" s="31" t="s">
        <v>1823</v>
      </c>
      <c r="C577" s="31">
        <v>82139</v>
      </c>
      <c r="D577" s="32" t="s">
        <v>2433</v>
      </c>
      <c r="E577" s="200"/>
      <c r="F577" s="43" t="s">
        <v>2703</v>
      </c>
      <c r="G577" s="38">
        <v>37505</v>
      </c>
      <c r="H577" s="202"/>
      <c r="I577" s="194"/>
      <c r="J577" s="194"/>
      <c r="K577" s="194"/>
      <c r="L577" s="194"/>
      <c r="M577" s="194"/>
      <c r="N577" s="194"/>
      <c r="O577" s="192"/>
      <c r="P577" s="55" t="s">
        <v>2704</v>
      </c>
      <c r="Q577" s="33" t="s">
        <v>86</v>
      </c>
      <c r="R577" s="34" t="s">
        <v>2705</v>
      </c>
      <c r="S577" s="44" t="s">
        <v>96</v>
      </c>
      <c r="T577" s="46"/>
      <c r="U577" s="35"/>
      <c r="V577" s="56"/>
      <c r="W577" s="46"/>
      <c r="X577" s="194"/>
      <c r="Y577" s="194"/>
      <c r="Z577" s="194"/>
      <c r="AA577" s="194"/>
      <c r="AB577" s="220"/>
    </row>
    <row r="578" spans="1:28" ht="18.600000000000001" thickTop="1">
      <c r="A578" s="249" t="s">
        <v>2706</v>
      </c>
      <c r="B578" s="26">
        <v>44981</v>
      </c>
      <c r="C578" s="36">
        <v>1048</v>
      </c>
      <c r="D578" s="28" t="s">
        <v>2462</v>
      </c>
      <c r="E578" s="199"/>
      <c r="F578" s="54" t="s">
        <v>2707</v>
      </c>
      <c r="G578" s="37" t="s">
        <v>2708</v>
      </c>
      <c r="H578" s="201">
        <v>4.5</v>
      </c>
      <c r="I578" s="193">
        <v>2195000</v>
      </c>
      <c r="J578" s="193">
        <v>219500</v>
      </c>
      <c r="K578" s="193">
        <v>3200</v>
      </c>
      <c r="L578" s="193">
        <v>21220</v>
      </c>
      <c r="M578" s="193">
        <v>13200</v>
      </c>
      <c r="N578" s="193">
        <f>SUM(I578:M579)</f>
        <v>2452120</v>
      </c>
      <c r="O578" s="191"/>
      <c r="P578" s="57" t="s">
        <v>2709</v>
      </c>
      <c r="Q578" s="29" t="s">
        <v>82</v>
      </c>
      <c r="R578" s="81"/>
      <c r="S578" s="48"/>
      <c r="T578" s="50"/>
      <c r="U578" s="30"/>
      <c r="V578" s="58"/>
      <c r="W578" s="52"/>
      <c r="X578" s="193"/>
      <c r="Y578" s="206">
        <f>X578*0.1</f>
        <v>0</v>
      </c>
      <c r="Z578" s="193"/>
      <c r="AA578" s="193">
        <f>SUM(X578:Z578)</f>
        <v>0</v>
      </c>
      <c r="AB578" s="219"/>
    </row>
    <row r="579" spans="1:28" ht="18.600000000000001" thickBot="1">
      <c r="A579" s="250"/>
      <c r="B579" s="31" t="s">
        <v>2108</v>
      </c>
      <c r="C579" s="31">
        <v>88042</v>
      </c>
      <c r="D579" s="32" t="s">
        <v>244</v>
      </c>
      <c r="E579" s="200"/>
      <c r="F579" s="43" t="s">
        <v>2710</v>
      </c>
      <c r="G579" s="38">
        <v>36460</v>
      </c>
      <c r="H579" s="202"/>
      <c r="I579" s="194"/>
      <c r="J579" s="194"/>
      <c r="K579" s="194"/>
      <c r="L579" s="194"/>
      <c r="M579" s="194"/>
      <c r="N579" s="194"/>
      <c r="O579" s="192"/>
      <c r="P579" s="55" t="s">
        <v>2711</v>
      </c>
      <c r="Q579" s="33" t="s">
        <v>86</v>
      </c>
      <c r="R579" s="34" t="s">
        <v>2712</v>
      </c>
      <c r="S579" s="44" t="s">
        <v>2713</v>
      </c>
      <c r="T579" s="46"/>
      <c r="U579" s="35" t="s">
        <v>1100</v>
      </c>
      <c r="V579" s="56"/>
      <c r="W579" s="46"/>
      <c r="X579" s="194"/>
      <c r="Y579" s="194"/>
      <c r="Z579" s="194"/>
      <c r="AA579" s="194"/>
      <c r="AB579" s="220"/>
    </row>
    <row r="580" spans="1:28" ht="18.600000000000001" thickTop="1">
      <c r="A580" s="249" t="s">
        <v>2714</v>
      </c>
      <c r="B580" s="26">
        <v>44995</v>
      </c>
      <c r="C580" s="36"/>
      <c r="D580" s="28" t="s">
        <v>2715</v>
      </c>
      <c r="E580" s="199"/>
      <c r="F580" s="54" t="s">
        <v>2716</v>
      </c>
      <c r="G580" s="37" t="s">
        <v>2717</v>
      </c>
      <c r="H580" s="201">
        <v>4</v>
      </c>
      <c r="I580" s="193">
        <v>3015000</v>
      </c>
      <c r="J580" s="193">
        <v>301500</v>
      </c>
      <c r="K580" s="193">
        <v>0</v>
      </c>
      <c r="L580" s="193">
        <v>14840</v>
      </c>
      <c r="M580" s="193">
        <v>29137</v>
      </c>
      <c r="N580" s="193">
        <f>SUM(I580:M581)</f>
        <v>3360477</v>
      </c>
      <c r="O580" s="191"/>
      <c r="P580" s="57" t="s">
        <v>2718</v>
      </c>
      <c r="Q580" s="29" t="s">
        <v>82</v>
      </c>
      <c r="R580" s="81"/>
      <c r="S580" s="48" t="s">
        <v>1596</v>
      </c>
      <c r="T580" s="50"/>
      <c r="U580" s="30"/>
      <c r="V580" s="58"/>
      <c r="W580" s="52"/>
      <c r="X580" s="193"/>
      <c r="Y580" s="206">
        <f>X580*0.1</f>
        <v>0</v>
      </c>
      <c r="Z580" s="193"/>
      <c r="AA580" s="193">
        <f>SUM(X580:Z580)</f>
        <v>0</v>
      </c>
      <c r="AB580" s="219"/>
    </row>
    <row r="581" spans="1:28" ht="18.600000000000001" thickBot="1">
      <c r="A581" s="250"/>
      <c r="B581" s="31" t="s">
        <v>2719</v>
      </c>
      <c r="C581" s="31" t="s">
        <v>2720</v>
      </c>
      <c r="D581" s="32" t="s">
        <v>244</v>
      </c>
      <c r="E581" s="200"/>
      <c r="F581" s="43" t="s">
        <v>2721</v>
      </c>
      <c r="G581" s="38">
        <v>41495</v>
      </c>
      <c r="H581" s="202"/>
      <c r="I581" s="194"/>
      <c r="J581" s="194"/>
      <c r="K581" s="194"/>
      <c r="L581" s="194"/>
      <c r="M581" s="194"/>
      <c r="N581" s="194"/>
      <c r="O581" s="192"/>
      <c r="P581" s="55" t="s">
        <v>2722</v>
      </c>
      <c r="Q581" s="33" t="s">
        <v>86</v>
      </c>
      <c r="R581" s="34" t="s">
        <v>2723</v>
      </c>
      <c r="S581" s="44" t="s">
        <v>2724</v>
      </c>
      <c r="T581" s="46"/>
      <c r="U581" s="35"/>
      <c r="V581" s="56"/>
      <c r="W581" s="46"/>
      <c r="X581" s="194"/>
      <c r="Y581" s="194"/>
      <c r="Z581" s="194"/>
      <c r="AA581" s="194"/>
      <c r="AB581" s="220"/>
    </row>
    <row r="582" spans="1:28" ht="18.600000000000001" thickTop="1">
      <c r="A582" s="249" t="s">
        <v>2725</v>
      </c>
      <c r="B582" s="26">
        <v>44996</v>
      </c>
      <c r="C582" s="36">
        <v>1145</v>
      </c>
      <c r="D582" s="28" t="s">
        <v>2726</v>
      </c>
      <c r="E582" s="199"/>
      <c r="F582" s="54" t="s">
        <v>2727</v>
      </c>
      <c r="G582" s="37" t="s">
        <v>2543</v>
      </c>
      <c r="H582" s="201">
        <v>4.5</v>
      </c>
      <c r="I582" s="193">
        <v>2365000</v>
      </c>
      <c r="J582" s="193">
        <v>236500</v>
      </c>
      <c r="K582" s="193">
        <v>88000</v>
      </c>
      <c r="L582" s="193">
        <v>18730</v>
      </c>
      <c r="M582" s="193">
        <v>13200</v>
      </c>
      <c r="N582" s="193">
        <f>SUM(I582:M583)</f>
        <v>2721430</v>
      </c>
      <c r="O582" s="191"/>
      <c r="P582" s="57" t="s">
        <v>2728</v>
      </c>
      <c r="Q582" s="29" t="s">
        <v>82</v>
      </c>
      <c r="R582" s="81"/>
      <c r="S582" s="48"/>
      <c r="T582" s="50"/>
      <c r="U582" s="30"/>
      <c r="V582" s="58"/>
      <c r="W582" s="52"/>
      <c r="X582" s="193"/>
      <c r="Y582" s="206">
        <f>X582*0.1</f>
        <v>0</v>
      </c>
      <c r="Z582" s="193"/>
      <c r="AA582" s="193">
        <f>SUM(X582:Z582)</f>
        <v>0</v>
      </c>
      <c r="AB582" s="219"/>
    </row>
    <row r="583" spans="1:28" ht="18.600000000000001" thickBot="1">
      <c r="A583" s="250"/>
      <c r="B583" s="31" t="s">
        <v>1823</v>
      </c>
      <c r="C583" s="31">
        <v>82571</v>
      </c>
      <c r="D583" s="32" t="s">
        <v>399</v>
      </c>
      <c r="E583" s="200"/>
      <c r="F583" s="43" t="s">
        <v>2729</v>
      </c>
      <c r="G583" s="38">
        <v>23270</v>
      </c>
      <c r="H583" s="202"/>
      <c r="I583" s="194"/>
      <c r="J583" s="194"/>
      <c r="K583" s="194"/>
      <c r="L583" s="194"/>
      <c r="M583" s="194"/>
      <c r="N583" s="194"/>
      <c r="O583" s="192"/>
      <c r="P583" s="55" t="s">
        <v>2730</v>
      </c>
      <c r="Q583" s="33" t="s">
        <v>86</v>
      </c>
      <c r="R583" s="34" t="s">
        <v>2731</v>
      </c>
      <c r="S583" s="44" t="s">
        <v>2732</v>
      </c>
      <c r="T583" s="46"/>
      <c r="U583" s="35" t="s">
        <v>1100</v>
      </c>
      <c r="V583" s="56"/>
      <c r="W583" s="46"/>
      <c r="X583" s="194"/>
      <c r="Y583" s="194"/>
      <c r="Z583" s="194"/>
      <c r="AA583" s="194"/>
      <c r="AB583" s="220"/>
    </row>
    <row r="584" spans="1:28" ht="18.600000000000001" thickTop="1">
      <c r="A584" s="249" t="s">
        <v>2733</v>
      </c>
      <c r="B584" s="26">
        <v>44999</v>
      </c>
      <c r="C584" s="36">
        <v>1085</v>
      </c>
      <c r="D584" s="28" t="s">
        <v>2526</v>
      </c>
      <c r="E584" s="199"/>
      <c r="F584" s="54" t="s">
        <v>2734</v>
      </c>
      <c r="G584" s="37"/>
      <c r="H584" s="201">
        <v>4.5</v>
      </c>
      <c r="I584" s="193">
        <v>2288000</v>
      </c>
      <c r="J584" s="193">
        <v>228800</v>
      </c>
      <c r="K584" s="193">
        <v>0</v>
      </c>
      <c r="L584" s="193">
        <v>19090</v>
      </c>
      <c r="M584" s="193">
        <v>15950</v>
      </c>
      <c r="N584" s="193">
        <f>SUM(I584:M585)</f>
        <v>2551840</v>
      </c>
      <c r="O584" s="191"/>
      <c r="P584" s="57" t="s">
        <v>2735</v>
      </c>
      <c r="Q584" s="29" t="s">
        <v>82</v>
      </c>
      <c r="R584" s="81"/>
      <c r="S584" s="48"/>
      <c r="T584" s="50"/>
      <c r="U584" s="30"/>
      <c r="V584" s="58"/>
      <c r="W584" s="52"/>
      <c r="X584" s="193"/>
      <c r="Y584" s="206">
        <f>X584*0.1</f>
        <v>0</v>
      </c>
      <c r="Z584" s="193"/>
      <c r="AA584" s="193">
        <f>SUM(X584:Z584)</f>
        <v>0</v>
      </c>
      <c r="AB584" s="219"/>
    </row>
    <row r="585" spans="1:28" ht="18.600000000000001" thickBot="1">
      <c r="A585" s="250"/>
      <c r="B585" s="31" t="s">
        <v>2736</v>
      </c>
      <c r="C585" s="31">
        <v>30041</v>
      </c>
      <c r="D585" s="32" t="s">
        <v>2089</v>
      </c>
      <c r="E585" s="200"/>
      <c r="F585" s="43" t="s">
        <v>2737</v>
      </c>
      <c r="G585" s="38">
        <v>16771</v>
      </c>
      <c r="H585" s="202"/>
      <c r="I585" s="194"/>
      <c r="J585" s="194"/>
      <c r="K585" s="194"/>
      <c r="L585" s="194"/>
      <c r="M585" s="194"/>
      <c r="N585" s="194"/>
      <c r="O585" s="192"/>
      <c r="P585" s="55" t="s">
        <v>2738</v>
      </c>
      <c r="Q585" s="33" t="s">
        <v>86</v>
      </c>
      <c r="R585" s="34" t="s">
        <v>2739</v>
      </c>
      <c r="S585" s="44" t="s">
        <v>2101</v>
      </c>
      <c r="T585" s="46"/>
      <c r="U585" s="35"/>
      <c r="V585" s="56"/>
      <c r="W585" s="46"/>
      <c r="X585" s="194"/>
      <c r="Y585" s="194"/>
      <c r="Z585" s="194"/>
      <c r="AA585" s="194"/>
      <c r="AB585" s="220"/>
    </row>
    <row r="586" spans="1:28" ht="18.600000000000001" thickTop="1">
      <c r="A586" s="249" t="s">
        <v>2740</v>
      </c>
      <c r="B586" s="26">
        <v>45003</v>
      </c>
      <c r="C586" s="36">
        <v>1146</v>
      </c>
      <c r="D586" s="28" t="s">
        <v>1901</v>
      </c>
      <c r="E586" s="199"/>
      <c r="F586" s="54" t="s">
        <v>2741</v>
      </c>
      <c r="G586" s="37" t="s">
        <v>2296</v>
      </c>
      <c r="H586" s="201">
        <v>4.5</v>
      </c>
      <c r="I586" s="193">
        <v>890000</v>
      </c>
      <c r="J586" s="193">
        <v>89000</v>
      </c>
      <c r="K586" s="193">
        <v>39500</v>
      </c>
      <c r="L586" s="193">
        <v>20860</v>
      </c>
      <c r="M586" s="193">
        <v>13200</v>
      </c>
      <c r="N586" s="193">
        <f>SUM(I586:M587)</f>
        <v>1052560</v>
      </c>
      <c r="O586" s="191"/>
      <c r="P586" s="57" t="s">
        <v>2742</v>
      </c>
      <c r="Q586" s="29" t="s">
        <v>82</v>
      </c>
      <c r="R586" s="81"/>
      <c r="S586" s="48" t="s">
        <v>2743</v>
      </c>
      <c r="T586" s="50"/>
      <c r="U586" s="30"/>
      <c r="V586" s="58"/>
      <c r="W586" s="52"/>
      <c r="X586" s="193"/>
      <c r="Y586" s="206">
        <f>X586*0.1</f>
        <v>0</v>
      </c>
      <c r="Z586" s="193"/>
      <c r="AA586" s="193">
        <f>SUM(X586:Z586)</f>
        <v>0</v>
      </c>
      <c r="AB586" s="219"/>
    </row>
    <row r="587" spans="1:28" ht="18.600000000000001" thickBot="1">
      <c r="A587" s="250"/>
      <c r="B587" s="31" t="s">
        <v>1823</v>
      </c>
      <c r="C587" s="31">
        <v>80110</v>
      </c>
      <c r="D587" s="32" t="s">
        <v>1849</v>
      </c>
      <c r="E587" s="200"/>
      <c r="F587" s="43" t="s">
        <v>2744</v>
      </c>
      <c r="G587" s="38">
        <v>48769</v>
      </c>
      <c r="H587" s="202"/>
      <c r="I587" s="194"/>
      <c r="J587" s="194"/>
      <c r="K587" s="194"/>
      <c r="L587" s="194"/>
      <c r="M587" s="194"/>
      <c r="N587" s="194"/>
      <c r="O587" s="192"/>
      <c r="P587" s="55" t="s">
        <v>2745</v>
      </c>
      <c r="Q587" s="33" t="s">
        <v>86</v>
      </c>
      <c r="R587" s="34" t="s">
        <v>2746</v>
      </c>
      <c r="S587" s="44" t="s">
        <v>2000</v>
      </c>
      <c r="T587" s="46" t="s">
        <v>2747</v>
      </c>
      <c r="U587" s="35" t="s">
        <v>1100</v>
      </c>
      <c r="V587" s="56"/>
      <c r="W587" s="46"/>
      <c r="X587" s="194"/>
      <c r="Y587" s="194"/>
      <c r="Z587" s="194"/>
      <c r="AA587" s="194"/>
      <c r="AB587" s="220"/>
    </row>
    <row r="588" spans="1:28" ht="18.600000000000001" thickTop="1">
      <c r="A588" s="249" t="s">
        <v>2748</v>
      </c>
      <c r="B588" s="26">
        <v>45003</v>
      </c>
      <c r="C588" s="36">
        <v>1146</v>
      </c>
      <c r="D588" s="28" t="s">
        <v>2749</v>
      </c>
      <c r="E588" s="199"/>
      <c r="F588" s="54" t="s">
        <v>2750</v>
      </c>
      <c r="G588" s="37"/>
      <c r="H588" s="201">
        <v>4.5</v>
      </c>
      <c r="I588" s="193">
        <v>3110000</v>
      </c>
      <c r="J588" s="193">
        <v>311000</v>
      </c>
      <c r="K588" s="193">
        <v>0</v>
      </c>
      <c r="L588" s="193">
        <v>22880</v>
      </c>
      <c r="M588" s="193">
        <v>13200</v>
      </c>
      <c r="N588" s="193">
        <f>SUM(I588:M589)</f>
        <v>3457080</v>
      </c>
      <c r="O588" s="191"/>
      <c r="P588" s="57" t="s">
        <v>2751</v>
      </c>
      <c r="Q588" s="29" t="s">
        <v>82</v>
      </c>
      <c r="R588" s="81"/>
      <c r="S588" s="48"/>
      <c r="T588" s="50"/>
      <c r="U588" s="30"/>
      <c r="V588" s="58"/>
      <c r="W588" s="52"/>
      <c r="X588" s="193"/>
      <c r="Y588" s="206">
        <f>X588*0.1</f>
        <v>0</v>
      </c>
      <c r="Z588" s="193"/>
      <c r="AA588" s="193">
        <f>SUM(X588:Z588)</f>
        <v>0</v>
      </c>
      <c r="AB588" s="219"/>
    </row>
    <row r="589" spans="1:28" ht="18.600000000000001" thickBot="1">
      <c r="A589" s="250"/>
      <c r="B589" s="31" t="s">
        <v>1823</v>
      </c>
      <c r="C589" s="31">
        <v>80126</v>
      </c>
      <c r="D589" s="32" t="s">
        <v>1849</v>
      </c>
      <c r="E589" s="200"/>
      <c r="F589" s="43" t="s">
        <v>2752</v>
      </c>
      <c r="G589" s="38">
        <v>41558</v>
      </c>
      <c r="H589" s="202"/>
      <c r="I589" s="194"/>
      <c r="J589" s="194"/>
      <c r="K589" s="194"/>
      <c r="L589" s="194"/>
      <c r="M589" s="194"/>
      <c r="N589" s="194"/>
      <c r="O589" s="192"/>
      <c r="P589" s="55" t="s">
        <v>2753</v>
      </c>
      <c r="Q589" s="33" t="s">
        <v>86</v>
      </c>
      <c r="R589" s="34" t="s">
        <v>2746</v>
      </c>
      <c r="S589" s="44" t="s">
        <v>2754</v>
      </c>
      <c r="T589" s="46"/>
      <c r="U589" s="35"/>
      <c r="V589" s="56"/>
      <c r="W589" s="46"/>
      <c r="X589" s="194"/>
      <c r="Y589" s="194"/>
      <c r="Z589" s="194"/>
      <c r="AA589" s="194"/>
      <c r="AB589" s="220"/>
    </row>
    <row r="590" spans="1:28" ht="18.600000000000001" thickTop="1">
      <c r="A590" s="249" t="s">
        <v>2755</v>
      </c>
      <c r="B590" s="26">
        <v>45020</v>
      </c>
      <c r="C590" s="36"/>
      <c r="D590" s="28" t="s">
        <v>2462</v>
      </c>
      <c r="E590" s="199" t="s">
        <v>282</v>
      </c>
      <c r="F590" s="54" t="s">
        <v>2756</v>
      </c>
      <c r="G590" s="37" t="s">
        <v>2543</v>
      </c>
      <c r="H590" s="201">
        <v>4.5</v>
      </c>
      <c r="I590" s="193">
        <v>3500000</v>
      </c>
      <c r="J590" s="193">
        <v>350000</v>
      </c>
      <c r="K590" s="193">
        <v>46700</v>
      </c>
      <c r="L590" s="193">
        <v>23430</v>
      </c>
      <c r="M590" s="193">
        <v>11250</v>
      </c>
      <c r="N590" s="193">
        <f>SUM(I590:M591)</f>
        <v>3931380</v>
      </c>
      <c r="O590" s="191"/>
      <c r="P590" s="57" t="s">
        <v>2757</v>
      </c>
      <c r="Q590" s="29" t="s">
        <v>82</v>
      </c>
      <c r="R590" s="81"/>
      <c r="S590" s="48" t="s">
        <v>1279</v>
      </c>
      <c r="T590" s="50"/>
      <c r="U590" s="30"/>
      <c r="V590" s="58"/>
      <c r="W590" s="52"/>
      <c r="X590" s="193"/>
      <c r="Y590" s="206">
        <f>X590*0.1</f>
        <v>0</v>
      </c>
      <c r="Z590" s="193"/>
      <c r="AA590" s="193">
        <f>SUM(X590:Z590)</f>
        <v>0</v>
      </c>
      <c r="AB590" s="219"/>
    </row>
    <row r="591" spans="1:28" ht="18.600000000000001" thickBot="1">
      <c r="A591" s="250"/>
      <c r="B591" s="31" t="s">
        <v>1985</v>
      </c>
      <c r="C591" s="31" t="s">
        <v>2758</v>
      </c>
      <c r="D591" s="32" t="s">
        <v>1849</v>
      </c>
      <c r="E591" s="200"/>
      <c r="F591" s="43" t="s">
        <v>2759</v>
      </c>
      <c r="G591" s="38">
        <v>40817</v>
      </c>
      <c r="H591" s="202"/>
      <c r="I591" s="194"/>
      <c r="J591" s="194"/>
      <c r="K591" s="194"/>
      <c r="L591" s="194"/>
      <c r="M591" s="194"/>
      <c r="N591" s="194"/>
      <c r="O591" s="192"/>
      <c r="P591" s="55" t="s">
        <v>2667</v>
      </c>
      <c r="Q591" s="33" t="s">
        <v>86</v>
      </c>
      <c r="R591" s="34" t="s">
        <v>2760</v>
      </c>
      <c r="S591" s="44" t="s">
        <v>2761</v>
      </c>
      <c r="T591" s="46"/>
      <c r="U591" s="35"/>
      <c r="V591" s="56"/>
      <c r="W591" s="46"/>
      <c r="X591" s="194"/>
      <c r="Y591" s="194"/>
      <c r="Z591" s="194"/>
      <c r="AA591" s="194"/>
      <c r="AB591" s="220"/>
    </row>
    <row r="592" spans="1:28" ht="18.600000000000001" thickTop="1">
      <c r="A592" s="249" t="s">
        <v>2762</v>
      </c>
      <c r="B592" s="26">
        <v>45027</v>
      </c>
      <c r="C592" s="36">
        <v>942</v>
      </c>
      <c r="D592" s="28" t="s">
        <v>1978</v>
      </c>
      <c r="E592" s="199"/>
      <c r="F592" s="54" t="s">
        <v>2439</v>
      </c>
      <c r="G592" s="37" t="s">
        <v>2221</v>
      </c>
      <c r="H592" s="201">
        <v>4.5</v>
      </c>
      <c r="I592" s="193">
        <v>2050000</v>
      </c>
      <c r="J592" s="193">
        <v>205000</v>
      </c>
      <c r="K592" s="193">
        <v>36200</v>
      </c>
      <c r="L592" s="193">
        <v>21180</v>
      </c>
      <c r="M592" s="193">
        <v>24200</v>
      </c>
      <c r="N592" s="193">
        <f>SUM(I592:M593)</f>
        <v>2336580</v>
      </c>
      <c r="O592" s="191"/>
      <c r="P592" s="57" t="s">
        <v>2763</v>
      </c>
      <c r="Q592" s="29" t="s">
        <v>82</v>
      </c>
      <c r="R592" s="81"/>
      <c r="S592" s="48" t="s">
        <v>2764</v>
      </c>
      <c r="T592" s="50"/>
      <c r="U592" s="30"/>
      <c r="V592" s="58"/>
      <c r="W592" s="52"/>
      <c r="X592" s="193"/>
      <c r="Y592" s="206">
        <f>X592*0.1</f>
        <v>0</v>
      </c>
      <c r="Z592" s="193"/>
      <c r="AA592" s="193">
        <f>SUM(X592:Z592)</f>
        <v>0</v>
      </c>
      <c r="AB592" s="219"/>
    </row>
    <row r="593" spans="1:28" ht="18.600000000000001" thickBot="1">
      <c r="A593" s="250"/>
      <c r="B593" s="31" t="s">
        <v>1848</v>
      </c>
      <c r="C593" s="31">
        <v>84136</v>
      </c>
      <c r="D593" s="32" t="s">
        <v>1849</v>
      </c>
      <c r="E593" s="200"/>
      <c r="F593" s="43" t="s">
        <v>2765</v>
      </c>
      <c r="G593" s="38">
        <v>31933</v>
      </c>
      <c r="H593" s="202"/>
      <c r="I593" s="194"/>
      <c r="J593" s="194"/>
      <c r="K593" s="194"/>
      <c r="L593" s="194"/>
      <c r="M593" s="194"/>
      <c r="N593" s="194"/>
      <c r="O593" s="192"/>
      <c r="P593" s="55" t="s">
        <v>2766</v>
      </c>
      <c r="Q593" s="33" t="s">
        <v>86</v>
      </c>
      <c r="R593" s="34" t="s">
        <v>2767</v>
      </c>
      <c r="S593" s="44" t="s">
        <v>1872</v>
      </c>
      <c r="T593" s="46"/>
      <c r="U593" s="35" t="s">
        <v>1100</v>
      </c>
      <c r="V593" s="56"/>
      <c r="W593" s="46"/>
      <c r="X593" s="194"/>
      <c r="Y593" s="194"/>
      <c r="Z593" s="194"/>
      <c r="AA593" s="194"/>
      <c r="AB593" s="220"/>
    </row>
    <row r="594" spans="1:28" ht="18.600000000000001" thickTop="1">
      <c r="A594" s="249" t="s">
        <v>2768</v>
      </c>
      <c r="B594" s="26">
        <v>45054</v>
      </c>
      <c r="C594" s="36"/>
      <c r="D594" s="28" t="s">
        <v>2769</v>
      </c>
      <c r="E594" s="199"/>
      <c r="F594" s="54" t="s">
        <v>2770</v>
      </c>
      <c r="G594" s="37" t="s">
        <v>2221</v>
      </c>
      <c r="H594" s="201">
        <v>4</v>
      </c>
      <c r="I594" s="193">
        <v>1470000</v>
      </c>
      <c r="J594" s="193">
        <v>147000</v>
      </c>
      <c r="K594" s="193">
        <v>32900</v>
      </c>
      <c r="L594" s="193">
        <v>19360</v>
      </c>
      <c r="M594" s="193">
        <v>40425</v>
      </c>
      <c r="N594" s="193">
        <f>SUM(I594:M595)</f>
        <v>1709685</v>
      </c>
      <c r="O594" s="191"/>
      <c r="P594" s="57" t="s">
        <v>2771</v>
      </c>
      <c r="Q594" s="29" t="s">
        <v>82</v>
      </c>
      <c r="R594" s="81"/>
      <c r="S594" s="48" t="s">
        <v>1596</v>
      </c>
      <c r="T594" s="50"/>
      <c r="U594" s="30"/>
      <c r="V594" s="58"/>
      <c r="W594" s="52"/>
      <c r="X594" s="193"/>
      <c r="Y594" s="206">
        <f>X594*0.1</f>
        <v>0</v>
      </c>
      <c r="Z594" s="193"/>
      <c r="AA594" s="193">
        <f>SUM(X594:Z594)</f>
        <v>0</v>
      </c>
      <c r="AB594" s="219"/>
    </row>
    <row r="595" spans="1:28" ht="18.600000000000001" thickBot="1">
      <c r="A595" s="250"/>
      <c r="B595" s="31" t="s">
        <v>1985</v>
      </c>
      <c r="C595" s="31" t="s">
        <v>2772</v>
      </c>
      <c r="D595" s="32" t="s">
        <v>1849</v>
      </c>
      <c r="E595" s="200"/>
      <c r="F595" s="43" t="s">
        <v>2773</v>
      </c>
      <c r="G595" s="38">
        <v>52492</v>
      </c>
      <c r="H595" s="202"/>
      <c r="I595" s="194"/>
      <c r="J595" s="194"/>
      <c r="K595" s="194"/>
      <c r="L595" s="194"/>
      <c r="M595" s="194"/>
      <c r="N595" s="194"/>
      <c r="O595" s="192"/>
      <c r="P595" s="55" t="s">
        <v>2774</v>
      </c>
      <c r="Q595" s="33" t="s">
        <v>86</v>
      </c>
      <c r="R595" s="34" t="s">
        <v>2775</v>
      </c>
      <c r="S595" s="44" t="s">
        <v>287</v>
      </c>
      <c r="T595" s="46"/>
      <c r="U595" s="35"/>
      <c r="V595" s="56"/>
      <c r="W595" s="46"/>
      <c r="X595" s="194"/>
      <c r="Y595" s="194"/>
      <c r="Z595" s="194"/>
      <c r="AA595" s="194"/>
      <c r="AB595" s="220"/>
    </row>
    <row r="596" spans="1:28" ht="18.600000000000001" thickTop="1">
      <c r="A596" s="249" t="s">
        <v>2786</v>
      </c>
      <c r="B596" s="26">
        <v>45072</v>
      </c>
      <c r="C596" s="36">
        <v>1934</v>
      </c>
      <c r="D596" s="28" t="s">
        <v>2726</v>
      </c>
      <c r="E596" s="199"/>
      <c r="F596" s="54" t="s">
        <v>2787</v>
      </c>
      <c r="G596" s="37" t="s">
        <v>2788</v>
      </c>
      <c r="H596" s="201">
        <v>3.5</v>
      </c>
      <c r="I596" s="193">
        <v>2394000</v>
      </c>
      <c r="J596" s="193">
        <v>239400</v>
      </c>
      <c r="K596" s="193">
        <v>73300</v>
      </c>
      <c r="L596" s="193">
        <v>19120</v>
      </c>
      <c r="M596" s="193">
        <v>13750</v>
      </c>
      <c r="N596" s="193">
        <f>SUM(I596:M597)</f>
        <v>2739570</v>
      </c>
      <c r="O596" s="191"/>
      <c r="P596" s="57" t="s">
        <v>2789</v>
      </c>
      <c r="Q596" s="29" t="s">
        <v>82</v>
      </c>
      <c r="R596" s="81"/>
      <c r="S596" s="48" t="s">
        <v>1954</v>
      </c>
      <c r="T596" s="50"/>
      <c r="U596" s="30"/>
      <c r="V596" s="58"/>
      <c r="W596" s="52"/>
      <c r="X596" s="193"/>
      <c r="Y596" s="206">
        <f>X596*0.1</f>
        <v>0</v>
      </c>
      <c r="Z596" s="193"/>
      <c r="AA596" s="193">
        <f>SUM(X596:Z596)</f>
        <v>0</v>
      </c>
      <c r="AB596" s="219"/>
    </row>
    <row r="597" spans="1:28" ht="18.600000000000001" thickBot="1">
      <c r="A597" s="250"/>
      <c r="B597" s="31" t="s">
        <v>2790</v>
      </c>
      <c r="C597" s="31">
        <v>3647</v>
      </c>
      <c r="D597" s="32" t="s">
        <v>1965</v>
      </c>
      <c r="E597" s="200"/>
      <c r="F597" s="43" t="s">
        <v>2791</v>
      </c>
      <c r="G597" s="38">
        <v>34528</v>
      </c>
      <c r="H597" s="202"/>
      <c r="I597" s="194"/>
      <c r="J597" s="194"/>
      <c r="K597" s="194"/>
      <c r="L597" s="194"/>
      <c r="M597" s="194"/>
      <c r="N597" s="194"/>
      <c r="O597" s="192"/>
      <c r="P597" s="55" t="s">
        <v>2792</v>
      </c>
      <c r="Q597" s="33" t="s">
        <v>86</v>
      </c>
      <c r="R597" s="34" t="s">
        <v>2793</v>
      </c>
      <c r="S597" s="44" t="s">
        <v>2794</v>
      </c>
      <c r="T597" s="46"/>
      <c r="U597" s="35" t="s">
        <v>1100</v>
      </c>
      <c r="V597" s="56"/>
      <c r="W597" s="46"/>
      <c r="X597" s="194"/>
      <c r="Y597" s="194"/>
      <c r="Z597" s="194"/>
      <c r="AA597" s="194"/>
      <c r="AB597" s="220"/>
    </row>
    <row r="598" spans="1:28" ht="18.600000000000001" thickTop="1">
      <c r="A598" s="249" t="s">
        <v>2795</v>
      </c>
      <c r="B598" s="26">
        <v>45072</v>
      </c>
      <c r="C598" s="36">
        <v>2103</v>
      </c>
      <c r="D598" s="28" t="s">
        <v>2769</v>
      </c>
      <c r="E598" s="199"/>
      <c r="F598" s="54" t="s">
        <v>2796</v>
      </c>
      <c r="G598" s="37"/>
      <c r="H598" s="201">
        <v>4</v>
      </c>
      <c r="I598" s="193">
        <v>1737000</v>
      </c>
      <c r="J598" s="193">
        <v>173700</v>
      </c>
      <c r="K598" s="193">
        <v>0</v>
      </c>
      <c r="L598" s="193">
        <v>18630</v>
      </c>
      <c r="M598" s="193">
        <v>13750</v>
      </c>
      <c r="N598" s="193">
        <f>SUM(I598:M599)</f>
        <v>1943080</v>
      </c>
      <c r="O598" s="191"/>
      <c r="P598" s="57" t="s">
        <v>2797</v>
      </c>
      <c r="Q598" s="29" t="s">
        <v>82</v>
      </c>
      <c r="R598" s="81"/>
      <c r="S598" s="48"/>
      <c r="T598" s="50"/>
      <c r="U598" s="30"/>
      <c r="V598" s="58"/>
      <c r="W598" s="52"/>
      <c r="X598" s="193"/>
      <c r="Y598" s="206">
        <f>X598*0.1</f>
        <v>0</v>
      </c>
      <c r="Z598" s="193"/>
      <c r="AA598" s="193">
        <f>SUM(X598:Z598)</f>
        <v>0</v>
      </c>
      <c r="AB598" s="219"/>
    </row>
    <row r="599" spans="1:28" ht="18.600000000000001" thickBot="1">
      <c r="A599" s="250"/>
      <c r="B599" s="31" t="s">
        <v>2798</v>
      </c>
      <c r="C599" s="31">
        <v>4309</v>
      </c>
      <c r="D599" s="32" t="s">
        <v>244</v>
      </c>
      <c r="E599" s="200"/>
      <c r="F599" s="43" t="s">
        <v>2799</v>
      </c>
      <c r="G599" s="38">
        <v>50715</v>
      </c>
      <c r="H599" s="202"/>
      <c r="I599" s="194"/>
      <c r="J599" s="194"/>
      <c r="K599" s="194"/>
      <c r="L599" s="194"/>
      <c r="M599" s="194"/>
      <c r="N599" s="194"/>
      <c r="O599" s="192"/>
      <c r="P599" s="55" t="s">
        <v>2800</v>
      </c>
      <c r="Q599" s="33" t="s">
        <v>86</v>
      </c>
      <c r="R599" s="34" t="s">
        <v>2296</v>
      </c>
      <c r="S599" s="44" t="s">
        <v>2801</v>
      </c>
      <c r="T599" s="46"/>
      <c r="U599" s="35"/>
      <c r="V599" s="56"/>
      <c r="W599" s="46"/>
      <c r="X599" s="194"/>
      <c r="Y599" s="194"/>
      <c r="Z599" s="194"/>
      <c r="AA599" s="194"/>
      <c r="AB599" s="220"/>
    </row>
    <row r="600" spans="1:28" ht="18.600000000000001" thickTop="1">
      <c r="A600" s="249" t="s">
        <v>2802</v>
      </c>
      <c r="B600" s="26">
        <v>45079</v>
      </c>
      <c r="C600" s="36">
        <v>2104</v>
      </c>
      <c r="D600" s="28" t="s">
        <v>2220</v>
      </c>
      <c r="E600" s="199"/>
      <c r="F600" s="54" t="s">
        <v>2803</v>
      </c>
      <c r="G600" s="37"/>
      <c r="H600" s="201">
        <v>4</v>
      </c>
      <c r="I600" s="193">
        <v>1813000</v>
      </c>
      <c r="J600" s="193">
        <v>181300</v>
      </c>
      <c r="K600" s="193">
        <v>0</v>
      </c>
      <c r="L600" s="193">
        <v>23470</v>
      </c>
      <c r="M600" s="193">
        <v>13750</v>
      </c>
      <c r="N600" s="193">
        <f>SUM(I600:M601)</f>
        <v>2031520</v>
      </c>
      <c r="O600" s="191"/>
      <c r="P600" s="57" t="s">
        <v>2804</v>
      </c>
      <c r="Q600" s="29" t="s">
        <v>82</v>
      </c>
      <c r="R600" s="81"/>
      <c r="S600" s="48"/>
      <c r="T600" s="50"/>
      <c r="U600" s="30"/>
      <c r="V600" s="58"/>
      <c r="W600" s="52"/>
      <c r="X600" s="193"/>
      <c r="Y600" s="206">
        <f>X600*0.1</f>
        <v>0</v>
      </c>
      <c r="Z600" s="193"/>
      <c r="AA600" s="193">
        <f>SUM(X600:Z600)</f>
        <v>0</v>
      </c>
      <c r="AB600" s="219"/>
    </row>
    <row r="601" spans="1:28" ht="18.600000000000001" thickBot="1">
      <c r="A601" s="250"/>
      <c r="B601" s="31" t="s">
        <v>2805</v>
      </c>
      <c r="C601" s="31">
        <v>61</v>
      </c>
      <c r="D601" s="32" t="s">
        <v>1849</v>
      </c>
      <c r="E601" s="200"/>
      <c r="F601" s="43" t="s">
        <v>2806</v>
      </c>
      <c r="G601" s="38">
        <v>44113</v>
      </c>
      <c r="H601" s="202"/>
      <c r="I601" s="194"/>
      <c r="J601" s="194"/>
      <c r="K601" s="194"/>
      <c r="L601" s="194"/>
      <c r="M601" s="194"/>
      <c r="N601" s="194"/>
      <c r="O601" s="192"/>
      <c r="P601" s="55" t="s">
        <v>2807</v>
      </c>
      <c r="Q601" s="33" t="s">
        <v>86</v>
      </c>
      <c r="R601" s="34" t="s">
        <v>2315</v>
      </c>
      <c r="S601" s="44" t="s">
        <v>2808</v>
      </c>
      <c r="T601" s="46"/>
      <c r="U601" s="35"/>
      <c r="V601" s="56"/>
      <c r="W601" s="46"/>
      <c r="X601" s="194"/>
      <c r="Y601" s="194"/>
      <c r="Z601" s="194"/>
      <c r="AA601" s="194"/>
      <c r="AB601" s="220"/>
    </row>
    <row r="602" spans="1:28" ht="18.600000000000001" thickTop="1">
      <c r="A602" s="249" t="s">
        <v>2809</v>
      </c>
      <c r="B602" s="26">
        <v>45076</v>
      </c>
      <c r="C602" s="36"/>
      <c r="D602" s="28" t="s">
        <v>2810</v>
      </c>
      <c r="E602" s="199"/>
      <c r="F602" s="54" t="s">
        <v>2811</v>
      </c>
      <c r="G602" s="37" t="s">
        <v>2130</v>
      </c>
      <c r="H602" s="201">
        <v>4.5</v>
      </c>
      <c r="I602" s="193">
        <v>2042381</v>
      </c>
      <c r="J602" s="193">
        <v>204239</v>
      </c>
      <c r="K602" s="193">
        <v>29600</v>
      </c>
      <c r="L602" s="193">
        <v>18980</v>
      </c>
      <c r="M602" s="193">
        <v>31166</v>
      </c>
      <c r="N602" s="193">
        <f>SUM(I602:M603)</f>
        <v>2326366</v>
      </c>
      <c r="O602" s="191"/>
      <c r="P602" s="57" t="s">
        <v>2812</v>
      </c>
      <c r="Q602" s="29" t="s">
        <v>82</v>
      </c>
      <c r="R602" s="81"/>
      <c r="S602" s="48" t="s">
        <v>1500</v>
      </c>
      <c r="T602" s="50"/>
      <c r="U602" s="30"/>
      <c r="V602" s="58"/>
      <c r="W602" s="52"/>
      <c r="X602" s="193"/>
      <c r="Y602" s="206">
        <f>X602*0.1</f>
        <v>0</v>
      </c>
      <c r="Z602" s="193"/>
      <c r="AA602" s="193">
        <f>SUM(X602:Z602)</f>
        <v>0</v>
      </c>
      <c r="AB602" s="219"/>
    </row>
    <row r="603" spans="1:28" ht="18.600000000000001" thickBot="1">
      <c r="A603" s="250"/>
      <c r="B603" s="31" t="s">
        <v>1985</v>
      </c>
      <c r="C603" s="31" t="s">
        <v>2813</v>
      </c>
      <c r="D603" s="32" t="s">
        <v>1849</v>
      </c>
      <c r="E603" s="200"/>
      <c r="F603" s="43" t="s">
        <v>2814</v>
      </c>
      <c r="G603" s="38">
        <v>54690</v>
      </c>
      <c r="H603" s="202"/>
      <c r="I603" s="194"/>
      <c r="J603" s="194"/>
      <c r="K603" s="194"/>
      <c r="L603" s="194"/>
      <c r="M603" s="194"/>
      <c r="N603" s="194"/>
      <c r="O603" s="192"/>
      <c r="P603" s="55" t="s">
        <v>2815</v>
      </c>
      <c r="Q603" s="33" t="s">
        <v>86</v>
      </c>
      <c r="R603" s="34" t="s">
        <v>2816</v>
      </c>
      <c r="S603" s="44" t="s">
        <v>2817</v>
      </c>
      <c r="T603" s="46"/>
      <c r="U603" s="35"/>
      <c r="V603" s="56"/>
      <c r="W603" s="46"/>
      <c r="X603" s="194"/>
      <c r="Y603" s="194"/>
      <c r="Z603" s="194"/>
      <c r="AA603" s="194"/>
      <c r="AB603" s="220"/>
    </row>
    <row r="604" spans="1:28" ht="18.600000000000001" thickTop="1">
      <c r="A604" s="249" t="s">
        <v>2818</v>
      </c>
      <c r="B604" s="26">
        <v>45098</v>
      </c>
      <c r="C604" s="36">
        <v>1237</v>
      </c>
      <c r="D604" s="28" t="s">
        <v>2819</v>
      </c>
      <c r="E604" s="199"/>
      <c r="F604" s="54" t="s">
        <v>2820</v>
      </c>
      <c r="G604" s="37" t="s">
        <v>2821</v>
      </c>
      <c r="H604" s="201">
        <v>3.5</v>
      </c>
      <c r="I604" s="193">
        <v>1050000</v>
      </c>
      <c r="J604" s="193">
        <v>105000</v>
      </c>
      <c r="K604" s="193">
        <v>65900</v>
      </c>
      <c r="L604" s="193">
        <v>19450</v>
      </c>
      <c r="M604" s="193">
        <v>18700</v>
      </c>
      <c r="N604" s="193">
        <f>SUM(I604:M605)</f>
        <v>1259050</v>
      </c>
      <c r="O604" s="191"/>
      <c r="P604" s="57" t="s">
        <v>2822</v>
      </c>
      <c r="Q604" s="29" t="s">
        <v>82</v>
      </c>
      <c r="R604" s="81"/>
      <c r="S604" s="48"/>
      <c r="T604" s="50"/>
      <c r="U604" s="30"/>
      <c r="V604" s="58"/>
      <c r="W604" s="52"/>
      <c r="X604" s="193"/>
      <c r="Y604" s="206">
        <f>X604*0.1</f>
        <v>0</v>
      </c>
      <c r="Z604" s="193"/>
      <c r="AA604" s="193">
        <f>SUM(X604:Z604)</f>
        <v>0</v>
      </c>
      <c r="AB604" s="219"/>
    </row>
    <row r="605" spans="1:28" ht="18.600000000000001" thickBot="1">
      <c r="A605" s="250"/>
      <c r="B605" s="31" t="s">
        <v>2823</v>
      </c>
      <c r="C605" s="31">
        <v>74015</v>
      </c>
      <c r="D605" s="32" t="s">
        <v>399</v>
      </c>
      <c r="E605" s="200"/>
      <c r="F605" s="43" t="s">
        <v>2824</v>
      </c>
      <c r="G605" s="38">
        <v>32641</v>
      </c>
      <c r="H605" s="202"/>
      <c r="I605" s="194"/>
      <c r="J605" s="194"/>
      <c r="K605" s="194"/>
      <c r="L605" s="194"/>
      <c r="M605" s="194"/>
      <c r="N605" s="194"/>
      <c r="O605" s="192"/>
      <c r="P605" s="55" t="s">
        <v>2825</v>
      </c>
      <c r="Q605" s="33" t="s">
        <v>86</v>
      </c>
      <c r="R605" s="34" t="s">
        <v>2826</v>
      </c>
      <c r="S605" s="44" t="s">
        <v>2754</v>
      </c>
      <c r="T605" s="46"/>
      <c r="U605" s="35" t="s">
        <v>1100</v>
      </c>
      <c r="V605" s="56"/>
      <c r="W605" s="46"/>
      <c r="X605" s="194"/>
      <c r="Y605" s="194"/>
      <c r="Z605" s="194"/>
      <c r="AA605" s="194"/>
      <c r="AB605" s="220"/>
    </row>
    <row r="606" spans="1:28" ht="18.600000000000001" thickTop="1">
      <c r="A606" s="249" t="s">
        <v>2827</v>
      </c>
      <c r="B606" s="26">
        <v>45101</v>
      </c>
      <c r="C606" s="36">
        <v>1159</v>
      </c>
      <c r="D606" s="28" t="s">
        <v>2828</v>
      </c>
      <c r="E606" s="199"/>
      <c r="F606" s="54" t="s">
        <v>2829</v>
      </c>
      <c r="G606" s="37" t="s">
        <v>2778</v>
      </c>
      <c r="H606" s="201">
        <v>4.5</v>
      </c>
      <c r="I606" s="193">
        <v>2210000</v>
      </c>
      <c r="J606" s="193">
        <v>221000</v>
      </c>
      <c r="K606" s="193">
        <v>29600</v>
      </c>
      <c r="L606" s="193">
        <v>21330</v>
      </c>
      <c r="M606" s="193">
        <v>13200</v>
      </c>
      <c r="N606" s="193">
        <f>SUM(I606:M607)</f>
        <v>2495130</v>
      </c>
      <c r="O606" s="191"/>
      <c r="P606" s="57" t="s">
        <v>2830</v>
      </c>
      <c r="Q606" s="29" t="s">
        <v>82</v>
      </c>
      <c r="R606" s="81"/>
      <c r="S606" s="48" t="s">
        <v>1494</v>
      </c>
      <c r="T606" s="50"/>
      <c r="U606" s="30" t="s">
        <v>2831</v>
      </c>
      <c r="V606" s="58"/>
      <c r="W606" s="52"/>
      <c r="X606" s="193"/>
      <c r="Y606" s="206">
        <f>X606*0.1</f>
        <v>0</v>
      </c>
      <c r="Z606" s="193"/>
      <c r="AA606" s="193">
        <f>SUM(X606:Z606)</f>
        <v>0</v>
      </c>
      <c r="AB606" s="219"/>
    </row>
    <row r="607" spans="1:28" ht="18.600000000000001" thickBot="1">
      <c r="A607" s="250"/>
      <c r="B607" s="31" t="s">
        <v>1823</v>
      </c>
      <c r="C607" s="31">
        <v>82345</v>
      </c>
      <c r="D607" s="32" t="s">
        <v>1849</v>
      </c>
      <c r="E607" s="200"/>
      <c r="F607" s="43" t="s">
        <v>2832</v>
      </c>
      <c r="G607" s="38">
        <v>44212</v>
      </c>
      <c r="H607" s="202"/>
      <c r="I607" s="194"/>
      <c r="J607" s="194"/>
      <c r="K607" s="194"/>
      <c r="L607" s="194"/>
      <c r="M607" s="194"/>
      <c r="N607" s="194"/>
      <c r="O607" s="192"/>
      <c r="P607" s="55" t="s">
        <v>2833</v>
      </c>
      <c r="Q607" s="33" t="s">
        <v>86</v>
      </c>
      <c r="R607" s="34" t="s">
        <v>2834</v>
      </c>
      <c r="S607" s="44" t="s">
        <v>96</v>
      </c>
      <c r="T607" s="46"/>
      <c r="U607" s="35" t="s">
        <v>153</v>
      </c>
      <c r="V607" s="56"/>
      <c r="W607" s="46"/>
      <c r="X607" s="194"/>
      <c r="Y607" s="194"/>
      <c r="Z607" s="194"/>
      <c r="AA607" s="194"/>
      <c r="AB607" s="220"/>
    </row>
    <row r="608" spans="1:28" ht="18.600000000000001" thickTop="1">
      <c r="A608" s="249" t="s">
        <v>2835</v>
      </c>
      <c r="B608" s="26">
        <v>45103</v>
      </c>
      <c r="C608" s="36">
        <v>1951</v>
      </c>
      <c r="D608" s="28" t="s">
        <v>2836</v>
      </c>
      <c r="E608" s="199"/>
      <c r="F608" s="54" t="s">
        <v>2837</v>
      </c>
      <c r="G608" s="37" t="s">
        <v>2611</v>
      </c>
      <c r="H608" s="201">
        <v>4.5</v>
      </c>
      <c r="I608" s="193">
        <v>2520000</v>
      </c>
      <c r="J608" s="193">
        <v>252000</v>
      </c>
      <c r="K608" s="193">
        <v>25800</v>
      </c>
      <c r="L608" s="193">
        <v>12620</v>
      </c>
      <c r="M608" s="193">
        <v>11000</v>
      </c>
      <c r="N608" s="193">
        <f>SUM(I608:M609)</f>
        <v>2821420</v>
      </c>
      <c r="O608" s="191"/>
      <c r="P608" s="57" t="s">
        <v>2838</v>
      </c>
      <c r="Q608" s="29" t="s">
        <v>82</v>
      </c>
      <c r="R608" s="81"/>
      <c r="S608" s="48" t="s">
        <v>1596</v>
      </c>
      <c r="T608" s="50"/>
      <c r="U608" s="30" t="s">
        <v>2839</v>
      </c>
      <c r="V608" s="58"/>
      <c r="W608" s="52"/>
      <c r="X608" s="193"/>
      <c r="Y608" s="206">
        <f>X608*0.1</f>
        <v>0</v>
      </c>
      <c r="Z608" s="193"/>
      <c r="AA608" s="193">
        <f>SUM(X608:Z608)</f>
        <v>0</v>
      </c>
      <c r="AB608" s="219"/>
    </row>
    <row r="609" spans="1:28" ht="18.600000000000001" thickBot="1">
      <c r="A609" s="250"/>
      <c r="B609" s="31" t="s">
        <v>189</v>
      </c>
      <c r="C609" s="31">
        <v>32022</v>
      </c>
      <c r="D609" s="32" t="s">
        <v>2840</v>
      </c>
      <c r="E609" s="200"/>
      <c r="F609" s="43" t="s">
        <v>2841</v>
      </c>
      <c r="G609" s="38">
        <v>30969</v>
      </c>
      <c r="H609" s="202"/>
      <c r="I609" s="194"/>
      <c r="J609" s="194"/>
      <c r="K609" s="194"/>
      <c r="L609" s="194"/>
      <c r="M609" s="194"/>
      <c r="N609" s="194"/>
      <c r="O609" s="192"/>
      <c r="P609" s="55" t="s">
        <v>2842</v>
      </c>
      <c r="Q609" s="33" t="s">
        <v>86</v>
      </c>
      <c r="R609" s="34" t="s">
        <v>2843</v>
      </c>
      <c r="S609" s="44" t="s">
        <v>96</v>
      </c>
      <c r="T609" s="46"/>
      <c r="U609" s="35" t="s">
        <v>2011</v>
      </c>
      <c r="V609" s="56"/>
      <c r="W609" s="46"/>
      <c r="X609" s="194"/>
      <c r="Y609" s="194"/>
      <c r="Z609" s="194"/>
      <c r="AA609" s="194"/>
      <c r="AB609" s="220"/>
    </row>
    <row r="610" spans="1:28" ht="18.600000000000001" thickTop="1">
      <c r="A610" s="249" t="s">
        <v>2844</v>
      </c>
      <c r="B610" s="26">
        <v>45104</v>
      </c>
      <c r="C610" s="36">
        <v>1099</v>
      </c>
      <c r="D610" s="28" t="s">
        <v>2644</v>
      </c>
      <c r="E610" s="199"/>
      <c r="F610" s="54" t="s">
        <v>2845</v>
      </c>
      <c r="G610" s="37"/>
      <c r="H610" s="201">
        <v>4</v>
      </c>
      <c r="I610" s="193">
        <v>1880000</v>
      </c>
      <c r="J610" s="193">
        <v>188000</v>
      </c>
      <c r="K610" s="193">
        <v>0</v>
      </c>
      <c r="L610" s="193">
        <v>17380</v>
      </c>
      <c r="M610" s="193">
        <v>18150</v>
      </c>
      <c r="N610" s="193">
        <f>SUM(I610:M611)</f>
        <v>2103530</v>
      </c>
      <c r="O610" s="191"/>
      <c r="P610" s="57" t="s">
        <v>2846</v>
      </c>
      <c r="Q610" s="29" t="s">
        <v>82</v>
      </c>
      <c r="R610" s="81"/>
      <c r="S610" s="48"/>
      <c r="T610" s="50"/>
      <c r="U610" s="30"/>
      <c r="V610" s="58"/>
      <c r="W610" s="52"/>
      <c r="X610" s="193"/>
      <c r="Y610" s="206">
        <f>X610*0.1</f>
        <v>0</v>
      </c>
      <c r="Z610" s="193"/>
      <c r="AA610" s="193">
        <f>SUM(X610:Z610)</f>
        <v>0</v>
      </c>
      <c r="AB610" s="219"/>
    </row>
    <row r="611" spans="1:28" ht="18.600000000000001" thickBot="1">
      <c r="A611" s="250"/>
      <c r="B611" s="31" t="s">
        <v>2736</v>
      </c>
      <c r="C611" s="31">
        <v>5049</v>
      </c>
      <c r="D611" s="32" t="s">
        <v>1849</v>
      </c>
      <c r="E611" s="200"/>
      <c r="F611" s="43" t="s">
        <v>2847</v>
      </c>
      <c r="G611" s="38">
        <v>21269</v>
      </c>
      <c r="H611" s="202"/>
      <c r="I611" s="194"/>
      <c r="J611" s="194"/>
      <c r="K611" s="194"/>
      <c r="L611" s="194"/>
      <c r="M611" s="194"/>
      <c r="N611" s="194"/>
      <c r="O611" s="192"/>
      <c r="P611" s="55" t="s">
        <v>2848</v>
      </c>
      <c r="Q611" s="33" t="s">
        <v>86</v>
      </c>
      <c r="R611" s="34" t="s">
        <v>2849</v>
      </c>
      <c r="S611" s="44" t="s">
        <v>2850</v>
      </c>
      <c r="T611" s="46"/>
      <c r="U611" s="35"/>
      <c r="V611" s="56"/>
      <c r="W611" s="46"/>
      <c r="X611" s="194"/>
      <c r="Y611" s="194"/>
      <c r="Z611" s="194"/>
      <c r="AA611" s="194"/>
      <c r="AB611" s="220"/>
    </row>
    <row r="612" spans="1:28" ht="18.600000000000001" thickTop="1">
      <c r="A612" s="249" t="s">
        <v>2851</v>
      </c>
      <c r="B612" s="26">
        <v>45104</v>
      </c>
      <c r="C612" s="36">
        <v>849</v>
      </c>
      <c r="D612" s="28" t="s">
        <v>2700</v>
      </c>
      <c r="E612" s="199"/>
      <c r="F612" s="54" t="s">
        <v>2852</v>
      </c>
      <c r="G612" s="37"/>
      <c r="H612" s="201">
        <v>3</v>
      </c>
      <c r="I612" s="193">
        <v>458000</v>
      </c>
      <c r="J612" s="193">
        <v>45800</v>
      </c>
      <c r="K612" s="193">
        <v>0</v>
      </c>
      <c r="L612" s="193">
        <v>7510</v>
      </c>
      <c r="M612" s="193">
        <v>22000</v>
      </c>
      <c r="N612" s="193">
        <f>SUM(I612:M613)</f>
        <v>533310</v>
      </c>
      <c r="O612" s="191"/>
      <c r="P612" s="57" t="s">
        <v>2853</v>
      </c>
      <c r="Q612" s="29" t="s">
        <v>82</v>
      </c>
      <c r="R612" s="81"/>
      <c r="S612" s="48" t="s">
        <v>2362</v>
      </c>
      <c r="T612" s="50"/>
      <c r="U612" s="30"/>
      <c r="V612" s="58"/>
      <c r="W612" s="52"/>
      <c r="X612" s="193"/>
      <c r="Y612" s="206">
        <f>X612*0.1</f>
        <v>0</v>
      </c>
      <c r="Z612" s="193"/>
      <c r="AA612" s="193">
        <f>SUM(X612:Z612)</f>
        <v>0</v>
      </c>
      <c r="AB612" s="219"/>
    </row>
    <row r="613" spans="1:28" ht="18.600000000000001" thickBot="1">
      <c r="A613" s="250"/>
      <c r="B613" s="31" t="s">
        <v>2363</v>
      </c>
      <c r="C613" s="31">
        <v>164</v>
      </c>
      <c r="D613" s="32" t="s">
        <v>1987</v>
      </c>
      <c r="E613" s="200"/>
      <c r="F613" s="43" t="s">
        <v>2854</v>
      </c>
      <c r="G613" s="38">
        <v>44399</v>
      </c>
      <c r="H613" s="202"/>
      <c r="I613" s="194"/>
      <c r="J613" s="194"/>
      <c r="K613" s="194"/>
      <c r="L613" s="194"/>
      <c r="M613" s="194"/>
      <c r="N613" s="194"/>
      <c r="O613" s="192"/>
      <c r="P613" s="55" t="s">
        <v>2855</v>
      </c>
      <c r="Q613" s="33" t="s">
        <v>86</v>
      </c>
      <c r="R613" s="34" t="s">
        <v>2834</v>
      </c>
      <c r="S613" s="44" t="s">
        <v>128</v>
      </c>
      <c r="T613" s="46"/>
      <c r="U613" s="35"/>
      <c r="V613" s="56"/>
      <c r="W613" s="46"/>
      <c r="X613" s="194"/>
      <c r="Y613" s="194"/>
      <c r="Z613" s="194"/>
      <c r="AA613" s="194"/>
      <c r="AB613" s="220"/>
    </row>
    <row r="614" spans="1:28" ht="18.600000000000001" thickTop="1">
      <c r="A614" s="249" t="s">
        <v>2856</v>
      </c>
      <c r="B614" s="26">
        <v>45114</v>
      </c>
      <c r="C614" s="36">
        <v>1995</v>
      </c>
      <c r="D614" s="28" t="s">
        <v>2516</v>
      </c>
      <c r="E614" s="199" t="s">
        <v>282</v>
      </c>
      <c r="F614" s="54" t="s">
        <v>2857</v>
      </c>
      <c r="G614" s="37" t="s">
        <v>2266</v>
      </c>
      <c r="H614" s="201">
        <v>4.5</v>
      </c>
      <c r="I614" s="193">
        <v>4880000</v>
      </c>
      <c r="J614" s="193">
        <v>488000</v>
      </c>
      <c r="K614" s="193">
        <v>33300</v>
      </c>
      <c r="L614" s="193">
        <v>25390</v>
      </c>
      <c r="M614" s="193">
        <v>13200</v>
      </c>
      <c r="N614" s="193">
        <f>SUM(I614:M615)</f>
        <v>5439890</v>
      </c>
      <c r="O614" s="191"/>
      <c r="P614" s="57" t="s">
        <v>2858</v>
      </c>
      <c r="Q614" s="29" t="s">
        <v>82</v>
      </c>
      <c r="R614" s="81"/>
      <c r="S614" s="48" t="s">
        <v>2859</v>
      </c>
      <c r="T614" s="50"/>
      <c r="U614" s="30" t="s">
        <v>2860</v>
      </c>
      <c r="V614" s="58"/>
      <c r="W614" s="52"/>
      <c r="X614" s="193"/>
      <c r="Y614" s="206">
        <f>X614*0.1</f>
        <v>0</v>
      </c>
      <c r="Z614" s="193"/>
      <c r="AA614" s="193">
        <f>SUM(X614:Z614)</f>
        <v>0</v>
      </c>
      <c r="AB614" s="219"/>
    </row>
    <row r="615" spans="1:28" ht="18.600000000000001" thickBot="1">
      <c r="A615" s="250"/>
      <c r="B615" s="31" t="s">
        <v>1797</v>
      </c>
      <c r="C615" s="31">
        <v>58617</v>
      </c>
      <c r="D615" s="32" t="s">
        <v>2168</v>
      </c>
      <c r="E615" s="200"/>
      <c r="F615" s="43" t="s">
        <v>2861</v>
      </c>
      <c r="G615" s="38">
        <v>33741</v>
      </c>
      <c r="H615" s="202"/>
      <c r="I615" s="194"/>
      <c r="J615" s="194"/>
      <c r="K615" s="194"/>
      <c r="L615" s="194"/>
      <c r="M615" s="194"/>
      <c r="N615" s="194"/>
      <c r="O615" s="192"/>
      <c r="P615" s="55" t="s">
        <v>2862</v>
      </c>
      <c r="Q615" s="33" t="s">
        <v>86</v>
      </c>
      <c r="R615" s="34" t="s">
        <v>2863</v>
      </c>
      <c r="S615" s="44" t="s">
        <v>2101</v>
      </c>
      <c r="T615" s="46"/>
      <c r="U615" s="35"/>
      <c r="V615" s="56"/>
      <c r="W615" s="46"/>
      <c r="X615" s="194"/>
      <c r="Y615" s="194"/>
      <c r="Z615" s="194"/>
      <c r="AA615" s="194"/>
      <c r="AB615" s="220"/>
    </row>
    <row r="616" spans="1:28" ht="18.600000000000001" thickTop="1">
      <c r="A616" s="249" t="s">
        <v>2864</v>
      </c>
      <c r="B616" s="26">
        <v>45114</v>
      </c>
      <c r="C616" s="36">
        <v>1651</v>
      </c>
      <c r="D616" s="28" t="s">
        <v>2274</v>
      </c>
      <c r="E616" s="199"/>
      <c r="F616" s="54" t="s">
        <v>2865</v>
      </c>
      <c r="G616" s="37" t="s">
        <v>2708</v>
      </c>
      <c r="H616" s="201">
        <v>4</v>
      </c>
      <c r="I616" s="193">
        <v>2596000</v>
      </c>
      <c r="J616" s="193">
        <v>259600</v>
      </c>
      <c r="K616" s="193">
        <v>26300</v>
      </c>
      <c r="L616" s="193">
        <v>21700</v>
      </c>
      <c r="M616" s="193">
        <v>14300</v>
      </c>
      <c r="N616" s="193">
        <f>SUM(I616:M617)</f>
        <v>2917900</v>
      </c>
      <c r="O616" s="191"/>
      <c r="P616" s="57" t="s">
        <v>2866</v>
      </c>
      <c r="Q616" s="29" t="s">
        <v>82</v>
      </c>
      <c r="R616" s="81"/>
      <c r="S616" s="48" t="s">
        <v>940</v>
      </c>
      <c r="T616" s="50"/>
      <c r="U616" s="30"/>
      <c r="V616" s="58"/>
      <c r="W616" s="52"/>
      <c r="X616" s="193"/>
      <c r="Y616" s="206">
        <f>X616*0.1</f>
        <v>0</v>
      </c>
      <c r="Z616" s="193"/>
      <c r="AA616" s="193">
        <f>SUM(X616:Z616)</f>
        <v>0</v>
      </c>
      <c r="AB616" s="219"/>
    </row>
    <row r="617" spans="1:28" ht="18.600000000000001" thickBot="1">
      <c r="A617" s="250"/>
      <c r="B617" s="31" t="s">
        <v>2867</v>
      </c>
      <c r="C617" s="31">
        <v>40007</v>
      </c>
      <c r="D617" s="32" t="s">
        <v>2168</v>
      </c>
      <c r="E617" s="200"/>
      <c r="F617" s="43" t="s">
        <v>2868</v>
      </c>
      <c r="G617" s="38">
        <v>32135</v>
      </c>
      <c r="H617" s="202"/>
      <c r="I617" s="194"/>
      <c r="J617" s="194"/>
      <c r="K617" s="194"/>
      <c r="L617" s="194"/>
      <c r="M617" s="194"/>
      <c r="N617" s="194"/>
      <c r="O617" s="192"/>
      <c r="P617" s="55" t="s">
        <v>2667</v>
      </c>
      <c r="Q617" s="33" t="s">
        <v>86</v>
      </c>
      <c r="R617" s="34" t="s">
        <v>2869</v>
      </c>
      <c r="S617" s="44" t="s">
        <v>128</v>
      </c>
      <c r="T617" s="46"/>
      <c r="U617" s="35" t="s">
        <v>1100</v>
      </c>
      <c r="V617" s="56"/>
      <c r="W617" s="46"/>
      <c r="X617" s="194"/>
      <c r="Y617" s="194"/>
      <c r="Z617" s="194"/>
      <c r="AA617" s="194"/>
      <c r="AB617" s="220"/>
    </row>
    <row r="618" spans="1:28" ht="18.600000000000001" thickTop="1">
      <c r="A618" s="249" t="s">
        <v>2870</v>
      </c>
      <c r="B618" s="26">
        <v>45118</v>
      </c>
      <c r="C618" s="36">
        <v>954</v>
      </c>
      <c r="D618" s="28" t="s">
        <v>1978</v>
      </c>
      <c r="E618" s="199"/>
      <c r="F618" s="54" t="s">
        <v>2871</v>
      </c>
      <c r="G618" s="37" t="s">
        <v>2872</v>
      </c>
      <c r="H618" s="201">
        <v>4.5</v>
      </c>
      <c r="I618" s="193">
        <v>3100000</v>
      </c>
      <c r="J618" s="193">
        <v>310000</v>
      </c>
      <c r="K618" s="193">
        <v>26300</v>
      </c>
      <c r="L618" s="193">
        <v>21590</v>
      </c>
      <c r="M618" s="193">
        <v>13200</v>
      </c>
      <c r="N618" s="193">
        <f>SUM(I618:M619)</f>
        <v>3471090</v>
      </c>
      <c r="O618" s="191"/>
      <c r="P618" s="57" t="s">
        <v>2873</v>
      </c>
      <c r="Q618" s="29" t="s">
        <v>82</v>
      </c>
      <c r="R618" s="81"/>
      <c r="S618" s="48"/>
      <c r="T618" s="50"/>
      <c r="U618" s="30"/>
      <c r="V618" s="58"/>
      <c r="W618" s="52"/>
      <c r="X618" s="193"/>
      <c r="Y618" s="206">
        <f>X618*0.1</f>
        <v>0</v>
      </c>
      <c r="Z618" s="193"/>
      <c r="AA618" s="193">
        <f>SUM(X618:Z618)</f>
        <v>0</v>
      </c>
      <c r="AB618" s="219"/>
    </row>
    <row r="619" spans="1:28" ht="18.600000000000001" thickBot="1">
      <c r="A619" s="250"/>
      <c r="B619" s="31" t="s">
        <v>1848</v>
      </c>
      <c r="C619" s="31">
        <v>84107</v>
      </c>
      <c r="D619" s="32" t="s">
        <v>2168</v>
      </c>
      <c r="E619" s="200"/>
      <c r="F619" s="43" t="s">
        <v>2874</v>
      </c>
      <c r="G619" s="38">
        <v>38613</v>
      </c>
      <c r="H619" s="202"/>
      <c r="I619" s="194"/>
      <c r="J619" s="194"/>
      <c r="K619" s="194"/>
      <c r="L619" s="194"/>
      <c r="M619" s="194"/>
      <c r="N619" s="194"/>
      <c r="O619" s="192"/>
      <c r="P619" s="55" t="s">
        <v>2875</v>
      </c>
      <c r="Q619" s="33" t="s">
        <v>86</v>
      </c>
      <c r="R619" s="34" t="s">
        <v>2816</v>
      </c>
      <c r="S619" s="44" t="s">
        <v>2876</v>
      </c>
      <c r="T619" s="46"/>
      <c r="U619" s="35" t="s">
        <v>1100</v>
      </c>
      <c r="V619" s="56"/>
      <c r="W619" s="46"/>
      <c r="X619" s="194"/>
      <c r="Y619" s="194"/>
      <c r="Z619" s="194"/>
      <c r="AA619" s="194"/>
      <c r="AB619" s="220"/>
    </row>
    <row r="620" spans="1:28" ht="18.600000000000001" thickTop="1">
      <c r="A620" s="249" t="s">
        <v>2877</v>
      </c>
      <c r="B620" s="26">
        <v>45120</v>
      </c>
      <c r="C620" s="36">
        <v>1192</v>
      </c>
      <c r="D620" s="28" t="s">
        <v>2878</v>
      </c>
      <c r="E620" s="199"/>
      <c r="F620" s="54" t="s">
        <v>2879</v>
      </c>
      <c r="G620" s="37"/>
      <c r="H620" s="201">
        <v>4</v>
      </c>
      <c r="I620" s="193">
        <v>645000</v>
      </c>
      <c r="J620" s="193">
        <v>64500</v>
      </c>
      <c r="K620" s="193">
        <v>0</v>
      </c>
      <c r="L620" s="193">
        <v>17420</v>
      </c>
      <c r="M620" s="193">
        <v>13200</v>
      </c>
      <c r="N620" s="193">
        <f>SUM(I620:M621)</f>
        <v>740120</v>
      </c>
      <c r="O620" s="191"/>
      <c r="P620" s="57" t="s">
        <v>2880</v>
      </c>
      <c r="Q620" s="29" t="s">
        <v>82</v>
      </c>
      <c r="R620" s="81"/>
      <c r="S620" s="48" t="s">
        <v>2881</v>
      </c>
      <c r="T620" s="50"/>
      <c r="U620" s="30"/>
      <c r="V620" s="58"/>
      <c r="W620" s="52"/>
      <c r="X620" s="193"/>
      <c r="Y620" s="206">
        <f>X620*0.1</f>
        <v>0</v>
      </c>
      <c r="Z620" s="193"/>
      <c r="AA620" s="193">
        <f>SUM(X620:Z620)</f>
        <v>0</v>
      </c>
      <c r="AB620" s="219"/>
    </row>
    <row r="621" spans="1:28" ht="18.600000000000001" thickBot="1">
      <c r="A621" s="250"/>
      <c r="B621" s="31" t="s">
        <v>2017</v>
      </c>
      <c r="C621" s="31">
        <v>808</v>
      </c>
      <c r="D621" s="32" t="s">
        <v>2511</v>
      </c>
      <c r="E621" s="200"/>
      <c r="F621" s="43" t="s">
        <v>2882</v>
      </c>
      <c r="G621" s="38">
        <v>11933</v>
      </c>
      <c r="H621" s="202"/>
      <c r="I621" s="194"/>
      <c r="J621" s="194"/>
      <c r="K621" s="194"/>
      <c r="L621" s="194"/>
      <c r="M621" s="194"/>
      <c r="N621" s="194"/>
      <c r="O621" s="192"/>
      <c r="P621" s="55" t="s">
        <v>2144</v>
      </c>
      <c r="Q621" s="33" t="s">
        <v>86</v>
      </c>
      <c r="R621" s="34" t="s">
        <v>2883</v>
      </c>
      <c r="S621" s="44" t="s">
        <v>2884</v>
      </c>
      <c r="T621" s="46"/>
      <c r="U621" s="35"/>
      <c r="V621" s="56"/>
      <c r="W621" s="46"/>
      <c r="X621" s="194"/>
      <c r="Y621" s="194"/>
      <c r="Z621" s="194"/>
      <c r="AA621" s="194"/>
      <c r="AB621" s="220"/>
    </row>
    <row r="622" spans="1:28" ht="18.600000000000001" thickTop="1">
      <c r="A622" s="249" t="s">
        <v>2885</v>
      </c>
      <c r="B622" s="26">
        <v>45122</v>
      </c>
      <c r="C622" s="36">
        <v>1162</v>
      </c>
      <c r="D622" s="28" t="s">
        <v>2325</v>
      </c>
      <c r="E622" s="199"/>
      <c r="F622" s="54" t="s">
        <v>2886</v>
      </c>
      <c r="G622" s="37" t="s">
        <v>2887</v>
      </c>
      <c r="H622" s="201">
        <v>4</v>
      </c>
      <c r="I622" s="193">
        <v>1695000</v>
      </c>
      <c r="J622" s="193">
        <v>169500</v>
      </c>
      <c r="K622" s="193">
        <v>23000</v>
      </c>
      <c r="L622" s="193">
        <v>15060</v>
      </c>
      <c r="M622" s="193">
        <v>13200</v>
      </c>
      <c r="N622" s="193">
        <f>SUM(I622:M623)</f>
        <v>1915760</v>
      </c>
      <c r="O622" s="191"/>
      <c r="P622" s="57" t="s">
        <v>2888</v>
      </c>
      <c r="Q622" s="29" t="s">
        <v>82</v>
      </c>
      <c r="R622" s="81"/>
      <c r="S622" s="48" t="s">
        <v>2889</v>
      </c>
      <c r="T622" s="50"/>
      <c r="U622" s="30"/>
      <c r="V622" s="58"/>
      <c r="W622" s="52"/>
      <c r="X622" s="193"/>
      <c r="Y622" s="206">
        <f>X622*0.1</f>
        <v>0</v>
      </c>
      <c r="Z622" s="193"/>
      <c r="AA622" s="193">
        <f>SUM(X622:Z622)</f>
        <v>0</v>
      </c>
      <c r="AB622" s="219"/>
    </row>
    <row r="623" spans="1:28" ht="18.600000000000001" thickBot="1">
      <c r="A623" s="250"/>
      <c r="B623" s="31" t="s">
        <v>521</v>
      </c>
      <c r="C623" s="31">
        <v>82310</v>
      </c>
      <c r="D623" s="32" t="s">
        <v>399</v>
      </c>
      <c r="E623" s="200"/>
      <c r="F623" s="43" t="s">
        <v>2890</v>
      </c>
      <c r="G623" s="38">
        <v>17422</v>
      </c>
      <c r="H623" s="202"/>
      <c r="I623" s="194"/>
      <c r="J623" s="194"/>
      <c r="K623" s="194"/>
      <c r="L623" s="194"/>
      <c r="M623" s="194"/>
      <c r="N623" s="194"/>
      <c r="O623" s="192"/>
      <c r="P623" s="55" t="s">
        <v>2891</v>
      </c>
      <c r="Q623" s="33" t="s">
        <v>86</v>
      </c>
      <c r="R623" s="34" t="s">
        <v>2892</v>
      </c>
      <c r="S623" s="44" t="s">
        <v>1872</v>
      </c>
      <c r="T623" s="46"/>
      <c r="U623" s="35"/>
      <c r="V623" s="56"/>
      <c r="W623" s="46"/>
      <c r="X623" s="194"/>
      <c r="Y623" s="194"/>
      <c r="Z623" s="194"/>
      <c r="AA623" s="194"/>
      <c r="AB623" s="220"/>
    </row>
    <row r="624" spans="1:28" ht="18.600000000000001" thickTop="1">
      <c r="A624" s="249" t="s">
        <v>2893</v>
      </c>
      <c r="B624" s="26">
        <v>45127</v>
      </c>
      <c r="C624" s="36">
        <v>1427</v>
      </c>
      <c r="D624" s="28" t="s">
        <v>2894</v>
      </c>
      <c r="E624" s="199"/>
      <c r="F624" s="54" t="s">
        <v>2895</v>
      </c>
      <c r="G624" s="37" t="s">
        <v>2130</v>
      </c>
      <c r="H624" s="201">
        <v>3.5</v>
      </c>
      <c r="I624" s="193">
        <v>2070000</v>
      </c>
      <c r="J624" s="193">
        <v>207000</v>
      </c>
      <c r="K624" s="193">
        <v>67400</v>
      </c>
      <c r="L624" s="193">
        <v>19720</v>
      </c>
      <c r="M624" s="193">
        <v>13200</v>
      </c>
      <c r="N624" s="193">
        <f>SUM(I624:M625)</f>
        <v>2377320</v>
      </c>
      <c r="O624" s="191"/>
      <c r="P624" s="57" t="s">
        <v>2896</v>
      </c>
      <c r="Q624" s="29" t="s">
        <v>82</v>
      </c>
      <c r="R624" s="81"/>
      <c r="S624" s="48"/>
      <c r="T624" s="50"/>
      <c r="U624" s="30"/>
      <c r="V624" s="58"/>
      <c r="W624" s="52"/>
      <c r="X624" s="193"/>
      <c r="Y624" s="206">
        <f>X624*0.1</f>
        <v>0</v>
      </c>
      <c r="Z624" s="193"/>
      <c r="AA624" s="193">
        <f>SUM(X624:Z624)</f>
        <v>0</v>
      </c>
      <c r="AB624" s="219"/>
    </row>
    <row r="625" spans="1:28" ht="18.600000000000001" thickBot="1">
      <c r="A625" s="250"/>
      <c r="B625" s="31" t="s">
        <v>1858</v>
      </c>
      <c r="C625" s="31">
        <v>76029</v>
      </c>
      <c r="D625" s="32" t="s">
        <v>1965</v>
      </c>
      <c r="E625" s="200"/>
      <c r="F625" s="43" t="s">
        <v>2897</v>
      </c>
      <c r="G625" s="38">
        <v>58961</v>
      </c>
      <c r="H625" s="202"/>
      <c r="I625" s="194"/>
      <c r="J625" s="194"/>
      <c r="K625" s="194"/>
      <c r="L625" s="194"/>
      <c r="M625" s="194"/>
      <c r="N625" s="194"/>
      <c r="O625" s="192"/>
      <c r="P625" s="55" t="s">
        <v>2898</v>
      </c>
      <c r="Q625" s="33" t="s">
        <v>86</v>
      </c>
      <c r="R625" s="34" t="s">
        <v>2892</v>
      </c>
      <c r="S625" s="44" t="s">
        <v>2899</v>
      </c>
      <c r="T625" s="46"/>
      <c r="U625" s="35" t="s">
        <v>1100</v>
      </c>
      <c r="V625" s="56"/>
      <c r="W625" s="46"/>
      <c r="X625" s="194"/>
      <c r="Y625" s="194"/>
      <c r="Z625" s="194"/>
      <c r="AA625" s="194"/>
      <c r="AB625" s="220"/>
    </row>
    <row r="626" spans="1:28" ht="18.600000000000001" thickTop="1">
      <c r="A626" s="249" t="s">
        <v>2900</v>
      </c>
      <c r="B626" s="26">
        <v>45136</v>
      </c>
      <c r="C626" s="36">
        <v>1407</v>
      </c>
      <c r="D626" s="28" t="s">
        <v>1222</v>
      </c>
      <c r="E626" s="199"/>
      <c r="F626" s="54" t="s">
        <v>2901</v>
      </c>
      <c r="G626" s="37"/>
      <c r="H626" s="201">
        <v>4.5</v>
      </c>
      <c r="I626" s="193">
        <v>5075000</v>
      </c>
      <c r="J626" s="193">
        <v>507500</v>
      </c>
      <c r="K626" s="193">
        <v>0</v>
      </c>
      <c r="L626" s="193">
        <v>24830</v>
      </c>
      <c r="M626" s="193">
        <v>13200</v>
      </c>
      <c r="N626" s="193">
        <f>SUM(I626:M627)</f>
        <v>5620530</v>
      </c>
      <c r="O626" s="191"/>
      <c r="P626" s="57" t="s">
        <v>2902</v>
      </c>
      <c r="Q626" s="29" t="s">
        <v>82</v>
      </c>
      <c r="R626" s="81"/>
      <c r="S626" s="48" t="s">
        <v>2903</v>
      </c>
      <c r="T626" s="50"/>
      <c r="U626" s="30"/>
      <c r="V626" s="58"/>
      <c r="W626" s="52"/>
      <c r="X626" s="193"/>
      <c r="Y626" s="206">
        <f>X626*0.1</f>
        <v>0</v>
      </c>
      <c r="Z626" s="193"/>
      <c r="AA626" s="193">
        <f>SUM(X626:Z626)</f>
        <v>0</v>
      </c>
      <c r="AB626" s="219"/>
    </row>
    <row r="627" spans="1:28" ht="18.600000000000001" thickBot="1">
      <c r="A627" s="250"/>
      <c r="B627" s="31" t="s">
        <v>1810</v>
      </c>
      <c r="C627" s="31">
        <v>13033</v>
      </c>
      <c r="D627" s="32" t="s">
        <v>399</v>
      </c>
      <c r="E627" s="200"/>
      <c r="F627" s="43" t="s">
        <v>2904</v>
      </c>
      <c r="G627" s="38">
        <v>43100</v>
      </c>
      <c r="H627" s="202"/>
      <c r="I627" s="194"/>
      <c r="J627" s="194"/>
      <c r="K627" s="194"/>
      <c r="L627" s="194"/>
      <c r="M627" s="194"/>
      <c r="N627" s="194"/>
      <c r="O627" s="192"/>
      <c r="P627" s="55" t="s">
        <v>2905</v>
      </c>
      <c r="Q627" s="33" t="s">
        <v>86</v>
      </c>
      <c r="R627" s="34" t="s">
        <v>2906</v>
      </c>
      <c r="S627" s="44" t="s">
        <v>2907</v>
      </c>
      <c r="T627" s="46"/>
      <c r="U627" s="35"/>
      <c r="V627" s="56"/>
      <c r="W627" s="46"/>
      <c r="X627" s="194"/>
      <c r="Y627" s="194"/>
      <c r="Z627" s="194"/>
      <c r="AA627" s="194"/>
      <c r="AB627" s="220"/>
    </row>
    <row r="628" spans="1:28" ht="18.600000000000001" thickTop="1">
      <c r="A628" s="249" t="s">
        <v>2908</v>
      </c>
      <c r="B628" s="26">
        <v>45136</v>
      </c>
      <c r="C628" s="36">
        <v>1164</v>
      </c>
      <c r="D628" s="28" t="s">
        <v>2909</v>
      </c>
      <c r="E628" s="199"/>
      <c r="F628" s="54" t="s">
        <v>2910</v>
      </c>
      <c r="G628" s="37" t="s">
        <v>2911</v>
      </c>
      <c r="H628" s="201">
        <v>4.5</v>
      </c>
      <c r="I628" s="193">
        <v>2735000</v>
      </c>
      <c r="J628" s="193">
        <v>273500</v>
      </c>
      <c r="K628" s="193">
        <v>34000</v>
      </c>
      <c r="L628" s="193">
        <v>22760</v>
      </c>
      <c r="M628" s="193">
        <v>13200</v>
      </c>
      <c r="N628" s="193">
        <f>SUM(I628:M629)</f>
        <v>3078460</v>
      </c>
      <c r="O628" s="191"/>
      <c r="P628" s="57" t="s">
        <v>2912</v>
      </c>
      <c r="Q628" s="29" t="s">
        <v>82</v>
      </c>
      <c r="R628" s="81"/>
      <c r="S628" s="48" t="s">
        <v>940</v>
      </c>
      <c r="T628" s="50"/>
      <c r="U628" s="30"/>
      <c r="V628" s="58"/>
      <c r="W628" s="52"/>
      <c r="X628" s="193"/>
      <c r="Y628" s="206">
        <f>X628*0.1</f>
        <v>0</v>
      </c>
      <c r="Z628" s="193"/>
      <c r="AA628" s="193">
        <f>SUM(X628:Z628)</f>
        <v>0</v>
      </c>
      <c r="AB628" s="219"/>
    </row>
    <row r="629" spans="1:28" ht="18.600000000000001" thickBot="1">
      <c r="A629" s="250"/>
      <c r="B629" s="31" t="s">
        <v>1823</v>
      </c>
      <c r="C629" s="31">
        <v>85072</v>
      </c>
      <c r="D629" s="32" t="s">
        <v>244</v>
      </c>
      <c r="E629" s="200"/>
      <c r="F629" s="43" t="s">
        <v>2913</v>
      </c>
      <c r="G629" s="38">
        <v>49275</v>
      </c>
      <c r="H629" s="202"/>
      <c r="I629" s="194"/>
      <c r="J629" s="194"/>
      <c r="K629" s="194"/>
      <c r="L629" s="194"/>
      <c r="M629" s="194"/>
      <c r="N629" s="194"/>
      <c r="O629" s="192"/>
      <c r="P629" s="55" t="s">
        <v>2667</v>
      </c>
      <c r="Q629" s="33" t="s">
        <v>86</v>
      </c>
      <c r="R629" s="34" t="s">
        <v>2914</v>
      </c>
      <c r="S629" s="44" t="s">
        <v>2358</v>
      </c>
      <c r="T629" s="46"/>
      <c r="U629" s="35" t="s">
        <v>1100</v>
      </c>
      <c r="V629" s="56"/>
      <c r="W629" s="46"/>
      <c r="X629" s="194"/>
      <c r="Y629" s="194"/>
      <c r="Z629" s="194"/>
      <c r="AA629" s="194"/>
      <c r="AB629" s="220"/>
    </row>
    <row r="630" spans="1:28" ht="18.600000000000001" thickTop="1">
      <c r="A630" s="249" t="s">
        <v>2915</v>
      </c>
      <c r="B630" s="26">
        <v>45145</v>
      </c>
      <c r="C630" s="36"/>
      <c r="D630" s="28" t="s">
        <v>2810</v>
      </c>
      <c r="E630" s="199"/>
      <c r="F630" s="54" t="s">
        <v>2657</v>
      </c>
      <c r="G630" s="37"/>
      <c r="H630" s="201">
        <v>4.5</v>
      </c>
      <c r="I630" s="193">
        <v>2107000</v>
      </c>
      <c r="J630" s="193">
        <v>210700</v>
      </c>
      <c r="K630" s="193">
        <v>0</v>
      </c>
      <c r="L630" s="193">
        <v>16240</v>
      </c>
      <c r="M630" s="193">
        <v>13200</v>
      </c>
      <c r="N630" s="193">
        <f>SUM(I630:M631)</f>
        <v>2347140</v>
      </c>
      <c r="O630" s="191"/>
      <c r="P630" s="57" t="s">
        <v>2916</v>
      </c>
      <c r="Q630" s="29" t="s">
        <v>82</v>
      </c>
      <c r="R630" s="81"/>
      <c r="S630" s="48"/>
      <c r="T630" s="50"/>
      <c r="U630" s="30"/>
      <c r="V630" s="58"/>
      <c r="W630" s="52"/>
      <c r="X630" s="193"/>
      <c r="Y630" s="206">
        <f>X630*0.1</f>
        <v>0</v>
      </c>
      <c r="Z630" s="193"/>
      <c r="AA630" s="193">
        <f>SUM(X630:Z630)</f>
        <v>0</v>
      </c>
      <c r="AB630" s="219"/>
    </row>
    <row r="631" spans="1:28" ht="18.600000000000001" thickBot="1">
      <c r="A631" s="250"/>
      <c r="B631" s="31" t="s">
        <v>2917</v>
      </c>
      <c r="C631" s="31">
        <v>80270</v>
      </c>
      <c r="D631" s="32" t="s">
        <v>2918</v>
      </c>
      <c r="E631" s="200"/>
      <c r="F631" s="43" t="s">
        <v>2919</v>
      </c>
      <c r="G631" s="38">
        <v>41749</v>
      </c>
      <c r="H631" s="202"/>
      <c r="I631" s="194"/>
      <c r="J631" s="194"/>
      <c r="K631" s="194"/>
      <c r="L631" s="194"/>
      <c r="M631" s="194"/>
      <c r="N631" s="194"/>
      <c r="O631" s="192"/>
      <c r="P631" s="55" t="s">
        <v>2920</v>
      </c>
      <c r="Q631" s="33" t="s">
        <v>86</v>
      </c>
      <c r="R631" s="34" t="s">
        <v>2921</v>
      </c>
      <c r="S631" s="44" t="s">
        <v>2922</v>
      </c>
      <c r="T631" s="46"/>
      <c r="U631" s="35"/>
      <c r="V631" s="56"/>
      <c r="W631" s="46"/>
      <c r="X631" s="194"/>
      <c r="Y631" s="194"/>
      <c r="Z631" s="194"/>
      <c r="AA631" s="194"/>
      <c r="AB631" s="220"/>
    </row>
    <row r="632" spans="1:28" ht="18.600000000000001" thickTop="1">
      <c r="A632" s="249" t="s">
        <v>2923</v>
      </c>
      <c r="B632" s="26">
        <v>45158</v>
      </c>
      <c r="C632" s="36"/>
      <c r="D632" s="28" t="s">
        <v>2924</v>
      </c>
      <c r="E632" s="199"/>
      <c r="F632" s="54" t="s">
        <v>2299</v>
      </c>
      <c r="G632" s="37" t="s">
        <v>2925</v>
      </c>
      <c r="H632" s="201">
        <v>4.5</v>
      </c>
      <c r="I632" s="193">
        <v>2650000</v>
      </c>
      <c r="J632" s="193">
        <v>265000</v>
      </c>
      <c r="K632" s="193">
        <v>59000</v>
      </c>
      <c r="L632" s="193">
        <v>22270</v>
      </c>
      <c r="M632" s="193">
        <v>200750</v>
      </c>
      <c r="N632" s="193">
        <f>SUM(I632:M633)</f>
        <v>3197020</v>
      </c>
      <c r="O632" s="191"/>
      <c r="P632" s="57" t="s">
        <v>2926</v>
      </c>
      <c r="Q632" s="29" t="s">
        <v>82</v>
      </c>
      <c r="R632" s="81"/>
      <c r="S632" s="48" t="s">
        <v>2927</v>
      </c>
      <c r="T632" s="50"/>
      <c r="U632" s="30"/>
      <c r="V632" s="58"/>
      <c r="W632" s="52"/>
      <c r="X632" s="193"/>
      <c r="Y632" s="206">
        <f>X632*0.1</f>
        <v>0</v>
      </c>
      <c r="Z632" s="193"/>
      <c r="AA632" s="193">
        <f>SUM(X632:Z632)</f>
        <v>0</v>
      </c>
      <c r="AB632" s="219"/>
    </row>
    <row r="633" spans="1:28" ht="18.600000000000001" thickBot="1">
      <c r="A633" s="250"/>
      <c r="B633" s="31" t="s">
        <v>1985</v>
      </c>
      <c r="C633" s="31" t="s">
        <v>2928</v>
      </c>
      <c r="D633" s="32" t="s">
        <v>2511</v>
      </c>
      <c r="E633" s="200"/>
      <c r="F633" s="43" t="s">
        <v>2929</v>
      </c>
      <c r="G633" s="38">
        <v>16625</v>
      </c>
      <c r="H633" s="202"/>
      <c r="I633" s="194"/>
      <c r="J633" s="194"/>
      <c r="K633" s="194"/>
      <c r="L633" s="194"/>
      <c r="M633" s="194"/>
      <c r="N633" s="194"/>
      <c r="O633" s="192"/>
      <c r="P633" s="55" t="s">
        <v>2930</v>
      </c>
      <c r="Q633" s="33" t="s">
        <v>86</v>
      </c>
      <c r="R633" s="34" t="s">
        <v>2931</v>
      </c>
      <c r="S633" s="44" t="s">
        <v>2932</v>
      </c>
      <c r="T633" s="46" t="s">
        <v>2933</v>
      </c>
      <c r="U633" s="35"/>
      <c r="V633" s="56"/>
      <c r="W633" s="46"/>
      <c r="X633" s="194"/>
      <c r="Y633" s="194"/>
      <c r="Z633" s="194"/>
      <c r="AA633" s="194"/>
      <c r="AB633" s="220"/>
    </row>
    <row r="634" spans="1:28" ht="18.600000000000001" thickTop="1">
      <c r="A634" s="249" t="s">
        <v>2934</v>
      </c>
      <c r="B634" s="26">
        <v>45159</v>
      </c>
      <c r="C634" s="36"/>
      <c r="D634" s="28" t="s">
        <v>2440</v>
      </c>
      <c r="E634" s="199"/>
      <c r="F634" s="54" t="s">
        <v>2935</v>
      </c>
      <c r="G634" s="37"/>
      <c r="H634" s="201"/>
      <c r="I634" s="193">
        <v>695000</v>
      </c>
      <c r="J634" s="193">
        <v>69500</v>
      </c>
      <c r="K634" s="193">
        <v>0</v>
      </c>
      <c r="L634" s="193">
        <v>6030</v>
      </c>
      <c r="M634" s="193">
        <v>93225</v>
      </c>
      <c r="N634" s="193">
        <f>SUM(I634:M635)</f>
        <v>863755</v>
      </c>
      <c r="O634" s="191"/>
      <c r="P634" s="57" t="s">
        <v>2936</v>
      </c>
      <c r="Q634" s="29" t="s">
        <v>82</v>
      </c>
      <c r="R634" s="81"/>
      <c r="S634" s="48"/>
      <c r="T634" s="50"/>
      <c r="U634" s="30"/>
      <c r="V634" s="58"/>
      <c r="W634" s="52"/>
      <c r="X634" s="193"/>
      <c r="Y634" s="206">
        <f>X634*0.1</f>
        <v>0</v>
      </c>
      <c r="Z634" s="193"/>
      <c r="AA634" s="193">
        <f>SUM(X634:Z634)</f>
        <v>0</v>
      </c>
      <c r="AB634" s="219"/>
    </row>
    <row r="635" spans="1:28" ht="18.600000000000001" thickBot="1">
      <c r="A635" s="250"/>
      <c r="B635" s="31" t="s">
        <v>1985</v>
      </c>
      <c r="C635" s="31" t="s">
        <v>2937</v>
      </c>
      <c r="D635" s="32" t="s">
        <v>1811</v>
      </c>
      <c r="E635" s="200"/>
      <c r="F635" s="43" t="s">
        <v>2938</v>
      </c>
      <c r="G635" s="38">
        <v>128235</v>
      </c>
      <c r="H635" s="202"/>
      <c r="I635" s="194"/>
      <c r="J635" s="194"/>
      <c r="K635" s="194"/>
      <c r="L635" s="194"/>
      <c r="M635" s="194"/>
      <c r="N635" s="194"/>
      <c r="O635" s="192"/>
      <c r="P635" s="55" t="s">
        <v>2939</v>
      </c>
      <c r="Q635" s="33" t="s">
        <v>86</v>
      </c>
      <c r="R635" s="34" t="s">
        <v>2940</v>
      </c>
      <c r="S635" s="44" t="s">
        <v>2941</v>
      </c>
      <c r="T635" s="46"/>
      <c r="U635" s="35"/>
      <c r="V635" s="56"/>
      <c r="W635" s="46"/>
      <c r="X635" s="194"/>
      <c r="Y635" s="194"/>
      <c r="Z635" s="194"/>
      <c r="AA635" s="194"/>
      <c r="AB635" s="220"/>
    </row>
    <row r="636" spans="1:28" ht="18.600000000000001" thickTop="1">
      <c r="A636" s="249" t="s">
        <v>2942</v>
      </c>
      <c r="B636" s="26">
        <v>45161</v>
      </c>
      <c r="C636" s="36">
        <v>1705</v>
      </c>
      <c r="D636" s="28" t="s">
        <v>2644</v>
      </c>
      <c r="E636" s="199"/>
      <c r="F636" s="54" t="s">
        <v>2943</v>
      </c>
      <c r="G636" s="37"/>
      <c r="H636" s="201">
        <v>5</v>
      </c>
      <c r="I636" s="193">
        <v>1695000</v>
      </c>
      <c r="J636" s="193">
        <v>169500</v>
      </c>
      <c r="K636" s="193">
        <v>0</v>
      </c>
      <c r="L636" s="193">
        <v>16240</v>
      </c>
      <c r="M636" s="193">
        <v>18150</v>
      </c>
      <c r="N636" s="193">
        <f>SUM(I636:M637)</f>
        <v>1898890</v>
      </c>
      <c r="O636" s="191"/>
      <c r="P636" s="57" t="s">
        <v>2944</v>
      </c>
      <c r="Q636" s="29" t="s">
        <v>82</v>
      </c>
      <c r="R636" s="81"/>
      <c r="S636" s="48"/>
      <c r="T636" s="50"/>
      <c r="U636" s="30"/>
      <c r="V636" s="58"/>
      <c r="W636" s="52"/>
      <c r="X636" s="193"/>
      <c r="Y636" s="206">
        <f>X636*0.1</f>
        <v>0</v>
      </c>
      <c r="Z636" s="193"/>
      <c r="AA636" s="193">
        <f>SUM(X636:Z636)</f>
        <v>0</v>
      </c>
      <c r="AB636" s="219"/>
    </row>
    <row r="637" spans="1:28" ht="18.600000000000001" thickBot="1">
      <c r="A637" s="250"/>
      <c r="B637" s="31" t="s">
        <v>2945</v>
      </c>
      <c r="C637" s="31">
        <v>36465</v>
      </c>
      <c r="D637" s="32" t="s">
        <v>2946</v>
      </c>
      <c r="E637" s="200"/>
      <c r="F637" s="43" t="s">
        <v>2947</v>
      </c>
      <c r="G637" s="38">
        <v>25113</v>
      </c>
      <c r="H637" s="202"/>
      <c r="I637" s="194"/>
      <c r="J637" s="194"/>
      <c r="K637" s="194"/>
      <c r="L637" s="194"/>
      <c r="M637" s="194"/>
      <c r="N637" s="194"/>
      <c r="O637" s="192"/>
      <c r="P637" s="55" t="s">
        <v>2295</v>
      </c>
      <c r="Q637" s="33" t="s">
        <v>86</v>
      </c>
      <c r="R637" s="34" t="s">
        <v>2948</v>
      </c>
      <c r="S637" s="44" t="s">
        <v>96</v>
      </c>
      <c r="T637" s="46"/>
      <c r="U637" s="35"/>
      <c r="V637" s="56"/>
      <c r="W637" s="46"/>
      <c r="X637" s="194"/>
      <c r="Y637" s="194"/>
      <c r="Z637" s="194"/>
      <c r="AA637" s="194"/>
      <c r="AB637" s="220"/>
    </row>
    <row r="638" spans="1:28" ht="18.600000000000001" thickTop="1">
      <c r="A638" s="249" t="s">
        <v>2949</v>
      </c>
      <c r="B638" s="26">
        <v>45171</v>
      </c>
      <c r="C638" s="36" t="s">
        <v>2950</v>
      </c>
      <c r="D638" s="28" t="s">
        <v>2951</v>
      </c>
      <c r="E638" s="199"/>
      <c r="F638" s="54" t="s">
        <v>2952</v>
      </c>
      <c r="G638" s="37" t="s">
        <v>2953</v>
      </c>
      <c r="H638" s="201">
        <v>4.5</v>
      </c>
      <c r="I638" s="193">
        <v>4660000</v>
      </c>
      <c r="J638" s="193">
        <v>466000</v>
      </c>
      <c r="K638" s="193">
        <v>38200</v>
      </c>
      <c r="L638" s="193">
        <v>23320</v>
      </c>
      <c r="M638" s="193">
        <v>13200</v>
      </c>
      <c r="N638" s="193">
        <f>SUM(I638:M639)</f>
        <v>5200720</v>
      </c>
      <c r="O638" s="191"/>
      <c r="P638" s="57" t="s">
        <v>2954</v>
      </c>
      <c r="Q638" s="29" t="s">
        <v>82</v>
      </c>
      <c r="R638" s="81"/>
      <c r="S638" s="48" t="s">
        <v>2955</v>
      </c>
      <c r="T638" s="50"/>
      <c r="U638" s="30"/>
      <c r="V638" s="58"/>
      <c r="W638" s="52"/>
      <c r="X638" s="193"/>
      <c r="Y638" s="206">
        <f>X638*0.1</f>
        <v>0</v>
      </c>
      <c r="Z638" s="193"/>
      <c r="AA638" s="193">
        <f>SUM(X638:Z638)</f>
        <v>0</v>
      </c>
      <c r="AB638" s="219"/>
    </row>
    <row r="639" spans="1:28" ht="18.600000000000001" thickBot="1">
      <c r="A639" s="250"/>
      <c r="B639" s="31" t="s">
        <v>1810</v>
      </c>
      <c r="C639" s="31">
        <v>83017</v>
      </c>
      <c r="D639" s="32" t="s">
        <v>1849</v>
      </c>
      <c r="E639" s="200"/>
      <c r="F639" s="43" t="s">
        <v>2956</v>
      </c>
      <c r="G639" s="38">
        <v>32540</v>
      </c>
      <c r="H639" s="202"/>
      <c r="I639" s="194"/>
      <c r="J639" s="194"/>
      <c r="K639" s="194"/>
      <c r="L639" s="194"/>
      <c r="M639" s="194"/>
      <c r="N639" s="194"/>
      <c r="O639" s="192"/>
      <c r="P639" s="55" t="s">
        <v>2957</v>
      </c>
      <c r="Q639" s="33" t="s">
        <v>86</v>
      </c>
      <c r="R639" s="34" t="s">
        <v>2958</v>
      </c>
      <c r="S639" s="44" t="s">
        <v>2959</v>
      </c>
      <c r="T639" s="46"/>
      <c r="U639" s="35"/>
      <c r="V639" s="56"/>
      <c r="W639" s="46"/>
      <c r="X639" s="194"/>
      <c r="Y639" s="194"/>
      <c r="Z639" s="194"/>
      <c r="AA639" s="194"/>
      <c r="AB639" s="220"/>
    </row>
    <row r="640" spans="1:28" ht="18.600000000000001" thickTop="1">
      <c r="A640" s="249" t="s">
        <v>2960</v>
      </c>
      <c r="B640" s="26">
        <v>45176</v>
      </c>
      <c r="C640" s="36">
        <v>1433</v>
      </c>
      <c r="D640" s="28" t="s">
        <v>2368</v>
      </c>
      <c r="E640" s="199"/>
      <c r="F640" s="54" t="s">
        <v>2456</v>
      </c>
      <c r="G640" s="37" t="s">
        <v>2961</v>
      </c>
      <c r="H640" s="201">
        <v>4.5</v>
      </c>
      <c r="I640" s="193">
        <v>2050000</v>
      </c>
      <c r="J640" s="193">
        <v>205000</v>
      </c>
      <c r="K640" s="193">
        <v>19700</v>
      </c>
      <c r="L640" s="193">
        <v>21090</v>
      </c>
      <c r="M640" s="193">
        <v>13200</v>
      </c>
      <c r="N640" s="193">
        <f>SUM(I640:M641)</f>
        <v>2308990</v>
      </c>
      <c r="O640" s="191"/>
      <c r="P640" s="57" t="s">
        <v>2962</v>
      </c>
      <c r="Q640" s="29" t="s">
        <v>82</v>
      </c>
      <c r="R640" s="81"/>
      <c r="S640" s="48" t="s">
        <v>1821</v>
      </c>
      <c r="T640" s="50"/>
      <c r="U640" s="30"/>
      <c r="V640" s="58"/>
      <c r="W640" s="52"/>
      <c r="X640" s="193"/>
      <c r="Y640" s="206">
        <f>X640*0.1</f>
        <v>0</v>
      </c>
      <c r="Z640" s="193"/>
      <c r="AA640" s="193">
        <f>SUM(X640:Z640)</f>
        <v>0</v>
      </c>
      <c r="AB640" s="219"/>
    </row>
    <row r="641" spans="1:28" ht="18.600000000000001" thickBot="1">
      <c r="A641" s="250"/>
      <c r="B641" s="31" t="s">
        <v>1858</v>
      </c>
      <c r="C641" s="31">
        <v>76031</v>
      </c>
      <c r="D641" s="32" t="s">
        <v>399</v>
      </c>
      <c r="E641" s="200"/>
      <c r="F641" s="43" t="s">
        <v>2963</v>
      </c>
      <c r="G641" s="38">
        <v>25240</v>
      </c>
      <c r="H641" s="202"/>
      <c r="I641" s="194"/>
      <c r="J641" s="194"/>
      <c r="K641" s="194"/>
      <c r="L641" s="194"/>
      <c r="M641" s="194"/>
      <c r="N641" s="194"/>
      <c r="O641" s="192"/>
      <c r="P641" s="55" t="s">
        <v>2964</v>
      </c>
      <c r="Q641" s="33" t="s">
        <v>86</v>
      </c>
      <c r="R641" s="34" t="s">
        <v>2965</v>
      </c>
      <c r="S641" s="44" t="s">
        <v>2966</v>
      </c>
      <c r="T641" s="46"/>
      <c r="U641" s="35" t="s">
        <v>1100</v>
      </c>
      <c r="V641" s="56"/>
      <c r="W641" s="46"/>
      <c r="X641" s="194"/>
      <c r="Y641" s="194"/>
      <c r="Z641" s="194"/>
      <c r="AA641" s="194"/>
      <c r="AB641" s="220"/>
    </row>
    <row r="642" spans="1:28" ht="18.600000000000001" thickTop="1">
      <c r="A642" s="249" t="s">
        <v>2967</v>
      </c>
      <c r="B642" s="26">
        <v>45176</v>
      </c>
      <c r="C642" s="36">
        <v>1433</v>
      </c>
      <c r="D642" s="28" t="s">
        <v>1978</v>
      </c>
      <c r="E642" s="199"/>
      <c r="F642" s="54" t="s">
        <v>2968</v>
      </c>
      <c r="G642" s="37" t="s">
        <v>2969</v>
      </c>
      <c r="H642" s="201">
        <v>4.5</v>
      </c>
      <c r="I642" s="193">
        <v>2390000</v>
      </c>
      <c r="J642" s="193">
        <v>239000</v>
      </c>
      <c r="K642" s="193">
        <v>19700</v>
      </c>
      <c r="L642" s="193">
        <v>21220</v>
      </c>
      <c r="M642" s="193">
        <v>24200</v>
      </c>
      <c r="N642" s="193">
        <f>SUM(I642:M643)</f>
        <v>2694120</v>
      </c>
      <c r="O642" s="191"/>
      <c r="P642" s="57" t="s">
        <v>2970</v>
      </c>
      <c r="Q642" s="29" t="s">
        <v>82</v>
      </c>
      <c r="R642" s="81"/>
      <c r="S642" s="48"/>
      <c r="T642" s="50"/>
      <c r="U642" s="30"/>
      <c r="V642" s="58"/>
      <c r="W642" s="52"/>
      <c r="X642" s="193"/>
      <c r="Y642" s="206">
        <f>X642*0.1</f>
        <v>0</v>
      </c>
      <c r="Z642" s="193"/>
      <c r="AA642" s="193">
        <f>SUM(X642:Z642)</f>
        <v>0</v>
      </c>
      <c r="AB642" s="219"/>
    </row>
    <row r="643" spans="1:28" ht="18.600000000000001" thickBot="1">
      <c r="A643" s="250"/>
      <c r="B643" s="31" t="s">
        <v>1858</v>
      </c>
      <c r="C643" s="31">
        <v>76040</v>
      </c>
      <c r="D643" s="32" t="s">
        <v>244</v>
      </c>
      <c r="E643" s="200"/>
      <c r="F643" s="43" t="s">
        <v>2971</v>
      </c>
      <c r="G643" s="38">
        <v>21652</v>
      </c>
      <c r="H643" s="202"/>
      <c r="I643" s="194"/>
      <c r="J643" s="194"/>
      <c r="K643" s="194"/>
      <c r="L643" s="194"/>
      <c r="M643" s="194"/>
      <c r="N643" s="194"/>
      <c r="O643" s="192"/>
      <c r="P643" s="55" t="s">
        <v>2972</v>
      </c>
      <c r="Q643" s="33" t="s">
        <v>86</v>
      </c>
      <c r="R643" s="34" t="s">
        <v>2973</v>
      </c>
      <c r="S643" s="44" t="s">
        <v>1872</v>
      </c>
      <c r="T643" s="46"/>
      <c r="U643" s="35" t="s">
        <v>1100</v>
      </c>
      <c r="V643" s="56"/>
      <c r="W643" s="46"/>
      <c r="X643" s="194"/>
      <c r="Y643" s="194"/>
      <c r="Z643" s="194"/>
      <c r="AA643" s="194"/>
      <c r="AB643" s="220"/>
    </row>
    <row r="644" spans="1:28" ht="18.600000000000001" thickTop="1">
      <c r="A644" s="249" t="s">
        <v>2974</v>
      </c>
      <c r="B644" s="26">
        <v>45180</v>
      </c>
      <c r="C644" s="36">
        <v>1961</v>
      </c>
      <c r="D644" s="28" t="s">
        <v>2810</v>
      </c>
      <c r="E644" s="199"/>
      <c r="F644" s="54" t="s">
        <v>2975</v>
      </c>
      <c r="G644" s="37"/>
      <c r="H644" s="201">
        <v>4</v>
      </c>
      <c r="I644" s="193">
        <v>2555000</v>
      </c>
      <c r="J644" s="193">
        <v>255500</v>
      </c>
      <c r="K644" s="193">
        <v>0</v>
      </c>
      <c r="L644" s="193">
        <v>22490</v>
      </c>
      <c r="M644" s="193">
        <v>11000</v>
      </c>
      <c r="N644" s="193">
        <f>SUM(I644:M645)</f>
        <v>2843990</v>
      </c>
      <c r="O644" s="191"/>
      <c r="P644" s="57" t="s">
        <v>2976</v>
      </c>
      <c r="Q644" s="29" t="s">
        <v>82</v>
      </c>
      <c r="R644" s="81"/>
      <c r="S644" s="48" t="s">
        <v>2977</v>
      </c>
      <c r="T644" s="50"/>
      <c r="U644" s="30"/>
      <c r="V644" s="58"/>
      <c r="W644" s="52"/>
      <c r="X644" s="193"/>
      <c r="Y644" s="206">
        <f>X644*0.1</f>
        <v>0</v>
      </c>
      <c r="Z644" s="193"/>
      <c r="AA644" s="193">
        <f>SUM(X644:Z644)</f>
        <v>0</v>
      </c>
      <c r="AB644" s="219"/>
    </row>
    <row r="645" spans="1:28" ht="18.600000000000001" thickBot="1">
      <c r="A645" s="250"/>
      <c r="B645" s="31" t="s">
        <v>189</v>
      </c>
      <c r="C645" s="31">
        <v>31005</v>
      </c>
      <c r="D645" s="32" t="s">
        <v>399</v>
      </c>
      <c r="E645" s="200"/>
      <c r="F645" s="43" t="s">
        <v>2978</v>
      </c>
      <c r="G645" s="38">
        <v>16449</v>
      </c>
      <c r="H645" s="202"/>
      <c r="I645" s="194"/>
      <c r="J645" s="194"/>
      <c r="K645" s="194"/>
      <c r="L645" s="194"/>
      <c r="M645" s="194"/>
      <c r="N645" s="194"/>
      <c r="O645" s="192"/>
      <c r="P645" s="55" t="s">
        <v>2800</v>
      </c>
      <c r="Q645" s="33" t="s">
        <v>86</v>
      </c>
      <c r="R645" s="34" t="s">
        <v>2469</v>
      </c>
      <c r="S645" s="44" t="s">
        <v>96</v>
      </c>
      <c r="T645" s="46"/>
      <c r="U645" s="35"/>
      <c r="V645" s="56"/>
      <c r="W645" s="46"/>
      <c r="X645" s="194"/>
      <c r="Y645" s="194"/>
      <c r="Z645" s="194"/>
      <c r="AA645" s="194"/>
      <c r="AB645" s="220"/>
    </row>
    <row r="646" spans="1:28" ht="18.600000000000001" thickTop="1">
      <c r="A646" s="249" t="s">
        <v>2979</v>
      </c>
      <c r="B646" s="26">
        <v>45184</v>
      </c>
      <c r="C646" s="36">
        <v>2004</v>
      </c>
      <c r="D646" s="28" t="s">
        <v>1980</v>
      </c>
      <c r="E646" s="199" t="s">
        <v>282</v>
      </c>
      <c r="F646" s="54" t="s">
        <v>2980</v>
      </c>
      <c r="G646" s="37" t="s">
        <v>2981</v>
      </c>
      <c r="H646" s="201">
        <v>5</v>
      </c>
      <c r="I646" s="193">
        <v>3540000</v>
      </c>
      <c r="J646" s="193">
        <v>354000</v>
      </c>
      <c r="K646" s="193">
        <v>18000</v>
      </c>
      <c r="L646" s="193">
        <v>18170</v>
      </c>
      <c r="M646" s="193">
        <v>13200</v>
      </c>
      <c r="N646" s="193">
        <f>SUM(I646:M647)</f>
        <v>3943370</v>
      </c>
      <c r="O646" s="191"/>
      <c r="P646" s="57" t="s">
        <v>2982</v>
      </c>
      <c r="Q646" s="29" t="s">
        <v>82</v>
      </c>
      <c r="R646" s="81"/>
      <c r="S646" s="48" t="s">
        <v>1666</v>
      </c>
      <c r="T646" s="50"/>
      <c r="U646" s="30" t="s">
        <v>2983</v>
      </c>
      <c r="V646" s="58"/>
      <c r="W646" s="52"/>
      <c r="X646" s="193"/>
      <c r="Y646" s="206">
        <f>X646*0.1</f>
        <v>0</v>
      </c>
      <c r="Z646" s="193"/>
      <c r="AA646" s="193">
        <f>SUM(X646:Z646)</f>
        <v>0</v>
      </c>
      <c r="AB646" s="219"/>
    </row>
    <row r="647" spans="1:28" ht="18.600000000000001" thickBot="1">
      <c r="A647" s="250"/>
      <c r="B647" s="31" t="s">
        <v>1797</v>
      </c>
      <c r="C647" s="31">
        <v>58461</v>
      </c>
      <c r="D647" s="32" t="s">
        <v>2089</v>
      </c>
      <c r="E647" s="200"/>
      <c r="F647" s="43" t="s">
        <v>2984</v>
      </c>
      <c r="G647" s="38">
        <v>20403</v>
      </c>
      <c r="H647" s="202"/>
      <c r="I647" s="194"/>
      <c r="J647" s="194"/>
      <c r="K647" s="194"/>
      <c r="L647" s="194"/>
      <c r="M647" s="194"/>
      <c r="N647" s="194"/>
      <c r="O647" s="192"/>
      <c r="P647" s="55" t="s">
        <v>2295</v>
      </c>
      <c r="Q647" s="33" t="s">
        <v>86</v>
      </c>
      <c r="R647" s="34" t="s">
        <v>2469</v>
      </c>
      <c r="S647" s="44" t="s">
        <v>1872</v>
      </c>
      <c r="T647" s="46"/>
      <c r="U647" s="35"/>
      <c r="V647" s="56"/>
      <c r="W647" s="46"/>
      <c r="X647" s="194"/>
      <c r="Y647" s="194"/>
      <c r="Z647" s="194"/>
      <c r="AA647" s="194"/>
      <c r="AB647" s="220"/>
    </row>
    <row r="648" spans="1:28" ht="18.600000000000001" thickTop="1">
      <c r="A648" s="249" t="s">
        <v>2985</v>
      </c>
      <c r="B648" s="26">
        <v>45185</v>
      </c>
      <c r="C648" s="36">
        <v>1170</v>
      </c>
      <c r="D648" s="28" t="s">
        <v>2136</v>
      </c>
      <c r="E648" s="199"/>
      <c r="F648" s="54" t="s">
        <v>2980</v>
      </c>
      <c r="G648" s="37" t="s">
        <v>2397</v>
      </c>
      <c r="H648" s="201">
        <v>3.5</v>
      </c>
      <c r="I648" s="193">
        <v>2140000</v>
      </c>
      <c r="J648" s="193">
        <v>214000</v>
      </c>
      <c r="K648" s="193">
        <v>18000</v>
      </c>
      <c r="L648" s="193">
        <v>18170</v>
      </c>
      <c r="M648" s="193">
        <v>13200</v>
      </c>
      <c r="N648" s="193">
        <f>SUM(I648:M649)</f>
        <v>2403370</v>
      </c>
      <c r="O648" s="191"/>
      <c r="P648" s="57" t="s">
        <v>2986</v>
      </c>
      <c r="Q648" s="29" t="s">
        <v>82</v>
      </c>
      <c r="R648" s="81"/>
      <c r="S648" s="48" t="s">
        <v>2528</v>
      </c>
      <c r="T648" s="50"/>
      <c r="U648" s="30"/>
      <c r="V648" s="58"/>
      <c r="W648" s="52"/>
      <c r="X648" s="193"/>
      <c r="Y648" s="206">
        <f>X648*0.1</f>
        <v>0</v>
      </c>
      <c r="Z648" s="193"/>
      <c r="AA648" s="193">
        <f>SUM(X648:Z648)</f>
        <v>0</v>
      </c>
      <c r="AB648" s="219"/>
    </row>
    <row r="649" spans="1:28" ht="18.600000000000001" thickBot="1">
      <c r="A649" s="250"/>
      <c r="B649" s="31" t="s">
        <v>521</v>
      </c>
      <c r="C649" s="31">
        <v>82415</v>
      </c>
      <c r="D649" s="32" t="s">
        <v>399</v>
      </c>
      <c r="E649" s="200"/>
      <c r="F649" s="43" t="s">
        <v>2987</v>
      </c>
      <c r="G649" s="38">
        <v>43750</v>
      </c>
      <c r="H649" s="202"/>
      <c r="I649" s="194"/>
      <c r="J649" s="194"/>
      <c r="K649" s="194"/>
      <c r="L649" s="194"/>
      <c r="M649" s="194"/>
      <c r="N649" s="194"/>
      <c r="O649" s="192"/>
      <c r="P649" s="55" t="s">
        <v>2988</v>
      </c>
      <c r="Q649" s="33" t="s">
        <v>86</v>
      </c>
      <c r="R649" s="34" t="s">
        <v>2989</v>
      </c>
      <c r="S649" s="44" t="s">
        <v>1872</v>
      </c>
      <c r="T649" s="46"/>
      <c r="U649" s="142" t="s">
        <v>1100</v>
      </c>
      <c r="V649" s="56"/>
      <c r="W649" s="46"/>
      <c r="X649" s="194"/>
      <c r="Y649" s="194"/>
      <c r="Z649" s="194"/>
      <c r="AA649" s="194"/>
      <c r="AB649" s="220"/>
    </row>
    <row r="650" spans="1:28" ht="18.600000000000001" thickTop="1">
      <c r="A650" s="249" t="s">
        <v>2990</v>
      </c>
      <c r="B650" s="26">
        <v>45199</v>
      </c>
      <c r="C650" s="36">
        <v>1172</v>
      </c>
      <c r="D650" s="28" t="s">
        <v>1817</v>
      </c>
      <c r="E650" s="199"/>
      <c r="F650" s="54" t="s">
        <v>2991</v>
      </c>
      <c r="G650" s="37" t="s">
        <v>2611</v>
      </c>
      <c r="H650" s="201">
        <v>4.5</v>
      </c>
      <c r="I650" s="193">
        <v>875000</v>
      </c>
      <c r="J650" s="193">
        <f>I650*0.1</f>
        <v>87500</v>
      </c>
      <c r="K650" s="193">
        <v>0</v>
      </c>
      <c r="L650" s="193">
        <v>9080</v>
      </c>
      <c r="M650" s="193">
        <v>12100</v>
      </c>
      <c r="N650" s="193">
        <f>SUM(I650:M651)</f>
        <v>983680</v>
      </c>
      <c r="O650" s="191"/>
      <c r="P650" s="57" t="s">
        <v>2992</v>
      </c>
      <c r="Q650" s="29" t="s">
        <v>82</v>
      </c>
      <c r="R650" s="81"/>
      <c r="S650" s="48" t="s">
        <v>1326</v>
      </c>
      <c r="T650" s="50" t="s">
        <v>2993</v>
      </c>
      <c r="U650" s="30"/>
      <c r="V650" s="58"/>
      <c r="W650" s="52"/>
      <c r="X650" s="193"/>
      <c r="Y650" s="206">
        <f>X650*0.1</f>
        <v>0</v>
      </c>
      <c r="Z650" s="193"/>
      <c r="AA650" s="193">
        <f>SUM(X650:Z650)</f>
        <v>0</v>
      </c>
      <c r="AB650" s="219"/>
    </row>
    <row r="651" spans="1:28" ht="18.600000000000001" thickBot="1">
      <c r="A651" s="250"/>
      <c r="B651" s="31" t="s">
        <v>521</v>
      </c>
      <c r="C651" s="31">
        <v>65082</v>
      </c>
      <c r="D651" s="32" t="s">
        <v>95</v>
      </c>
      <c r="E651" s="200"/>
      <c r="F651" s="43" t="s">
        <v>2994</v>
      </c>
      <c r="G651" s="38">
        <v>55444</v>
      </c>
      <c r="H651" s="202"/>
      <c r="I651" s="194"/>
      <c r="J651" s="194"/>
      <c r="K651" s="194"/>
      <c r="L651" s="194"/>
      <c r="M651" s="194"/>
      <c r="N651" s="194"/>
      <c r="O651" s="192"/>
      <c r="P651" s="55" t="s">
        <v>2995</v>
      </c>
      <c r="Q651" s="33" t="s">
        <v>86</v>
      </c>
      <c r="R651" s="34" t="s">
        <v>2996</v>
      </c>
      <c r="S651" s="44" t="s">
        <v>2997</v>
      </c>
      <c r="T651" s="46"/>
      <c r="U651" s="35"/>
      <c r="V651" s="56"/>
      <c r="W651" s="46"/>
      <c r="X651" s="194"/>
      <c r="Y651" s="194"/>
      <c r="Z651" s="194"/>
      <c r="AA651" s="194"/>
      <c r="AB651" s="220"/>
    </row>
    <row r="652" spans="1:28" ht="18.600000000000001" thickTop="1">
      <c r="A652" s="249" t="s">
        <v>2998</v>
      </c>
      <c r="B652" s="26">
        <v>45199</v>
      </c>
      <c r="C652" s="36">
        <v>1172</v>
      </c>
      <c r="D652" s="28" t="s">
        <v>2999</v>
      </c>
      <c r="E652" s="199"/>
      <c r="F652" s="54" t="s">
        <v>3000</v>
      </c>
      <c r="G652" s="37" t="s">
        <v>2778</v>
      </c>
      <c r="H652" s="201">
        <v>4.5</v>
      </c>
      <c r="I652" s="193">
        <v>1810000</v>
      </c>
      <c r="J652" s="193">
        <f>I652*0.1</f>
        <v>181000</v>
      </c>
      <c r="K652" s="193">
        <v>18000</v>
      </c>
      <c r="L652" s="193">
        <v>21020</v>
      </c>
      <c r="M652" s="193">
        <v>13200</v>
      </c>
      <c r="N652" s="193">
        <f>SUM(I652:M653)</f>
        <v>2043220</v>
      </c>
      <c r="O652" s="191"/>
      <c r="P652" s="57" t="s">
        <v>3001</v>
      </c>
      <c r="Q652" s="29" t="s">
        <v>82</v>
      </c>
      <c r="R652" s="81"/>
      <c r="S652" s="48" t="s">
        <v>3002</v>
      </c>
      <c r="T652" s="50"/>
      <c r="U652" s="30"/>
      <c r="V652" s="58"/>
      <c r="W652" s="52"/>
      <c r="X652" s="193"/>
      <c r="Y652" s="206">
        <f>X652*0.1</f>
        <v>0</v>
      </c>
      <c r="Z652" s="193"/>
      <c r="AA652" s="193">
        <f>SUM(X652:Z652)</f>
        <v>0</v>
      </c>
      <c r="AB652" s="219"/>
    </row>
    <row r="653" spans="1:28" ht="18.600000000000001" thickBot="1">
      <c r="A653" s="250"/>
      <c r="B653" s="31" t="s">
        <v>521</v>
      </c>
      <c r="C653" s="31">
        <v>85077</v>
      </c>
      <c r="D653" s="32" t="s">
        <v>399</v>
      </c>
      <c r="E653" s="200"/>
      <c r="F653" s="43" t="s">
        <v>3003</v>
      </c>
      <c r="G653" s="38">
        <v>34932</v>
      </c>
      <c r="H653" s="202"/>
      <c r="I653" s="194"/>
      <c r="J653" s="194"/>
      <c r="K653" s="194"/>
      <c r="L653" s="194"/>
      <c r="M653" s="194"/>
      <c r="N653" s="194"/>
      <c r="O653" s="192"/>
      <c r="P653" s="55" t="s">
        <v>3004</v>
      </c>
      <c r="Q653" s="33" t="s">
        <v>86</v>
      </c>
      <c r="R653" s="34" t="s">
        <v>2996</v>
      </c>
      <c r="S653" s="44" t="s">
        <v>1872</v>
      </c>
      <c r="T653" s="46"/>
      <c r="U653" s="35" t="s">
        <v>1100</v>
      </c>
      <c r="V653" s="56"/>
      <c r="W653" s="46"/>
      <c r="X653" s="194"/>
      <c r="Y653" s="194"/>
      <c r="Z653" s="194"/>
      <c r="AA653" s="194"/>
      <c r="AB653" s="220"/>
    </row>
    <row r="654" spans="1:28" ht="18.600000000000001" thickTop="1">
      <c r="A654" s="249" t="s">
        <v>3005</v>
      </c>
      <c r="B654" s="26">
        <v>45204</v>
      </c>
      <c r="C654" s="36">
        <v>1437</v>
      </c>
      <c r="D654" s="28" t="s">
        <v>2229</v>
      </c>
      <c r="E654" s="199"/>
      <c r="F654" s="54" t="s">
        <v>2756</v>
      </c>
      <c r="G654" s="37"/>
      <c r="H654" s="201">
        <v>4</v>
      </c>
      <c r="I654" s="193">
        <v>2590000</v>
      </c>
      <c r="J654" s="193">
        <v>259000</v>
      </c>
      <c r="K654" s="193">
        <v>0</v>
      </c>
      <c r="L654" s="193">
        <v>22760</v>
      </c>
      <c r="M654" s="193">
        <v>13200</v>
      </c>
      <c r="N654" s="193">
        <f>SUM(I654:M655)</f>
        <v>2884960</v>
      </c>
      <c r="O654" s="191"/>
      <c r="P654" s="57" t="s">
        <v>3006</v>
      </c>
      <c r="Q654" s="29" t="s">
        <v>82</v>
      </c>
      <c r="R654" s="81"/>
      <c r="S654" s="48" t="s">
        <v>1494</v>
      </c>
      <c r="T654" s="50"/>
      <c r="U654" s="30"/>
      <c r="V654" s="58"/>
      <c r="W654" s="52"/>
      <c r="X654" s="193"/>
      <c r="Y654" s="206">
        <f>X654*0.1</f>
        <v>0</v>
      </c>
      <c r="Z654" s="193"/>
      <c r="AA654" s="193">
        <f>SUM(X654:Z654)</f>
        <v>0</v>
      </c>
      <c r="AB654" s="219"/>
    </row>
    <row r="655" spans="1:28" ht="18.600000000000001" thickBot="1">
      <c r="A655" s="250"/>
      <c r="B655" s="31" t="s">
        <v>1858</v>
      </c>
      <c r="C655" s="31">
        <v>75721</v>
      </c>
      <c r="D655" s="32" t="s">
        <v>2089</v>
      </c>
      <c r="E655" s="200"/>
      <c r="F655" s="43" t="s">
        <v>3007</v>
      </c>
      <c r="G655" s="38">
        <v>46927</v>
      </c>
      <c r="H655" s="202"/>
      <c r="I655" s="194"/>
      <c r="J655" s="194"/>
      <c r="K655" s="194"/>
      <c r="L655" s="194"/>
      <c r="M655" s="194"/>
      <c r="N655" s="194"/>
      <c r="O655" s="192"/>
      <c r="P655" s="55" t="s">
        <v>3008</v>
      </c>
      <c r="Q655" s="33" t="s">
        <v>86</v>
      </c>
      <c r="R655" s="34" t="s">
        <v>2996</v>
      </c>
      <c r="S655" s="44" t="s">
        <v>3009</v>
      </c>
      <c r="T655" s="46"/>
      <c r="U655" s="35"/>
      <c r="V655" s="56"/>
      <c r="W655" s="46"/>
      <c r="X655" s="194"/>
      <c r="Y655" s="194"/>
      <c r="Z655" s="194"/>
      <c r="AA655" s="194"/>
      <c r="AB655" s="220"/>
    </row>
    <row r="656" spans="1:28" ht="18.600000000000001" thickTop="1">
      <c r="A656" s="249" t="s">
        <v>3010</v>
      </c>
      <c r="B656" s="26">
        <v>45230</v>
      </c>
      <c r="C656" s="36">
        <v>969</v>
      </c>
      <c r="D656" s="28" t="s">
        <v>3011</v>
      </c>
      <c r="E656" s="199"/>
      <c r="F656" s="54" t="s">
        <v>3012</v>
      </c>
      <c r="G656" s="37" t="s">
        <v>3013</v>
      </c>
      <c r="H656" s="201">
        <v>4.5</v>
      </c>
      <c r="I656" s="193">
        <v>1460000</v>
      </c>
      <c r="J656" s="193">
        <v>146000</v>
      </c>
      <c r="K656" s="193">
        <v>13970</v>
      </c>
      <c r="L656" s="193">
        <v>16240</v>
      </c>
      <c r="M656" s="193">
        <v>24200</v>
      </c>
      <c r="N656" s="193">
        <f>SUM(I656:M657)</f>
        <v>1660410</v>
      </c>
      <c r="O656" s="191"/>
      <c r="P656" s="57" t="s">
        <v>3014</v>
      </c>
      <c r="Q656" s="29" t="s">
        <v>82</v>
      </c>
      <c r="R656" s="81"/>
      <c r="S656" s="48" t="s">
        <v>1326</v>
      </c>
      <c r="T656" s="50"/>
      <c r="U656" s="30" t="s">
        <v>3015</v>
      </c>
      <c r="V656" s="58"/>
      <c r="W656" s="52"/>
      <c r="X656" s="193"/>
      <c r="Y656" s="206">
        <f>X656*0.1</f>
        <v>0</v>
      </c>
      <c r="Z656" s="193"/>
      <c r="AA656" s="193">
        <f>SUM(X656:Z656)</f>
        <v>0</v>
      </c>
      <c r="AB656" s="219"/>
    </row>
    <row r="657" spans="1:28" ht="18.600000000000001" thickBot="1">
      <c r="A657" s="250"/>
      <c r="B657" s="31" t="s">
        <v>1848</v>
      </c>
      <c r="C657" s="31">
        <v>84076</v>
      </c>
      <c r="D657" s="32" t="s">
        <v>2089</v>
      </c>
      <c r="E657" s="200"/>
      <c r="F657" s="43" t="s">
        <v>3016</v>
      </c>
      <c r="G657" s="38">
        <v>39209</v>
      </c>
      <c r="H657" s="202"/>
      <c r="I657" s="194"/>
      <c r="J657" s="194"/>
      <c r="K657" s="194"/>
      <c r="L657" s="194"/>
      <c r="M657" s="194"/>
      <c r="N657" s="194"/>
      <c r="O657" s="192"/>
      <c r="P657" s="55" t="s">
        <v>3017</v>
      </c>
      <c r="Q657" s="33" t="s">
        <v>86</v>
      </c>
      <c r="R657" s="34" t="s">
        <v>3018</v>
      </c>
      <c r="S657" s="44" t="s">
        <v>287</v>
      </c>
      <c r="T657" s="46"/>
      <c r="U657" s="35"/>
      <c r="V657" s="56"/>
      <c r="W657" s="46"/>
      <c r="X657" s="194"/>
      <c r="Y657" s="194"/>
      <c r="Z657" s="194"/>
      <c r="AA657" s="194"/>
      <c r="AB657" s="220"/>
    </row>
    <row r="658" spans="1:28" ht="18.600000000000001" thickTop="1">
      <c r="A658" s="249" t="s">
        <v>3019</v>
      </c>
      <c r="B658" s="26">
        <v>45241</v>
      </c>
      <c r="C658" s="36">
        <v>1178</v>
      </c>
      <c r="D658" s="28" t="s">
        <v>2999</v>
      </c>
      <c r="E658" s="199" t="s">
        <v>282</v>
      </c>
      <c r="F658" s="54" t="s">
        <v>2657</v>
      </c>
      <c r="G658" s="37" t="s">
        <v>3020</v>
      </c>
      <c r="H658" s="201">
        <v>4.5</v>
      </c>
      <c r="I658" s="193">
        <v>2510000</v>
      </c>
      <c r="J658" s="193">
        <v>251000</v>
      </c>
      <c r="K658" s="193">
        <v>13200</v>
      </c>
      <c r="L658" s="193">
        <v>16240</v>
      </c>
      <c r="M658" s="193">
        <v>23100</v>
      </c>
      <c r="N658" s="193">
        <f>SUM(I658:M659)</f>
        <v>2813540</v>
      </c>
      <c r="O658" s="191"/>
      <c r="P658" s="57" t="s">
        <v>3021</v>
      </c>
      <c r="Q658" s="29" t="s">
        <v>82</v>
      </c>
      <c r="R658" s="81"/>
      <c r="S658" s="48" t="s">
        <v>3022</v>
      </c>
      <c r="T658" s="50"/>
      <c r="U658" s="30" t="s">
        <v>3023</v>
      </c>
      <c r="V658" s="58"/>
      <c r="W658" s="52"/>
      <c r="X658" s="193"/>
      <c r="Y658" s="206">
        <f>X658*0.1</f>
        <v>0</v>
      </c>
      <c r="Z658" s="193"/>
      <c r="AA658" s="193">
        <f>SUM(X658:Z658)</f>
        <v>0</v>
      </c>
      <c r="AB658" s="219"/>
    </row>
    <row r="659" spans="1:28" ht="18.600000000000001" thickBot="1">
      <c r="A659" s="250"/>
      <c r="B659" s="31" t="s">
        <v>521</v>
      </c>
      <c r="C659" s="31">
        <v>82297</v>
      </c>
      <c r="D659" s="32" t="s">
        <v>399</v>
      </c>
      <c r="E659" s="200"/>
      <c r="F659" s="43" t="s">
        <v>3024</v>
      </c>
      <c r="G659" s="38">
        <v>19275</v>
      </c>
      <c r="H659" s="202"/>
      <c r="I659" s="194"/>
      <c r="J659" s="194"/>
      <c r="K659" s="194"/>
      <c r="L659" s="194"/>
      <c r="M659" s="194"/>
      <c r="N659" s="194"/>
      <c r="O659" s="192"/>
      <c r="P659" s="55" t="s">
        <v>3025</v>
      </c>
      <c r="Q659" s="33" t="s">
        <v>86</v>
      </c>
      <c r="R659" s="34" t="s">
        <v>3026</v>
      </c>
      <c r="S659" s="44" t="s">
        <v>3027</v>
      </c>
      <c r="T659" s="46"/>
      <c r="U659" s="35"/>
      <c r="V659" s="56"/>
      <c r="W659" s="46"/>
      <c r="X659" s="194"/>
      <c r="Y659" s="194"/>
      <c r="Z659" s="194"/>
      <c r="AA659" s="194"/>
      <c r="AB659" s="220"/>
    </row>
    <row r="660" spans="1:28" ht="18.600000000000001" thickTop="1">
      <c r="A660" s="249" t="s">
        <v>3028</v>
      </c>
      <c r="B660" s="26">
        <v>45261</v>
      </c>
      <c r="C660" s="36"/>
      <c r="D660" s="28" t="s">
        <v>3029</v>
      </c>
      <c r="E660" s="199"/>
      <c r="F660" s="54" t="s">
        <v>3030</v>
      </c>
      <c r="G660" s="37" t="s">
        <v>2793</v>
      </c>
      <c r="H660" s="201"/>
      <c r="I660" s="193">
        <v>4000000</v>
      </c>
      <c r="J660" s="193"/>
      <c r="K660" s="193"/>
      <c r="L660" s="193"/>
      <c r="M660" s="193"/>
      <c r="N660" s="193">
        <f>SUM(I660:M661)</f>
        <v>4000000</v>
      </c>
      <c r="O660" s="191"/>
      <c r="P660" s="57" t="s">
        <v>3031</v>
      </c>
      <c r="Q660" s="29" t="s">
        <v>82</v>
      </c>
      <c r="R660" s="81"/>
      <c r="S660" s="48"/>
      <c r="T660" s="50"/>
      <c r="U660" s="30"/>
      <c r="V660" s="58"/>
      <c r="W660" s="52"/>
      <c r="X660" s="193"/>
      <c r="Y660" s="206">
        <f>X660*0.1</f>
        <v>0</v>
      </c>
      <c r="Z660" s="193"/>
      <c r="AA660" s="193">
        <f>SUM(X660:Z660)</f>
        <v>0</v>
      </c>
      <c r="AB660" s="219"/>
    </row>
    <row r="661" spans="1:28" ht="18.600000000000001" thickBot="1">
      <c r="A661" s="250"/>
      <c r="B661" s="31" t="s">
        <v>3032</v>
      </c>
      <c r="C661" s="31"/>
      <c r="D661" s="32" t="s">
        <v>2168</v>
      </c>
      <c r="E661" s="200"/>
      <c r="F661" s="43" t="s">
        <v>3033</v>
      </c>
      <c r="G661" s="38">
        <v>25117</v>
      </c>
      <c r="H661" s="202"/>
      <c r="I661" s="194"/>
      <c r="J661" s="194"/>
      <c r="K661" s="194"/>
      <c r="L661" s="194"/>
      <c r="M661" s="194"/>
      <c r="N661" s="194"/>
      <c r="O661" s="192"/>
      <c r="P661" s="55" t="s">
        <v>3034</v>
      </c>
      <c r="Q661" s="33" t="s">
        <v>86</v>
      </c>
      <c r="R661" s="34" t="s">
        <v>2573</v>
      </c>
      <c r="S661" s="44" t="s">
        <v>96</v>
      </c>
      <c r="T661" s="46"/>
      <c r="U661" s="35" t="s">
        <v>153</v>
      </c>
      <c r="V661" s="56"/>
      <c r="W661" s="46"/>
      <c r="X661" s="194"/>
      <c r="Y661" s="194"/>
      <c r="Z661" s="194"/>
      <c r="AA661" s="194"/>
      <c r="AB661" s="220"/>
    </row>
    <row r="662" spans="1:28" ht="18.600000000000001" thickTop="1">
      <c r="A662" s="249" t="s">
        <v>3035</v>
      </c>
      <c r="B662" s="26">
        <v>45310</v>
      </c>
      <c r="C662" s="36">
        <v>1304</v>
      </c>
      <c r="D662" s="28" t="s">
        <v>2507</v>
      </c>
      <c r="E662" s="199" t="s">
        <v>3036</v>
      </c>
      <c r="F662" s="54" t="s">
        <v>3037</v>
      </c>
      <c r="G662" s="37"/>
      <c r="H662" s="201">
        <v>4</v>
      </c>
      <c r="I662" s="193">
        <v>541000</v>
      </c>
      <c r="J662" s="193">
        <v>54100</v>
      </c>
      <c r="K662" s="193">
        <v>0</v>
      </c>
      <c r="L662" s="193">
        <v>8460</v>
      </c>
      <c r="M662" s="193">
        <v>13200</v>
      </c>
      <c r="N662" s="193">
        <f>SUM(I662:M663)</f>
        <v>616760</v>
      </c>
      <c r="O662" s="191"/>
      <c r="P662" s="57" t="s">
        <v>3038</v>
      </c>
      <c r="Q662" s="29" t="s">
        <v>82</v>
      </c>
      <c r="R662" s="81"/>
      <c r="S662" s="48"/>
      <c r="T662" s="50"/>
      <c r="U662" s="30"/>
      <c r="V662" s="58"/>
      <c r="W662" s="52"/>
      <c r="X662" s="193"/>
      <c r="Y662" s="206">
        <f>X662*0.1</f>
        <v>0</v>
      </c>
      <c r="Z662" s="193"/>
      <c r="AA662" s="193">
        <f>SUM(X662:Z662)</f>
        <v>0</v>
      </c>
      <c r="AB662" s="219"/>
    </row>
    <row r="663" spans="1:28" ht="18.600000000000001" thickBot="1">
      <c r="A663" s="250"/>
      <c r="B663" s="31" t="s">
        <v>3039</v>
      </c>
      <c r="C663" s="31">
        <v>3037</v>
      </c>
      <c r="D663" s="32" t="s">
        <v>2511</v>
      </c>
      <c r="E663" s="200"/>
      <c r="F663" s="43" t="s">
        <v>3040</v>
      </c>
      <c r="G663" s="38">
        <v>33316</v>
      </c>
      <c r="H663" s="202"/>
      <c r="I663" s="194"/>
      <c r="J663" s="194"/>
      <c r="K663" s="194"/>
      <c r="L663" s="194"/>
      <c r="M663" s="194"/>
      <c r="N663" s="194"/>
      <c r="O663" s="192"/>
      <c r="P663" s="55" t="s">
        <v>3041</v>
      </c>
      <c r="Q663" s="33" t="s">
        <v>86</v>
      </c>
      <c r="R663" s="34" t="s">
        <v>3042</v>
      </c>
      <c r="S663" s="44" t="s">
        <v>2754</v>
      </c>
      <c r="T663" s="46"/>
      <c r="U663" s="35"/>
      <c r="V663" s="56"/>
      <c r="W663" s="46"/>
      <c r="X663" s="194"/>
      <c r="Y663" s="194"/>
      <c r="Z663" s="194"/>
      <c r="AA663" s="194"/>
      <c r="AB663" s="220"/>
    </row>
    <row r="664" spans="1:28" ht="18.600000000000001" thickTop="1">
      <c r="A664" s="249" t="s">
        <v>3043</v>
      </c>
      <c r="B664" s="26">
        <v>45310</v>
      </c>
      <c r="C664" s="36">
        <v>2020</v>
      </c>
      <c r="D664" s="28" t="s">
        <v>3044</v>
      </c>
      <c r="E664" s="199"/>
      <c r="F664" s="54" t="s">
        <v>3045</v>
      </c>
      <c r="G664" s="37" t="s">
        <v>2611</v>
      </c>
      <c r="H664" s="201">
        <v>4.5</v>
      </c>
      <c r="I664" s="193">
        <v>445000</v>
      </c>
      <c r="J664" s="193">
        <v>44500</v>
      </c>
      <c r="K664" s="193">
        <v>8250</v>
      </c>
      <c r="L664" s="193">
        <v>18500</v>
      </c>
      <c r="M664" s="193">
        <v>13200</v>
      </c>
      <c r="N664" s="193">
        <f>SUM(I664:M665)</f>
        <v>529450</v>
      </c>
      <c r="O664" s="191"/>
      <c r="P664" s="57" t="s">
        <v>3046</v>
      </c>
      <c r="Q664" s="29" t="s">
        <v>82</v>
      </c>
      <c r="R664" s="81"/>
      <c r="S664" s="48"/>
      <c r="T664" s="50"/>
      <c r="U664" s="30"/>
      <c r="V664" s="58"/>
      <c r="W664" s="52"/>
      <c r="X664" s="193"/>
      <c r="Y664" s="206">
        <f>X664*0.1</f>
        <v>0</v>
      </c>
      <c r="Z664" s="193"/>
      <c r="AA664" s="193">
        <f>SUM(X664:Z664)</f>
        <v>0</v>
      </c>
      <c r="AB664" s="219"/>
    </row>
    <row r="665" spans="1:28" ht="18.600000000000001" thickBot="1">
      <c r="A665" s="250"/>
      <c r="B665" s="31" t="s">
        <v>1797</v>
      </c>
      <c r="C665" s="31">
        <v>58320</v>
      </c>
      <c r="D665" s="32" t="s">
        <v>399</v>
      </c>
      <c r="E665" s="200"/>
      <c r="F665" s="43" t="s">
        <v>3047</v>
      </c>
      <c r="G665" s="38">
        <v>57747</v>
      </c>
      <c r="H665" s="202"/>
      <c r="I665" s="194"/>
      <c r="J665" s="194"/>
      <c r="K665" s="194"/>
      <c r="L665" s="194"/>
      <c r="M665" s="194"/>
      <c r="N665" s="194"/>
      <c r="O665" s="192"/>
      <c r="P665" s="55" t="s">
        <v>3048</v>
      </c>
      <c r="Q665" s="33" t="s">
        <v>86</v>
      </c>
      <c r="R665" s="34" t="s">
        <v>3042</v>
      </c>
      <c r="S665" s="44" t="s">
        <v>96</v>
      </c>
      <c r="T665" s="46"/>
      <c r="U665" s="35" t="s">
        <v>1100</v>
      </c>
      <c r="V665" s="56"/>
      <c r="W665" s="46"/>
      <c r="X665" s="194"/>
      <c r="Y665" s="194"/>
      <c r="Z665" s="194"/>
      <c r="AA665" s="194"/>
      <c r="AB665" s="220"/>
    </row>
    <row r="666" spans="1:28" ht="18.600000000000001" thickTop="1">
      <c r="A666" s="249" t="s">
        <v>3057</v>
      </c>
      <c r="B666" s="26">
        <v>45324</v>
      </c>
      <c r="C666" s="36">
        <v>2022</v>
      </c>
      <c r="D666" s="28" t="s">
        <v>2640</v>
      </c>
      <c r="E666" s="199"/>
      <c r="F666" s="54" t="s">
        <v>3058</v>
      </c>
      <c r="G666" s="37"/>
      <c r="H666" s="201">
        <v>5</v>
      </c>
      <c r="I666" s="193">
        <v>2490000</v>
      </c>
      <c r="J666" s="193">
        <f>I666*0.1</f>
        <v>249000</v>
      </c>
      <c r="K666" s="193">
        <v>0</v>
      </c>
      <c r="L666" s="193">
        <v>17600</v>
      </c>
      <c r="M666" s="193">
        <v>13200</v>
      </c>
      <c r="N666" s="193">
        <f>SUM(I666:M667)</f>
        <v>2769800</v>
      </c>
      <c r="O666" s="191"/>
      <c r="P666" s="57" t="s">
        <v>3059</v>
      </c>
      <c r="Q666" s="29" t="s">
        <v>82</v>
      </c>
      <c r="R666" s="81"/>
      <c r="S666" s="48"/>
      <c r="T666" s="50"/>
      <c r="U666" s="30"/>
      <c r="V666" s="58"/>
      <c r="W666" s="52"/>
      <c r="X666" s="193"/>
      <c r="Y666" s="206">
        <f>X666*0.1</f>
        <v>0</v>
      </c>
      <c r="Z666" s="193"/>
      <c r="AA666" s="193">
        <f>SUM(X666:Z666)</f>
        <v>0</v>
      </c>
      <c r="AB666" s="219"/>
    </row>
    <row r="667" spans="1:28" ht="18.600000000000001" thickBot="1">
      <c r="A667" s="250"/>
      <c r="B667" s="31" t="s">
        <v>1797</v>
      </c>
      <c r="C667" s="31">
        <v>58582</v>
      </c>
      <c r="D667" s="32" t="s">
        <v>1965</v>
      </c>
      <c r="E667" s="200"/>
      <c r="F667" s="43" t="s">
        <v>3060</v>
      </c>
      <c r="G667" s="38">
        <v>30096</v>
      </c>
      <c r="H667" s="202"/>
      <c r="I667" s="194"/>
      <c r="J667" s="194"/>
      <c r="K667" s="194"/>
      <c r="L667" s="194"/>
      <c r="M667" s="194"/>
      <c r="N667" s="194"/>
      <c r="O667" s="192"/>
      <c r="P667" s="55" t="s">
        <v>3061</v>
      </c>
      <c r="Q667" s="33" t="s">
        <v>86</v>
      </c>
      <c r="R667" s="34" t="s">
        <v>2516</v>
      </c>
      <c r="S667" s="44"/>
      <c r="T667" s="146" t="s">
        <v>3062</v>
      </c>
      <c r="U667" s="35"/>
      <c r="V667" s="56"/>
      <c r="W667" s="46"/>
      <c r="X667" s="194"/>
      <c r="Y667" s="194"/>
      <c r="Z667" s="194"/>
      <c r="AA667" s="194"/>
      <c r="AB667" s="220"/>
    </row>
    <row r="668" spans="1:28" ht="18.600000000000001" thickTop="1">
      <c r="A668" s="249" t="s">
        <v>3063</v>
      </c>
      <c r="B668" s="26">
        <v>45334</v>
      </c>
      <c r="C668" s="36">
        <v>1982</v>
      </c>
      <c r="D668" s="28" t="s">
        <v>3064</v>
      </c>
      <c r="E668" s="199"/>
      <c r="F668" s="54" t="s">
        <v>3065</v>
      </c>
      <c r="G668" s="37" t="s">
        <v>3066</v>
      </c>
      <c r="H668" s="201">
        <v>4</v>
      </c>
      <c r="I668" s="193">
        <v>1825000</v>
      </c>
      <c r="J668" s="193">
        <f>I668*0.1</f>
        <v>182500</v>
      </c>
      <c r="K668" s="193">
        <v>8030</v>
      </c>
      <c r="L668" s="193">
        <v>19120</v>
      </c>
      <c r="M668" s="193">
        <v>11000</v>
      </c>
      <c r="N668" s="193">
        <f>SUM(I668:M669)</f>
        <v>2045650</v>
      </c>
      <c r="O668" s="191"/>
      <c r="P668" s="57" t="s">
        <v>3067</v>
      </c>
      <c r="Q668" s="29" t="s">
        <v>82</v>
      </c>
      <c r="R668" s="81"/>
      <c r="S668" s="48" t="s">
        <v>1596</v>
      </c>
      <c r="T668" s="50"/>
      <c r="U668" s="30"/>
      <c r="V668" s="58"/>
      <c r="W668" s="52"/>
      <c r="X668" s="193"/>
      <c r="Y668" s="206">
        <f>X668*0.1</f>
        <v>0</v>
      </c>
      <c r="Z668" s="193"/>
      <c r="AA668" s="193">
        <f>SUM(X668:Z668)</f>
        <v>0</v>
      </c>
      <c r="AB668" s="219"/>
    </row>
    <row r="669" spans="1:28" ht="18.600000000000001" thickBot="1">
      <c r="A669" s="250"/>
      <c r="B669" s="31" t="s">
        <v>189</v>
      </c>
      <c r="C669" s="31">
        <v>33526</v>
      </c>
      <c r="D669" s="32" t="s">
        <v>399</v>
      </c>
      <c r="E669" s="200"/>
      <c r="F669" s="43" t="s">
        <v>3068</v>
      </c>
      <c r="G669" s="38">
        <v>48616</v>
      </c>
      <c r="H669" s="202"/>
      <c r="I669" s="194"/>
      <c r="J669" s="194"/>
      <c r="K669" s="194"/>
      <c r="L669" s="194"/>
      <c r="M669" s="194"/>
      <c r="N669" s="194"/>
      <c r="O669" s="192"/>
      <c r="P669" s="55" t="s">
        <v>3069</v>
      </c>
      <c r="Q669" s="33" t="s">
        <v>86</v>
      </c>
      <c r="R669" s="34" t="s">
        <v>2688</v>
      </c>
      <c r="S669" s="44" t="s">
        <v>3070</v>
      </c>
      <c r="T669" s="46"/>
      <c r="U669" s="35" t="s">
        <v>1100</v>
      </c>
      <c r="V669" s="56"/>
      <c r="W669" s="46"/>
      <c r="X669" s="194"/>
      <c r="Y669" s="194"/>
      <c r="Z669" s="194"/>
      <c r="AA669" s="194"/>
      <c r="AB669" s="220"/>
    </row>
    <row r="670" spans="1:28" ht="18.600000000000001" thickTop="1">
      <c r="A670" s="249" t="s">
        <v>3071</v>
      </c>
      <c r="B670" s="26">
        <v>45350</v>
      </c>
      <c r="C670" s="36">
        <v>1271</v>
      </c>
      <c r="D670" s="28" t="s">
        <v>2677</v>
      </c>
      <c r="E670" s="199" t="s">
        <v>282</v>
      </c>
      <c r="F670" s="54" t="s">
        <v>3072</v>
      </c>
      <c r="G670" s="37" t="s">
        <v>2887</v>
      </c>
      <c r="H670" s="201">
        <v>4.5</v>
      </c>
      <c r="I670" s="193">
        <v>3300000</v>
      </c>
      <c r="J670" s="193">
        <f>I670*0.1</f>
        <v>330000</v>
      </c>
      <c r="K670" s="193">
        <v>3300</v>
      </c>
      <c r="L670" s="193">
        <v>18270</v>
      </c>
      <c r="M670" s="193">
        <v>29700</v>
      </c>
      <c r="N670" s="193">
        <f>SUM(I670:M671)</f>
        <v>3681270</v>
      </c>
      <c r="O670" s="191"/>
      <c r="P670" s="57" t="s">
        <v>3073</v>
      </c>
      <c r="Q670" s="29" t="s">
        <v>82</v>
      </c>
      <c r="R670" s="81"/>
      <c r="S670" s="48" t="s">
        <v>1596</v>
      </c>
      <c r="T670" s="50"/>
      <c r="U670" s="30" t="s">
        <v>3074</v>
      </c>
      <c r="V670" s="58"/>
      <c r="W670" s="52"/>
      <c r="X670" s="193"/>
      <c r="Y670" s="206">
        <f>X670*0.1</f>
        <v>0</v>
      </c>
      <c r="Z670" s="193"/>
      <c r="AA670" s="193">
        <f>SUM(X670:Z670)</f>
        <v>0</v>
      </c>
      <c r="AB670" s="219"/>
    </row>
    <row r="671" spans="1:28" ht="18.600000000000001" thickBot="1">
      <c r="A671" s="250"/>
      <c r="B671" s="31" t="s">
        <v>2823</v>
      </c>
      <c r="C671" s="31">
        <v>8017</v>
      </c>
      <c r="D671" s="32" t="s">
        <v>1849</v>
      </c>
      <c r="E671" s="200"/>
      <c r="F671" s="43" t="s">
        <v>3075</v>
      </c>
      <c r="G671" s="38">
        <v>35706</v>
      </c>
      <c r="H671" s="202"/>
      <c r="I671" s="194"/>
      <c r="J671" s="194"/>
      <c r="K671" s="194"/>
      <c r="L671" s="194"/>
      <c r="M671" s="194"/>
      <c r="N671" s="194"/>
      <c r="O671" s="192"/>
      <c r="P671" s="55" t="s">
        <v>3076</v>
      </c>
      <c r="Q671" s="33" t="s">
        <v>86</v>
      </c>
      <c r="R671" s="34" t="s">
        <v>2712</v>
      </c>
      <c r="S671" s="44" t="s">
        <v>3077</v>
      </c>
      <c r="T671" s="46"/>
      <c r="U671" s="35"/>
      <c r="V671" s="56"/>
      <c r="W671" s="46"/>
      <c r="X671" s="194"/>
      <c r="Y671" s="194"/>
      <c r="Z671" s="194"/>
      <c r="AA671" s="194"/>
      <c r="AB671" s="220"/>
    </row>
    <row r="672" spans="1:28" ht="18.600000000000001" thickTop="1">
      <c r="A672" s="249" t="s">
        <v>3078</v>
      </c>
      <c r="B672" s="26">
        <v>45353</v>
      </c>
      <c r="C672" s="36">
        <v>1435</v>
      </c>
      <c r="D672" s="28" t="s">
        <v>106</v>
      </c>
      <c r="E672" s="199"/>
      <c r="F672" s="54" t="s">
        <v>1866</v>
      </c>
      <c r="G672" s="37" t="s">
        <v>3079</v>
      </c>
      <c r="H672" s="201">
        <v>4.5</v>
      </c>
      <c r="I672" s="193">
        <v>535000</v>
      </c>
      <c r="J672" s="193">
        <f>I672*0.1</f>
        <v>53500</v>
      </c>
      <c r="K672" s="193">
        <v>34500</v>
      </c>
      <c r="L672" s="193">
        <v>17700</v>
      </c>
      <c r="M672" s="193">
        <v>13200</v>
      </c>
      <c r="N672" s="193">
        <f>SUM(I672:M673)</f>
        <v>653900</v>
      </c>
      <c r="O672" s="191"/>
      <c r="P672" s="57" t="s">
        <v>3080</v>
      </c>
      <c r="Q672" s="29" t="s">
        <v>82</v>
      </c>
      <c r="R672" s="81"/>
      <c r="S672" s="48" t="s">
        <v>3081</v>
      </c>
      <c r="T672" s="50" t="s">
        <v>3082</v>
      </c>
      <c r="U672" s="30" t="s">
        <v>3083</v>
      </c>
      <c r="V672" s="58"/>
      <c r="W672" s="52"/>
      <c r="X672" s="193"/>
      <c r="Y672" s="206">
        <f>X672*0.1</f>
        <v>0</v>
      </c>
      <c r="Z672" s="193"/>
      <c r="AA672" s="193">
        <v>0</v>
      </c>
      <c r="AB672" s="219"/>
    </row>
    <row r="673" spans="1:28" ht="18.600000000000001" thickBot="1">
      <c r="A673" s="250"/>
      <c r="B673" s="31" t="s">
        <v>1810</v>
      </c>
      <c r="C673" s="31">
        <v>60006</v>
      </c>
      <c r="D673" s="32" t="s">
        <v>1811</v>
      </c>
      <c r="E673" s="200"/>
      <c r="F673" s="43" t="s">
        <v>3084</v>
      </c>
      <c r="G673" s="38">
        <v>53070</v>
      </c>
      <c r="H673" s="202"/>
      <c r="I673" s="194"/>
      <c r="J673" s="194"/>
      <c r="K673" s="194"/>
      <c r="L673" s="194"/>
      <c r="M673" s="194"/>
      <c r="N673" s="194"/>
      <c r="O673" s="192"/>
      <c r="P673" s="55" t="s">
        <v>3085</v>
      </c>
      <c r="Q673" s="33" t="s">
        <v>86</v>
      </c>
      <c r="R673" s="34" t="s">
        <v>3086</v>
      </c>
      <c r="S673" s="44" t="s">
        <v>3087</v>
      </c>
      <c r="T673" s="46" t="s">
        <v>3088</v>
      </c>
      <c r="U673" s="35"/>
      <c r="V673" s="56"/>
      <c r="W673" s="46"/>
      <c r="X673" s="194"/>
      <c r="Y673" s="194"/>
      <c r="Z673" s="194"/>
      <c r="AA673" s="194"/>
      <c r="AB673" s="220"/>
    </row>
    <row r="674" spans="1:28" ht="18.600000000000001" thickTop="1">
      <c r="A674" s="249" t="s">
        <v>3089</v>
      </c>
      <c r="B674" s="26">
        <v>45356</v>
      </c>
      <c r="C674" s="36">
        <v>986</v>
      </c>
      <c r="D674" s="28" t="s">
        <v>2669</v>
      </c>
      <c r="E674" s="199"/>
      <c r="F674" s="54" t="s">
        <v>3090</v>
      </c>
      <c r="G674" s="37" t="s">
        <v>3091</v>
      </c>
      <c r="H674" s="201">
        <v>4.5</v>
      </c>
      <c r="I674" s="193">
        <v>1510000</v>
      </c>
      <c r="J674" s="193">
        <f>I674*0.1</f>
        <v>151000</v>
      </c>
      <c r="K674" s="193">
        <v>34500</v>
      </c>
      <c r="L674" s="193">
        <v>18570</v>
      </c>
      <c r="M674" s="193">
        <v>13200</v>
      </c>
      <c r="N674" s="193">
        <f>SUM(I674:M675)</f>
        <v>1727270</v>
      </c>
      <c r="O674" s="191"/>
      <c r="P674" s="57" t="s">
        <v>3092</v>
      </c>
      <c r="Q674" s="29" t="s">
        <v>82</v>
      </c>
      <c r="R674" s="81"/>
      <c r="S674" s="48" t="s">
        <v>3093</v>
      </c>
      <c r="T674" s="50"/>
      <c r="U674" s="30"/>
      <c r="V674" s="58"/>
      <c r="W674" s="52"/>
      <c r="X674" s="193"/>
      <c r="Y674" s="206">
        <f>X674*0.1</f>
        <v>0</v>
      </c>
      <c r="Z674" s="193"/>
      <c r="AA674" s="193">
        <f>SUM(X674:Z674)</f>
        <v>0</v>
      </c>
      <c r="AB674" s="219"/>
    </row>
    <row r="675" spans="1:28" ht="18.600000000000001" thickBot="1">
      <c r="A675" s="250"/>
      <c r="B675" s="31" t="s">
        <v>1848</v>
      </c>
      <c r="C675" s="31">
        <v>84116</v>
      </c>
      <c r="D675" s="32" t="s">
        <v>244</v>
      </c>
      <c r="E675" s="200"/>
      <c r="F675" s="43" t="s">
        <v>3094</v>
      </c>
      <c r="G675" s="38">
        <v>34167</v>
      </c>
      <c r="H675" s="202"/>
      <c r="I675" s="194"/>
      <c r="J675" s="194"/>
      <c r="K675" s="194"/>
      <c r="L675" s="194"/>
      <c r="M675" s="194"/>
      <c r="N675" s="194"/>
      <c r="O675" s="192"/>
      <c r="P675" s="55" t="s">
        <v>3095</v>
      </c>
      <c r="Q675" s="33" t="s">
        <v>86</v>
      </c>
      <c r="R675" s="34" t="s">
        <v>3096</v>
      </c>
      <c r="S675" s="44" t="s">
        <v>96</v>
      </c>
      <c r="T675" s="46"/>
      <c r="U675" s="35" t="s">
        <v>1100</v>
      </c>
      <c r="V675" s="56"/>
      <c r="W675" s="46"/>
      <c r="X675" s="194"/>
      <c r="Y675" s="194"/>
      <c r="Z675" s="194"/>
      <c r="AA675" s="194"/>
      <c r="AB675" s="220"/>
    </row>
    <row r="676" spans="1:28" ht="18.600000000000001" thickTop="1">
      <c r="A676" s="249" t="s">
        <v>3097</v>
      </c>
      <c r="B676" s="26">
        <v>45360</v>
      </c>
      <c r="C676" s="36">
        <v>1193</v>
      </c>
      <c r="D676" s="28" t="s">
        <v>2274</v>
      </c>
      <c r="E676" s="199"/>
      <c r="F676" s="54" t="s">
        <v>3098</v>
      </c>
      <c r="G676" s="37"/>
      <c r="H676" s="201">
        <v>4.5</v>
      </c>
      <c r="I676" s="193">
        <v>2365000</v>
      </c>
      <c r="J676" s="193">
        <f>I676*0.1</f>
        <v>236500</v>
      </c>
      <c r="K676" s="193">
        <v>0</v>
      </c>
      <c r="L676" s="193">
        <v>16240</v>
      </c>
      <c r="M676" s="193">
        <v>13200</v>
      </c>
      <c r="N676" s="193">
        <f>SUM(I676:M677)</f>
        <v>2630940</v>
      </c>
      <c r="O676" s="191"/>
      <c r="P676" s="57" t="s">
        <v>3099</v>
      </c>
      <c r="Q676" s="29" t="s">
        <v>82</v>
      </c>
      <c r="R676" s="81"/>
      <c r="S676" s="48" t="s">
        <v>3100</v>
      </c>
      <c r="T676" s="50"/>
      <c r="U676" s="30"/>
      <c r="V676" s="58"/>
      <c r="W676" s="52"/>
      <c r="X676" s="193"/>
      <c r="Y676" s="206">
        <f>X676*0.1</f>
        <v>0</v>
      </c>
      <c r="Z676" s="193"/>
      <c r="AA676" s="193">
        <f>SUM(X676:Z676)</f>
        <v>0</v>
      </c>
      <c r="AB676" s="219"/>
    </row>
    <row r="677" spans="1:28" ht="18.600000000000001" thickBot="1">
      <c r="A677" s="250"/>
      <c r="B677" s="31" t="s">
        <v>521</v>
      </c>
      <c r="C677" s="31">
        <v>82086</v>
      </c>
      <c r="D677" s="32" t="s">
        <v>399</v>
      </c>
      <c r="E677" s="200"/>
      <c r="F677" s="43" t="s">
        <v>3101</v>
      </c>
      <c r="G677" s="38">
        <v>37125</v>
      </c>
      <c r="H677" s="202"/>
      <c r="I677" s="194"/>
      <c r="J677" s="194"/>
      <c r="K677" s="194"/>
      <c r="L677" s="194"/>
      <c r="M677" s="194"/>
      <c r="N677" s="194"/>
      <c r="O677" s="192"/>
      <c r="P677" s="55" t="s">
        <v>3102</v>
      </c>
      <c r="Q677" s="33" t="s">
        <v>86</v>
      </c>
      <c r="R677" s="34" t="s">
        <v>3103</v>
      </c>
      <c r="S677" s="44" t="s">
        <v>1872</v>
      </c>
      <c r="T677" s="46"/>
      <c r="U677" s="35"/>
      <c r="V677" s="56"/>
      <c r="W677" s="46"/>
      <c r="X677" s="194"/>
      <c r="Y677" s="194"/>
      <c r="Z677" s="194"/>
      <c r="AA677" s="194"/>
      <c r="AB677" s="220"/>
    </row>
    <row r="678" spans="1:28" ht="18.600000000000001" thickTop="1">
      <c r="A678" s="249" t="s">
        <v>3104</v>
      </c>
      <c r="B678" s="26">
        <v>45363</v>
      </c>
      <c r="C678" s="36">
        <v>833</v>
      </c>
      <c r="D678" s="28" t="s">
        <v>2252</v>
      </c>
      <c r="E678" s="199"/>
      <c r="F678" s="54" t="s">
        <v>3105</v>
      </c>
      <c r="G678" s="37" t="s">
        <v>3106</v>
      </c>
      <c r="H678" s="201">
        <v>4.5</v>
      </c>
      <c r="I678" s="193">
        <v>4301000</v>
      </c>
      <c r="J678" s="193">
        <f>I678*0.1</f>
        <v>430100</v>
      </c>
      <c r="K678" s="193">
        <v>51000</v>
      </c>
      <c r="L678" s="193">
        <v>20990</v>
      </c>
      <c r="M678" s="193">
        <v>14850</v>
      </c>
      <c r="N678" s="193">
        <f>SUM(I678:M679)</f>
        <v>4817940</v>
      </c>
      <c r="O678" s="191"/>
      <c r="P678" s="57" t="s">
        <v>3107</v>
      </c>
      <c r="Q678" s="29" t="s">
        <v>82</v>
      </c>
      <c r="R678" s="81"/>
      <c r="S678" s="48" t="s">
        <v>1596</v>
      </c>
      <c r="T678" s="50"/>
      <c r="U678" s="30"/>
      <c r="V678" s="58"/>
      <c r="W678" s="52"/>
      <c r="X678" s="193"/>
      <c r="Y678" s="206">
        <f>X678*0.1</f>
        <v>0</v>
      </c>
      <c r="Z678" s="193"/>
      <c r="AA678" s="193">
        <f>SUM(X678:Z678)</f>
        <v>0</v>
      </c>
      <c r="AB678" s="219"/>
    </row>
    <row r="679" spans="1:28" ht="18.600000000000001" thickBot="1">
      <c r="A679" s="250"/>
      <c r="B679" s="31" t="s">
        <v>107</v>
      </c>
      <c r="C679" s="31">
        <v>5023</v>
      </c>
      <c r="D679" s="32" t="s">
        <v>1811</v>
      </c>
      <c r="E679" s="200"/>
      <c r="F679" s="43" t="s">
        <v>3108</v>
      </c>
      <c r="G679" s="38">
        <v>31461</v>
      </c>
      <c r="H679" s="202"/>
      <c r="I679" s="194"/>
      <c r="J679" s="194"/>
      <c r="K679" s="194"/>
      <c r="L679" s="194"/>
      <c r="M679" s="194"/>
      <c r="N679" s="194"/>
      <c r="O679" s="192"/>
      <c r="P679" s="55" t="s">
        <v>3109</v>
      </c>
      <c r="Q679" s="33" t="s">
        <v>86</v>
      </c>
      <c r="R679" s="34" t="s">
        <v>3110</v>
      </c>
      <c r="S679" s="44" t="s">
        <v>96</v>
      </c>
      <c r="T679" s="46"/>
      <c r="U679" s="35" t="s">
        <v>1100</v>
      </c>
      <c r="V679" s="56"/>
      <c r="W679" s="46"/>
      <c r="X679" s="194"/>
      <c r="Y679" s="194"/>
      <c r="Z679" s="194"/>
      <c r="AA679" s="194"/>
      <c r="AB679" s="220"/>
    </row>
    <row r="680" spans="1:28" ht="18.600000000000001" thickTop="1">
      <c r="A680" s="249" t="s">
        <v>3111</v>
      </c>
      <c r="B680" s="26">
        <v>45367</v>
      </c>
      <c r="C680" s="36">
        <v>1194</v>
      </c>
      <c r="D680" s="28" t="s">
        <v>3054</v>
      </c>
      <c r="E680" s="199"/>
      <c r="F680" s="54" t="s">
        <v>3112</v>
      </c>
      <c r="G680" s="37" t="s">
        <v>3113</v>
      </c>
      <c r="H680" s="201">
        <v>4.5</v>
      </c>
      <c r="I680" s="193">
        <v>2600000</v>
      </c>
      <c r="J680" s="193">
        <f>I680*0.1</f>
        <v>260000</v>
      </c>
      <c r="K680" s="193">
        <v>30500</v>
      </c>
      <c r="L680" s="193">
        <v>11740</v>
      </c>
      <c r="M680" s="193">
        <v>13200</v>
      </c>
      <c r="N680" s="193">
        <f>SUM(I680:M681)</f>
        <v>2915440</v>
      </c>
      <c r="O680" s="191"/>
      <c r="P680" s="57" t="s">
        <v>3114</v>
      </c>
      <c r="Q680" s="29" t="s">
        <v>82</v>
      </c>
      <c r="R680" s="81"/>
      <c r="S680" s="48" t="s">
        <v>1494</v>
      </c>
      <c r="T680" s="50"/>
      <c r="U680" s="30"/>
      <c r="V680" s="58"/>
      <c r="W680" s="52"/>
      <c r="X680" s="193"/>
      <c r="Y680" s="206">
        <f>X680*0.1</f>
        <v>0</v>
      </c>
      <c r="Z680" s="193"/>
      <c r="AA680" s="193">
        <f>SUM(X680:Z680)</f>
        <v>0</v>
      </c>
      <c r="AB680" s="219"/>
    </row>
    <row r="681" spans="1:28" ht="18.600000000000001" thickBot="1">
      <c r="A681" s="250"/>
      <c r="B681" s="31" t="s">
        <v>521</v>
      </c>
      <c r="C681" s="31">
        <v>82260</v>
      </c>
      <c r="D681" s="32" t="s">
        <v>244</v>
      </c>
      <c r="E681" s="200"/>
      <c r="F681" s="43" t="s">
        <v>3115</v>
      </c>
      <c r="G681" s="38">
        <v>29023</v>
      </c>
      <c r="H681" s="202"/>
      <c r="I681" s="194"/>
      <c r="J681" s="194"/>
      <c r="K681" s="194"/>
      <c r="L681" s="194"/>
      <c r="M681" s="194"/>
      <c r="N681" s="194"/>
      <c r="O681" s="192"/>
      <c r="P681" s="55" t="s">
        <v>1957</v>
      </c>
      <c r="Q681" s="33" t="s">
        <v>86</v>
      </c>
      <c r="R681" s="34" t="s">
        <v>3116</v>
      </c>
      <c r="S681" s="44" t="s">
        <v>2101</v>
      </c>
      <c r="T681" s="46"/>
      <c r="U681" s="35" t="s">
        <v>1100</v>
      </c>
      <c r="V681" s="56"/>
      <c r="W681" s="46"/>
      <c r="X681" s="194"/>
      <c r="Y681" s="194"/>
      <c r="Z681" s="194"/>
      <c r="AA681" s="194"/>
      <c r="AB681" s="220"/>
    </row>
    <row r="682" spans="1:28" ht="18.600000000000001" thickTop="1">
      <c r="A682" s="249" t="s">
        <v>3117</v>
      </c>
      <c r="B682" s="26">
        <v>45374</v>
      </c>
      <c r="C682" s="36">
        <v>1195</v>
      </c>
      <c r="D682" s="28" t="s">
        <v>1855</v>
      </c>
      <c r="E682" s="199"/>
      <c r="F682" s="54" t="s">
        <v>3118</v>
      </c>
      <c r="G682" s="37" t="s">
        <v>2869</v>
      </c>
      <c r="H682" s="201">
        <v>4</v>
      </c>
      <c r="I682" s="193">
        <v>1850000</v>
      </c>
      <c r="J682" s="193">
        <f>I682*0.1</f>
        <v>185000</v>
      </c>
      <c r="K682" s="193">
        <v>39500</v>
      </c>
      <c r="L682" s="193">
        <v>21580</v>
      </c>
      <c r="M682" s="193">
        <v>22000</v>
      </c>
      <c r="N682" s="193">
        <f>SUM(I682:M683)</f>
        <v>2118080</v>
      </c>
      <c r="O682" s="191"/>
      <c r="P682" s="57" t="s">
        <v>3119</v>
      </c>
      <c r="Q682" s="29" t="s">
        <v>82</v>
      </c>
      <c r="R682" s="81"/>
      <c r="S682" s="48" t="s">
        <v>1494</v>
      </c>
      <c r="T682" s="50"/>
      <c r="U682" s="30" t="s">
        <v>3120</v>
      </c>
      <c r="V682" s="58"/>
      <c r="W682" s="52"/>
      <c r="X682" s="193"/>
      <c r="Y682" s="206">
        <f>X682*0.1</f>
        <v>0</v>
      </c>
      <c r="Z682" s="193"/>
      <c r="AA682" s="193">
        <f>SUM(X682:Z682)</f>
        <v>0</v>
      </c>
      <c r="AB682" s="219"/>
    </row>
    <row r="683" spans="1:28" ht="18.600000000000001" thickBot="1">
      <c r="A683" s="250"/>
      <c r="B683" s="31" t="s">
        <v>521</v>
      </c>
      <c r="C683" s="31">
        <v>20055</v>
      </c>
      <c r="D683" s="32" t="s">
        <v>1849</v>
      </c>
      <c r="E683" s="200"/>
      <c r="F683" s="43" t="s">
        <v>3121</v>
      </c>
      <c r="G683" s="38">
        <v>38040</v>
      </c>
      <c r="H683" s="202"/>
      <c r="I683" s="194"/>
      <c r="J683" s="194"/>
      <c r="K683" s="194"/>
      <c r="L683" s="194"/>
      <c r="M683" s="194"/>
      <c r="N683" s="194"/>
      <c r="O683" s="192"/>
      <c r="P683" s="55" t="s">
        <v>3004</v>
      </c>
      <c r="Q683" s="33" t="s">
        <v>86</v>
      </c>
      <c r="R683" s="34" t="s">
        <v>1903</v>
      </c>
      <c r="S683" s="44" t="s">
        <v>96</v>
      </c>
      <c r="T683" s="46"/>
      <c r="U683" s="35"/>
      <c r="V683" s="56"/>
      <c r="W683" s="46"/>
      <c r="X683" s="194"/>
      <c r="Y683" s="194"/>
      <c r="Z683" s="194"/>
      <c r="AA683" s="194"/>
      <c r="AB683" s="220"/>
    </row>
    <row r="684" spans="1:28" ht="18.600000000000001" thickTop="1">
      <c r="A684" s="249" t="s">
        <v>3122</v>
      </c>
      <c r="B684" s="26">
        <v>45386</v>
      </c>
      <c r="C684" s="36">
        <v>1227</v>
      </c>
      <c r="D684" s="28" t="s">
        <v>2112</v>
      </c>
      <c r="E684" s="199"/>
      <c r="F684" s="54" t="s">
        <v>3123</v>
      </c>
      <c r="G684" s="37"/>
      <c r="H684" s="201">
        <v>4.5</v>
      </c>
      <c r="I684" s="193">
        <v>2135000</v>
      </c>
      <c r="J684" s="193">
        <f>I684*0.1</f>
        <v>213500</v>
      </c>
      <c r="K684" s="193">
        <v>0</v>
      </c>
      <c r="L684" s="193">
        <v>18110</v>
      </c>
      <c r="M684" s="193">
        <v>13200</v>
      </c>
      <c r="N684" s="193">
        <f>SUM(I684:M685)</f>
        <v>2379810</v>
      </c>
      <c r="O684" s="191"/>
      <c r="P684" s="57" t="s">
        <v>3124</v>
      </c>
      <c r="Q684" s="29" t="s">
        <v>82</v>
      </c>
      <c r="R684" s="81"/>
      <c r="S684" s="48" t="s">
        <v>3125</v>
      </c>
      <c r="T684" s="50"/>
      <c r="U684" s="30"/>
      <c r="V684" s="58"/>
      <c r="W684" s="52"/>
      <c r="X684" s="193"/>
      <c r="Y684" s="206">
        <f>X684*0.1</f>
        <v>0</v>
      </c>
      <c r="Z684" s="193"/>
      <c r="AA684" s="193">
        <f>SUM(X684:Z684)</f>
        <v>0</v>
      </c>
      <c r="AB684" s="219"/>
    </row>
    <row r="685" spans="1:28" ht="18.600000000000001" thickBot="1">
      <c r="A685" s="250"/>
      <c r="B685" s="31" t="s">
        <v>2017</v>
      </c>
      <c r="C685" s="31">
        <v>352</v>
      </c>
      <c r="D685" s="32" t="s">
        <v>1832</v>
      </c>
      <c r="E685" s="200"/>
      <c r="F685" s="43" t="s">
        <v>3126</v>
      </c>
      <c r="G685" s="38">
        <v>41078</v>
      </c>
      <c r="H685" s="202"/>
      <c r="I685" s="194"/>
      <c r="J685" s="194"/>
      <c r="K685" s="194"/>
      <c r="L685" s="194"/>
      <c r="M685" s="194"/>
      <c r="N685" s="194"/>
      <c r="O685" s="192"/>
      <c r="P685" s="55" t="s">
        <v>3127</v>
      </c>
      <c r="Q685" s="33" t="s">
        <v>86</v>
      </c>
      <c r="R685" s="34" t="s">
        <v>2105</v>
      </c>
      <c r="S685" s="44" t="s">
        <v>3128</v>
      </c>
      <c r="T685" s="46"/>
      <c r="U685" s="35"/>
      <c r="V685" s="56"/>
      <c r="W685" s="46"/>
      <c r="X685" s="194"/>
      <c r="Y685" s="194"/>
      <c r="Z685" s="194"/>
      <c r="AA685" s="194"/>
      <c r="AB685" s="220"/>
    </row>
    <row r="686" spans="1:28" ht="18.600000000000001" thickTop="1">
      <c r="A686" s="249" t="s">
        <v>3129</v>
      </c>
      <c r="B686" s="26">
        <v>45388</v>
      </c>
      <c r="C686" s="36"/>
      <c r="D686" s="28" t="s">
        <v>3130</v>
      </c>
      <c r="E686" s="199"/>
      <c r="F686" s="54" t="s">
        <v>3131</v>
      </c>
      <c r="G686" s="37" t="s">
        <v>2105</v>
      </c>
      <c r="H686" s="201"/>
      <c r="I686" s="193">
        <v>2000000</v>
      </c>
      <c r="J686" s="193">
        <v>0</v>
      </c>
      <c r="K686" s="193"/>
      <c r="L686" s="193"/>
      <c r="M686" s="193"/>
      <c r="N686" s="193">
        <f>SUM(I686:M687)</f>
        <v>2000000</v>
      </c>
      <c r="O686" s="191"/>
      <c r="P686" s="57" t="s">
        <v>3132</v>
      </c>
      <c r="Q686" s="29" t="s">
        <v>82</v>
      </c>
      <c r="R686" s="81"/>
      <c r="S686" s="48"/>
      <c r="T686" s="50"/>
      <c r="U686" s="30"/>
      <c r="V686" s="58"/>
      <c r="W686" s="52"/>
      <c r="X686" s="193"/>
      <c r="Y686" s="206">
        <f>X686*0.1</f>
        <v>0</v>
      </c>
      <c r="Z686" s="193"/>
      <c r="AA686" s="193">
        <f>SUM(X686:Z686)</f>
        <v>0</v>
      </c>
      <c r="AB686" s="219"/>
    </row>
    <row r="687" spans="1:28" ht="18.600000000000001" thickBot="1">
      <c r="A687" s="250"/>
      <c r="B687" s="31" t="s">
        <v>3133</v>
      </c>
      <c r="C687" s="31"/>
      <c r="D687" s="32" t="s">
        <v>1849</v>
      </c>
      <c r="E687" s="200"/>
      <c r="F687" s="43" t="s">
        <v>3134</v>
      </c>
      <c r="G687" s="38"/>
      <c r="H687" s="202"/>
      <c r="I687" s="194"/>
      <c r="J687" s="194"/>
      <c r="K687" s="194"/>
      <c r="L687" s="194"/>
      <c r="M687" s="194"/>
      <c r="N687" s="194"/>
      <c r="O687" s="192"/>
      <c r="P687" s="55" t="s">
        <v>3135</v>
      </c>
      <c r="Q687" s="33" t="s">
        <v>86</v>
      </c>
      <c r="R687" s="34" t="s">
        <v>2061</v>
      </c>
      <c r="S687" s="44" t="s">
        <v>2237</v>
      </c>
      <c r="T687" s="46"/>
      <c r="U687" s="35"/>
      <c r="V687" s="56"/>
      <c r="W687" s="46"/>
      <c r="X687" s="194"/>
      <c r="Y687" s="194"/>
      <c r="Z687" s="194"/>
      <c r="AA687" s="194"/>
      <c r="AB687" s="220"/>
    </row>
    <row r="688" spans="1:28" ht="18.600000000000001" thickTop="1">
      <c r="A688" s="249" t="s">
        <v>3136</v>
      </c>
      <c r="B688" s="26">
        <v>45421</v>
      </c>
      <c r="C688" s="36">
        <v>1927</v>
      </c>
      <c r="D688" s="28" t="s">
        <v>1001</v>
      </c>
      <c r="E688" s="199"/>
      <c r="F688" s="54" t="s">
        <v>3137</v>
      </c>
      <c r="G688" s="37"/>
      <c r="H688" s="201">
        <v>4.5</v>
      </c>
      <c r="I688" s="193">
        <v>1712000</v>
      </c>
      <c r="J688" s="193">
        <f>I688*0.1</f>
        <v>171200</v>
      </c>
      <c r="K688" s="193">
        <v>0</v>
      </c>
      <c r="L688" s="193">
        <v>16240</v>
      </c>
      <c r="M688" s="193">
        <v>22000</v>
      </c>
      <c r="N688" s="193">
        <f>SUM(I688:M689)</f>
        <v>1921440</v>
      </c>
      <c r="O688" s="191"/>
      <c r="P688" s="57" t="s">
        <v>3138</v>
      </c>
      <c r="Q688" s="29" t="s">
        <v>82</v>
      </c>
      <c r="R688" s="81"/>
      <c r="S688" s="48" t="s">
        <v>3139</v>
      </c>
      <c r="T688" s="50"/>
      <c r="U688" s="30"/>
      <c r="V688" s="58"/>
      <c r="W688" s="52"/>
      <c r="X688" s="193"/>
      <c r="Y688" s="206">
        <f>X688*0.1</f>
        <v>0</v>
      </c>
      <c r="Z688" s="193"/>
      <c r="AA688" s="193">
        <f>SUM(X688:Z688)</f>
        <v>0</v>
      </c>
      <c r="AB688" s="219"/>
    </row>
    <row r="689" spans="1:28" ht="18.600000000000001" thickBot="1">
      <c r="A689" s="250"/>
      <c r="B689" s="31" t="s">
        <v>3140</v>
      </c>
      <c r="C689" s="31">
        <v>30313</v>
      </c>
      <c r="D689" s="32" t="s">
        <v>1849</v>
      </c>
      <c r="E689" s="200"/>
      <c r="F689" s="43" t="s">
        <v>3141</v>
      </c>
      <c r="G689" s="38">
        <v>45423</v>
      </c>
      <c r="H689" s="202"/>
      <c r="I689" s="194"/>
      <c r="J689" s="194"/>
      <c r="K689" s="194"/>
      <c r="L689" s="194"/>
      <c r="M689" s="194"/>
      <c r="N689" s="194"/>
      <c r="O689" s="192"/>
      <c r="P689" s="55" t="s">
        <v>3142</v>
      </c>
      <c r="Q689" s="33" t="s">
        <v>86</v>
      </c>
      <c r="R689" s="34" t="s">
        <v>3143</v>
      </c>
      <c r="S689" s="44" t="s">
        <v>3144</v>
      </c>
      <c r="T689" s="46"/>
      <c r="U689" s="35"/>
      <c r="V689" s="56"/>
      <c r="W689" s="46"/>
      <c r="X689" s="194"/>
      <c r="Y689" s="194"/>
      <c r="Z689" s="194"/>
      <c r="AA689" s="194"/>
      <c r="AB689" s="220"/>
    </row>
    <row r="690" spans="1:28" ht="18.600000000000001" thickTop="1">
      <c r="A690" s="249" t="s">
        <v>3145</v>
      </c>
      <c r="B690" s="26">
        <v>45422</v>
      </c>
      <c r="C690" s="36">
        <v>2035</v>
      </c>
      <c r="D690" s="28" t="s">
        <v>2175</v>
      </c>
      <c r="E690" s="199"/>
      <c r="F690" s="54" t="s">
        <v>3146</v>
      </c>
      <c r="G690" s="37" t="s">
        <v>3147</v>
      </c>
      <c r="H690" s="201">
        <v>4.5</v>
      </c>
      <c r="I690" s="193">
        <v>1350000</v>
      </c>
      <c r="J690" s="193">
        <f>I690*0.1</f>
        <v>135000</v>
      </c>
      <c r="K690" s="193">
        <v>36190</v>
      </c>
      <c r="L690" s="193">
        <v>19090</v>
      </c>
      <c r="M690" s="193">
        <v>24200</v>
      </c>
      <c r="N690" s="193">
        <f>SUM(I690:M691)</f>
        <v>1564480</v>
      </c>
      <c r="O690" s="191"/>
      <c r="P690" s="57" t="s">
        <v>3148</v>
      </c>
      <c r="Q690" s="29" t="s">
        <v>82</v>
      </c>
      <c r="R690" s="81"/>
      <c r="S690" s="48"/>
      <c r="T690" s="50"/>
      <c r="U690" s="30"/>
      <c r="V690" s="58"/>
      <c r="W690" s="52"/>
      <c r="X690" s="193"/>
      <c r="Y690" s="206">
        <f>X690*0.1</f>
        <v>0</v>
      </c>
      <c r="Z690" s="193"/>
      <c r="AA690" s="193">
        <f>SUM(X690:Z690)</f>
        <v>0</v>
      </c>
      <c r="AB690" s="219"/>
    </row>
    <row r="691" spans="1:28" ht="18.600000000000001" thickBot="1">
      <c r="A691" s="250"/>
      <c r="B691" s="31" t="s">
        <v>1797</v>
      </c>
      <c r="C691" s="31">
        <v>58633</v>
      </c>
      <c r="D691" s="32" t="s">
        <v>1097</v>
      </c>
      <c r="E691" s="200"/>
      <c r="F691" s="43" t="s">
        <v>3149</v>
      </c>
      <c r="G691" s="38">
        <v>41096</v>
      </c>
      <c r="H691" s="202"/>
      <c r="I691" s="194"/>
      <c r="J691" s="194"/>
      <c r="K691" s="194"/>
      <c r="L691" s="194"/>
      <c r="M691" s="194"/>
      <c r="N691" s="194"/>
      <c r="O691" s="192"/>
      <c r="P691" s="55" t="s">
        <v>2295</v>
      </c>
      <c r="Q691" s="33" t="s">
        <v>86</v>
      </c>
      <c r="R691" s="34" t="s">
        <v>3143</v>
      </c>
      <c r="S691" s="44" t="s">
        <v>3150</v>
      </c>
      <c r="T691" s="46"/>
      <c r="U691" s="142" t="s">
        <v>122</v>
      </c>
      <c r="V691" s="56"/>
      <c r="W691" s="46"/>
      <c r="X691" s="194"/>
      <c r="Y691" s="194"/>
      <c r="Z691" s="194"/>
      <c r="AA691" s="194"/>
      <c r="AB691" s="220"/>
    </row>
    <row r="692" spans="1:28" ht="18.600000000000001" thickTop="1">
      <c r="A692" s="249" t="s">
        <v>3151</v>
      </c>
      <c r="B692" s="26">
        <v>45426</v>
      </c>
      <c r="C692" s="36">
        <v>841</v>
      </c>
      <c r="D692" s="28" t="s">
        <v>3152</v>
      </c>
      <c r="E692" s="199"/>
      <c r="F692" s="54" t="s">
        <v>3137</v>
      </c>
      <c r="G692" s="37"/>
      <c r="H692" s="201">
        <v>4</v>
      </c>
      <c r="I692" s="193">
        <v>2212000</v>
      </c>
      <c r="J692" s="193">
        <f>I692*0.1</f>
        <v>221200</v>
      </c>
      <c r="K692" s="193">
        <v>0</v>
      </c>
      <c r="L692" s="193">
        <v>16240</v>
      </c>
      <c r="M692" s="193">
        <v>14850</v>
      </c>
      <c r="N692" s="193">
        <f>SUM(I692:M693)</f>
        <v>2464290</v>
      </c>
      <c r="O692" s="191"/>
      <c r="P692" s="57" t="s">
        <v>3153</v>
      </c>
      <c r="Q692" s="29" t="s">
        <v>82</v>
      </c>
      <c r="R692" s="81"/>
      <c r="S692" s="48" t="s">
        <v>940</v>
      </c>
      <c r="T692" s="50"/>
      <c r="U692" s="30"/>
      <c r="V692" s="58"/>
      <c r="W692" s="52"/>
      <c r="X692" s="193"/>
      <c r="Y692" s="206">
        <f>X692*0.1</f>
        <v>0</v>
      </c>
      <c r="Z692" s="193"/>
      <c r="AA692" s="193">
        <f>SUM(X692:Z692)</f>
        <v>0</v>
      </c>
      <c r="AB692" s="219"/>
    </row>
    <row r="693" spans="1:28" ht="18.600000000000001" thickBot="1">
      <c r="A693" s="250"/>
      <c r="B693" s="31" t="s">
        <v>107</v>
      </c>
      <c r="C693" s="31">
        <v>5061</v>
      </c>
      <c r="D693" s="32" t="s">
        <v>1895</v>
      </c>
      <c r="E693" s="200"/>
      <c r="F693" s="43" t="s">
        <v>3154</v>
      </c>
      <c r="G693" s="38">
        <v>40634</v>
      </c>
      <c r="H693" s="202"/>
      <c r="I693" s="194"/>
      <c r="J693" s="194"/>
      <c r="K693" s="194"/>
      <c r="L693" s="194"/>
      <c r="M693" s="194"/>
      <c r="N693" s="194"/>
      <c r="O693" s="192"/>
      <c r="P693" s="55" t="s">
        <v>3155</v>
      </c>
      <c r="Q693" s="33" t="s">
        <v>86</v>
      </c>
      <c r="R693" s="34" t="s">
        <v>3156</v>
      </c>
      <c r="S693" s="44" t="s">
        <v>3157</v>
      </c>
      <c r="T693" s="46"/>
      <c r="U693" s="35"/>
      <c r="V693" s="56"/>
      <c r="W693" s="46"/>
      <c r="X693" s="194"/>
      <c r="Y693" s="194"/>
      <c r="Z693" s="194"/>
      <c r="AA693" s="194"/>
      <c r="AB693" s="220"/>
    </row>
    <row r="694" spans="1:28" ht="18.600000000000001" thickTop="1">
      <c r="A694" s="249" t="s">
        <v>3158</v>
      </c>
      <c r="B694" s="26">
        <v>45427</v>
      </c>
      <c r="C694" s="36">
        <v>1740</v>
      </c>
      <c r="D694" s="28" t="s">
        <v>2700</v>
      </c>
      <c r="E694" s="199"/>
      <c r="F694" s="54" t="s">
        <v>1866</v>
      </c>
      <c r="G694" s="37" t="s">
        <v>3159</v>
      </c>
      <c r="H694" s="201">
        <v>4.5</v>
      </c>
      <c r="I694" s="193">
        <v>1355000</v>
      </c>
      <c r="J694" s="193">
        <f>I694*0.1</f>
        <v>135500</v>
      </c>
      <c r="K694" s="193">
        <v>31570</v>
      </c>
      <c r="L694" s="193">
        <v>17600</v>
      </c>
      <c r="M694" s="193">
        <v>18150</v>
      </c>
      <c r="N694" s="193">
        <f>SUM(I694:M695)</f>
        <v>1557820</v>
      </c>
      <c r="O694" s="191"/>
      <c r="P694" s="57" t="s">
        <v>3160</v>
      </c>
      <c r="Q694" s="29" t="s">
        <v>82</v>
      </c>
      <c r="R694" s="81"/>
      <c r="S694" s="48" t="s">
        <v>3161</v>
      </c>
      <c r="T694" s="50"/>
      <c r="U694" s="30" t="s">
        <v>3162</v>
      </c>
      <c r="V694" s="58"/>
      <c r="W694" s="52"/>
      <c r="X694" s="193"/>
      <c r="Y694" s="206">
        <f>X694*0.1</f>
        <v>0</v>
      </c>
      <c r="Z694" s="193"/>
      <c r="AA694" s="193">
        <f>SUM(X694:Z694)</f>
        <v>0</v>
      </c>
      <c r="AB694" s="219"/>
    </row>
    <row r="695" spans="1:28" ht="18.600000000000001" thickBot="1">
      <c r="A695" s="250"/>
      <c r="B695" s="31" t="s">
        <v>2082</v>
      </c>
      <c r="C695" s="31">
        <v>38095</v>
      </c>
      <c r="D695" s="32" t="s">
        <v>1097</v>
      </c>
      <c r="E695" s="200"/>
      <c r="F695" s="43" t="s">
        <v>3163</v>
      </c>
      <c r="G695" s="38">
        <v>38468</v>
      </c>
      <c r="H695" s="202"/>
      <c r="I695" s="194"/>
      <c r="J695" s="194"/>
      <c r="K695" s="194"/>
      <c r="L695" s="194"/>
      <c r="M695" s="194"/>
      <c r="N695" s="194"/>
      <c r="O695" s="192"/>
      <c r="P695" s="55" t="s">
        <v>3164</v>
      </c>
      <c r="Q695" s="33" t="s">
        <v>86</v>
      </c>
      <c r="R695" s="34" t="s">
        <v>3165</v>
      </c>
      <c r="S695" s="44" t="s">
        <v>3166</v>
      </c>
      <c r="T695" s="46" t="s">
        <v>3167</v>
      </c>
      <c r="U695" s="35"/>
      <c r="V695" s="56"/>
      <c r="W695" s="46"/>
      <c r="X695" s="194"/>
      <c r="Y695" s="194"/>
      <c r="Z695" s="194"/>
      <c r="AA695" s="194"/>
      <c r="AB695" s="220"/>
    </row>
    <row r="696" spans="1:28" ht="18.600000000000001" thickTop="1">
      <c r="A696" s="249" t="s">
        <v>3168</v>
      </c>
      <c r="B696" s="26">
        <v>45428</v>
      </c>
      <c r="C696" s="36"/>
      <c r="D696" s="28" t="s">
        <v>3169</v>
      </c>
      <c r="E696" s="199"/>
      <c r="F696" s="54" t="s">
        <v>3170</v>
      </c>
      <c r="G696" s="37"/>
      <c r="H696" s="201"/>
      <c r="I696" s="193">
        <v>50000</v>
      </c>
      <c r="J696" s="193">
        <v>0</v>
      </c>
      <c r="K696" s="193"/>
      <c r="L696" s="193"/>
      <c r="M696" s="193"/>
      <c r="N696" s="193">
        <f>SUM(I696:M697)</f>
        <v>50000</v>
      </c>
      <c r="O696" s="191"/>
      <c r="P696" s="57" t="s">
        <v>3171</v>
      </c>
      <c r="Q696" s="29" t="s">
        <v>82</v>
      </c>
      <c r="R696" s="81"/>
      <c r="S696" s="48"/>
      <c r="T696" s="50"/>
      <c r="U696" s="30"/>
      <c r="V696" s="58"/>
      <c r="W696" s="52"/>
      <c r="X696" s="193"/>
      <c r="Y696" s="206">
        <f>X696*0.1</f>
        <v>0</v>
      </c>
      <c r="Z696" s="193"/>
      <c r="AA696" s="193">
        <f>SUM(X696:Z696)</f>
        <v>0</v>
      </c>
      <c r="AB696" s="219"/>
    </row>
    <row r="697" spans="1:28" ht="18.600000000000001" thickBot="1">
      <c r="A697" s="250"/>
      <c r="B697" s="31" t="s">
        <v>3172</v>
      </c>
      <c r="C697" s="31"/>
      <c r="D697" s="32"/>
      <c r="E697" s="200"/>
      <c r="F697" s="43" t="s">
        <v>3173</v>
      </c>
      <c r="G697" s="38"/>
      <c r="H697" s="202"/>
      <c r="I697" s="194"/>
      <c r="J697" s="194"/>
      <c r="K697" s="194"/>
      <c r="L697" s="194"/>
      <c r="M697" s="194"/>
      <c r="N697" s="194"/>
      <c r="O697" s="192"/>
      <c r="P697" s="55" t="s">
        <v>3174</v>
      </c>
      <c r="Q697" s="33" t="s">
        <v>86</v>
      </c>
      <c r="R697" s="34" t="s">
        <v>3143</v>
      </c>
      <c r="S697" s="44" t="s">
        <v>3175</v>
      </c>
      <c r="T697" s="46"/>
      <c r="U697" s="35" t="s">
        <v>1100</v>
      </c>
      <c r="V697" s="56"/>
      <c r="W697" s="46"/>
      <c r="X697" s="194"/>
      <c r="Y697" s="194"/>
      <c r="Z697" s="194"/>
      <c r="AA697" s="194"/>
      <c r="AB697" s="220"/>
    </row>
    <row r="698" spans="1:28" ht="18.600000000000001" thickTop="1">
      <c r="A698" s="249" t="s">
        <v>3176</v>
      </c>
      <c r="B698" s="26">
        <v>45444</v>
      </c>
      <c r="C698" s="36">
        <v>1204</v>
      </c>
      <c r="D698" s="28" t="s">
        <v>3177</v>
      </c>
      <c r="E698" s="199"/>
      <c r="F698" s="54" t="s">
        <v>2087</v>
      </c>
      <c r="G698" s="37"/>
      <c r="H698" s="201">
        <v>4</v>
      </c>
      <c r="I698" s="193">
        <v>2610000</v>
      </c>
      <c r="J698" s="193">
        <f>I698*0.1</f>
        <v>261000</v>
      </c>
      <c r="K698" s="193">
        <v>0</v>
      </c>
      <c r="L698" s="193">
        <v>16240</v>
      </c>
      <c r="M698" s="193">
        <v>13200</v>
      </c>
      <c r="N698" s="193">
        <f>SUM(I698:M699)</f>
        <v>2900440</v>
      </c>
      <c r="O698" s="191"/>
      <c r="P698" s="57" t="s">
        <v>3178</v>
      </c>
      <c r="Q698" s="29" t="s">
        <v>82</v>
      </c>
      <c r="R698" s="81"/>
      <c r="S698" s="48" t="s">
        <v>1596</v>
      </c>
      <c r="T698" s="50"/>
      <c r="U698" s="30"/>
      <c r="V698" s="58"/>
      <c r="W698" s="52"/>
      <c r="X698" s="193"/>
      <c r="Y698" s="206">
        <f>X698*0.1</f>
        <v>0</v>
      </c>
      <c r="Z698" s="193"/>
      <c r="AA698" s="193">
        <f>SUM(X698:Z698)</f>
        <v>0</v>
      </c>
      <c r="AB698" s="219"/>
    </row>
    <row r="699" spans="1:28" ht="18.600000000000001" thickBot="1">
      <c r="A699" s="250"/>
      <c r="B699" s="31" t="s">
        <v>521</v>
      </c>
      <c r="C699" s="31">
        <v>82018</v>
      </c>
      <c r="D699" s="32" t="s">
        <v>399</v>
      </c>
      <c r="E699" s="200"/>
      <c r="F699" s="43" t="s">
        <v>3179</v>
      </c>
      <c r="G699" s="38">
        <v>28690</v>
      </c>
      <c r="H699" s="202"/>
      <c r="I699" s="194"/>
      <c r="J699" s="194"/>
      <c r="K699" s="194"/>
      <c r="L699" s="194"/>
      <c r="M699" s="194"/>
      <c r="N699" s="194"/>
      <c r="O699" s="192"/>
      <c r="P699" s="55" t="s">
        <v>3180</v>
      </c>
      <c r="Q699" s="33" t="s">
        <v>86</v>
      </c>
      <c r="R699" s="34" t="s">
        <v>3181</v>
      </c>
      <c r="S699" s="44" t="s">
        <v>1872</v>
      </c>
      <c r="T699" s="46"/>
      <c r="U699" s="35"/>
      <c r="V699" s="56"/>
      <c r="W699" s="46"/>
      <c r="X699" s="194"/>
      <c r="Y699" s="194"/>
      <c r="Z699" s="194"/>
      <c r="AA699" s="194"/>
      <c r="AB699" s="220"/>
    </row>
    <row r="700" spans="1:28" ht="18.600000000000001" thickTop="1">
      <c r="A700" s="249" t="s">
        <v>3182</v>
      </c>
      <c r="B700" s="26">
        <v>45444</v>
      </c>
      <c r="C700" s="36">
        <v>1204</v>
      </c>
      <c r="D700" s="28" t="s">
        <v>1960</v>
      </c>
      <c r="E700" s="199"/>
      <c r="F700" s="54" t="s">
        <v>2663</v>
      </c>
      <c r="G700" s="37" t="s">
        <v>2834</v>
      </c>
      <c r="H700" s="201">
        <v>4.5</v>
      </c>
      <c r="I700" s="193">
        <v>1475000</v>
      </c>
      <c r="J700" s="193">
        <f>I700*0.1</f>
        <v>147500</v>
      </c>
      <c r="K700" s="193">
        <v>32560</v>
      </c>
      <c r="L700" s="193">
        <v>20680</v>
      </c>
      <c r="M700" s="193">
        <v>13200</v>
      </c>
      <c r="N700" s="193">
        <f>SUM(I700:M701)</f>
        <v>1688940</v>
      </c>
      <c r="O700" s="191"/>
      <c r="P700" s="57" t="s">
        <v>3183</v>
      </c>
      <c r="Q700" s="29" t="s">
        <v>82</v>
      </c>
      <c r="R700" s="81"/>
      <c r="S700" s="48" t="s">
        <v>1596</v>
      </c>
      <c r="T700" s="50"/>
      <c r="U700" s="30" t="s">
        <v>3184</v>
      </c>
      <c r="V700" s="58"/>
      <c r="W700" s="52"/>
      <c r="X700" s="193"/>
      <c r="Y700" s="206">
        <f>X700*0.1</f>
        <v>0</v>
      </c>
      <c r="Z700" s="193"/>
      <c r="AA700" s="193">
        <f>SUM(X700:Z700)</f>
        <v>0</v>
      </c>
      <c r="AB700" s="219"/>
    </row>
    <row r="701" spans="1:28" ht="18.600000000000001" thickBot="1">
      <c r="A701" s="250"/>
      <c r="B701" s="31" t="s">
        <v>521</v>
      </c>
      <c r="C701" s="31">
        <v>82201</v>
      </c>
      <c r="D701" s="32" t="s">
        <v>1849</v>
      </c>
      <c r="E701" s="200"/>
      <c r="F701" s="43" t="s">
        <v>3185</v>
      </c>
      <c r="G701" s="38">
        <v>26660</v>
      </c>
      <c r="H701" s="202"/>
      <c r="I701" s="194"/>
      <c r="J701" s="194"/>
      <c r="K701" s="194"/>
      <c r="L701" s="194"/>
      <c r="M701" s="194"/>
      <c r="N701" s="194"/>
      <c r="O701" s="192"/>
      <c r="P701" s="55" t="s">
        <v>3186</v>
      </c>
      <c r="Q701" s="33" t="s">
        <v>86</v>
      </c>
      <c r="R701" s="34" t="s">
        <v>3181</v>
      </c>
      <c r="S701" s="44" t="s">
        <v>287</v>
      </c>
      <c r="T701" s="46"/>
      <c r="U701" s="35"/>
      <c r="V701" s="56"/>
      <c r="W701" s="46"/>
      <c r="X701" s="194"/>
      <c r="Y701" s="194"/>
      <c r="Z701" s="194"/>
      <c r="AA701" s="194"/>
      <c r="AB701" s="220"/>
    </row>
    <row r="702" spans="1:28" ht="18.600000000000001" thickTop="1">
      <c r="A702" s="249" t="s">
        <v>3201</v>
      </c>
      <c r="B702" s="26">
        <v>45446</v>
      </c>
      <c r="C702" s="36">
        <v>1997</v>
      </c>
      <c r="D702" s="28" t="s">
        <v>2175</v>
      </c>
      <c r="E702" s="199"/>
      <c r="F702" s="54" t="s">
        <v>3202</v>
      </c>
      <c r="G702" s="37" t="s">
        <v>3203</v>
      </c>
      <c r="H702" s="201">
        <v>3.5</v>
      </c>
      <c r="I702" s="193">
        <v>864000</v>
      </c>
      <c r="J702" s="193">
        <f>I702*0.1</f>
        <v>86400</v>
      </c>
      <c r="K702" s="193">
        <v>0</v>
      </c>
      <c r="L702" s="193">
        <v>6540</v>
      </c>
      <c r="M702" s="193">
        <v>8800</v>
      </c>
      <c r="N702" s="193">
        <f>SUM(I702:M703)</f>
        <v>965740</v>
      </c>
      <c r="O702" s="191"/>
      <c r="P702" s="57" t="s">
        <v>3204</v>
      </c>
      <c r="Q702" s="29" t="s">
        <v>82</v>
      </c>
      <c r="R702" s="81"/>
      <c r="S702" s="48" t="s">
        <v>1647</v>
      </c>
      <c r="T702" s="50"/>
      <c r="U702" s="30" t="s">
        <v>3205</v>
      </c>
      <c r="V702" s="58"/>
      <c r="W702" s="52"/>
      <c r="X702" s="193"/>
      <c r="Y702" s="206">
        <f>X702*0.1</f>
        <v>0</v>
      </c>
      <c r="Z702" s="193"/>
      <c r="AA702" s="193">
        <f>SUM(X702:Z702)</f>
        <v>0</v>
      </c>
      <c r="AB702" s="219"/>
    </row>
    <row r="703" spans="1:28" ht="18.600000000000001" thickBot="1">
      <c r="A703" s="250"/>
      <c r="B703" s="31" t="s">
        <v>189</v>
      </c>
      <c r="C703" s="31">
        <v>24012</v>
      </c>
      <c r="D703" s="32" t="s">
        <v>1849</v>
      </c>
      <c r="E703" s="200"/>
      <c r="F703" s="43" t="s">
        <v>3206</v>
      </c>
      <c r="G703" s="38">
        <v>8035</v>
      </c>
      <c r="H703" s="202"/>
      <c r="I703" s="194"/>
      <c r="J703" s="194"/>
      <c r="K703" s="194"/>
      <c r="L703" s="194"/>
      <c r="M703" s="194"/>
      <c r="N703" s="194"/>
      <c r="O703" s="192"/>
      <c r="P703" s="55" t="s">
        <v>3207</v>
      </c>
      <c r="Q703" s="33" t="s">
        <v>86</v>
      </c>
      <c r="R703" s="34" t="s">
        <v>2708</v>
      </c>
      <c r="S703" s="44" t="s">
        <v>3208</v>
      </c>
      <c r="T703" s="46"/>
      <c r="U703" s="35"/>
      <c r="V703" s="56"/>
      <c r="W703" s="46"/>
      <c r="X703" s="194"/>
      <c r="Y703" s="194"/>
      <c r="Z703" s="194"/>
      <c r="AA703" s="194"/>
      <c r="AB703" s="220"/>
    </row>
    <row r="704" spans="1:28" ht="18.600000000000001" thickTop="1">
      <c r="A704" s="249" t="s">
        <v>3209</v>
      </c>
      <c r="B704" s="26">
        <v>45451</v>
      </c>
      <c r="C704" s="36">
        <v>1205</v>
      </c>
      <c r="D704" s="28" t="s">
        <v>1980</v>
      </c>
      <c r="E704" s="199"/>
      <c r="F704" s="54" t="s">
        <v>1844</v>
      </c>
      <c r="G704" s="37"/>
      <c r="H704" s="201">
        <v>4.5</v>
      </c>
      <c r="I704" s="193">
        <v>2370000</v>
      </c>
      <c r="J704" s="193">
        <f>I704*0.1</f>
        <v>237000</v>
      </c>
      <c r="K704" s="193">
        <v>0</v>
      </c>
      <c r="L704" s="193">
        <v>16240</v>
      </c>
      <c r="M704" s="193">
        <v>13200</v>
      </c>
      <c r="N704" s="193">
        <f>SUM(I704:M705)</f>
        <v>2636440</v>
      </c>
      <c r="O704" s="191"/>
      <c r="P704" s="57" t="s">
        <v>3210</v>
      </c>
      <c r="Q704" s="29" t="s">
        <v>82</v>
      </c>
      <c r="R704" s="81"/>
      <c r="S704" s="48" t="s">
        <v>1494</v>
      </c>
      <c r="T704" s="50"/>
      <c r="U704" s="30"/>
      <c r="V704" s="58"/>
      <c r="W704" s="52"/>
      <c r="X704" s="193"/>
      <c r="Y704" s="206">
        <f>X704*0.1</f>
        <v>0</v>
      </c>
      <c r="Z704" s="193"/>
      <c r="AA704" s="193">
        <f>SUM(X704:Z704)</f>
        <v>0</v>
      </c>
      <c r="AB704" s="219"/>
    </row>
    <row r="705" spans="1:28" ht="18.600000000000001" thickBot="1">
      <c r="A705" s="250"/>
      <c r="B705" s="31" t="s">
        <v>521</v>
      </c>
      <c r="C705" s="31">
        <v>85001</v>
      </c>
      <c r="D705" s="32" t="s">
        <v>1849</v>
      </c>
      <c r="E705" s="200"/>
      <c r="F705" s="43" t="s">
        <v>3211</v>
      </c>
      <c r="G705" s="38">
        <v>18963</v>
      </c>
      <c r="H705" s="202"/>
      <c r="I705" s="194"/>
      <c r="J705" s="194"/>
      <c r="K705" s="194"/>
      <c r="L705" s="194"/>
      <c r="M705" s="194"/>
      <c r="N705" s="194"/>
      <c r="O705" s="192"/>
      <c r="P705" s="55" t="s">
        <v>3212</v>
      </c>
      <c r="Q705" s="33" t="s">
        <v>86</v>
      </c>
      <c r="R705" s="34" t="s">
        <v>3213</v>
      </c>
      <c r="S705" s="44" t="s">
        <v>3214</v>
      </c>
      <c r="T705" s="46"/>
      <c r="U705" s="35"/>
      <c r="V705" s="56"/>
      <c r="W705" s="46"/>
      <c r="X705" s="194"/>
      <c r="Y705" s="194"/>
      <c r="Z705" s="194"/>
      <c r="AA705" s="194"/>
      <c r="AB705" s="220"/>
    </row>
    <row r="706" spans="1:28" ht="18.600000000000001" thickTop="1">
      <c r="A706" s="249" t="s">
        <v>3215</v>
      </c>
      <c r="B706" s="26">
        <v>45455</v>
      </c>
      <c r="C706" s="36">
        <v>922</v>
      </c>
      <c r="D706" s="28" t="s">
        <v>1903</v>
      </c>
      <c r="E706" s="199"/>
      <c r="F706" s="54" t="s">
        <v>3216</v>
      </c>
      <c r="G706" s="37" t="s">
        <v>3217</v>
      </c>
      <c r="H706" s="201">
        <v>4</v>
      </c>
      <c r="I706" s="193">
        <v>1220000</v>
      </c>
      <c r="J706" s="193">
        <f>I706*0.1</f>
        <v>122000</v>
      </c>
      <c r="K706" s="193">
        <v>0</v>
      </c>
      <c r="L706" s="193">
        <v>8550</v>
      </c>
      <c r="M706" s="193">
        <v>12100</v>
      </c>
      <c r="N706" s="193">
        <f>SUM(I706:M707)</f>
        <v>1362650</v>
      </c>
      <c r="O706" s="191"/>
      <c r="P706" s="57" t="s">
        <v>3218</v>
      </c>
      <c r="Q706" s="29" t="s">
        <v>82</v>
      </c>
      <c r="R706" s="81"/>
      <c r="S706" s="48"/>
      <c r="T706" s="50"/>
      <c r="U706" s="30" t="s">
        <v>3219</v>
      </c>
      <c r="V706" s="58"/>
      <c r="W706" s="52"/>
      <c r="X706" s="193"/>
      <c r="Y706" s="206">
        <f>X706*0.1</f>
        <v>0</v>
      </c>
      <c r="Z706" s="193"/>
      <c r="AA706" s="193">
        <f>SUM(X706:Z706)</f>
        <v>0</v>
      </c>
      <c r="AB706" s="219"/>
    </row>
    <row r="707" spans="1:28" ht="18.600000000000001" thickBot="1">
      <c r="A707" s="250"/>
      <c r="B707" s="31" t="s">
        <v>104</v>
      </c>
      <c r="C707" s="31">
        <v>4032</v>
      </c>
      <c r="D707" s="32" t="s">
        <v>399</v>
      </c>
      <c r="E707" s="200"/>
      <c r="F707" s="43" t="s">
        <v>3220</v>
      </c>
      <c r="G707" s="38">
        <v>49833</v>
      </c>
      <c r="H707" s="202"/>
      <c r="I707" s="194"/>
      <c r="J707" s="194"/>
      <c r="K707" s="194"/>
      <c r="L707" s="194"/>
      <c r="M707" s="194"/>
      <c r="N707" s="194"/>
      <c r="O707" s="192"/>
      <c r="P707" s="55" t="s">
        <v>3221</v>
      </c>
      <c r="Q707" s="33" t="s">
        <v>86</v>
      </c>
      <c r="R707" s="34" t="s">
        <v>2339</v>
      </c>
      <c r="S707" s="44" t="s">
        <v>3222</v>
      </c>
      <c r="T707" s="46" t="s">
        <v>3223</v>
      </c>
      <c r="U707" s="35"/>
      <c r="V707" s="56"/>
      <c r="W707" s="46"/>
      <c r="X707" s="194"/>
      <c r="Y707" s="194"/>
      <c r="Z707" s="194"/>
      <c r="AA707" s="194"/>
      <c r="AB707" s="220"/>
    </row>
    <row r="708" spans="1:28" ht="18.600000000000001" thickTop="1">
      <c r="A708" s="249" t="s">
        <v>3224</v>
      </c>
      <c r="B708" s="26">
        <v>45455</v>
      </c>
      <c r="C708" s="36">
        <v>1744</v>
      </c>
      <c r="D708" s="28" t="s">
        <v>2136</v>
      </c>
      <c r="E708" s="199"/>
      <c r="F708" s="54" t="s">
        <v>1358</v>
      </c>
      <c r="G708" s="37"/>
      <c r="H708" s="201">
        <v>4.5</v>
      </c>
      <c r="I708" s="193">
        <v>2105000</v>
      </c>
      <c r="J708" s="193">
        <f>I708*0.1</f>
        <v>210500</v>
      </c>
      <c r="K708" s="193">
        <v>0</v>
      </c>
      <c r="L708" s="193">
        <v>16240</v>
      </c>
      <c r="M708" s="193">
        <v>18150</v>
      </c>
      <c r="N708" s="193">
        <f>SUM(I708:M709)</f>
        <v>2349890</v>
      </c>
      <c r="O708" s="191"/>
      <c r="P708" s="57" t="s">
        <v>3225</v>
      </c>
      <c r="Q708" s="29" t="s">
        <v>82</v>
      </c>
      <c r="R708" s="81"/>
      <c r="S708" s="48"/>
      <c r="T708" s="50"/>
      <c r="U708" s="30"/>
      <c r="V708" s="58"/>
      <c r="W708" s="52"/>
      <c r="X708" s="193"/>
      <c r="Y708" s="206">
        <f>X708*0.1</f>
        <v>0</v>
      </c>
      <c r="Z708" s="193"/>
      <c r="AA708" s="193">
        <f>SUM(X708:Z708)</f>
        <v>0</v>
      </c>
      <c r="AB708" s="219"/>
    </row>
    <row r="709" spans="1:28" ht="18.600000000000001" thickBot="1">
      <c r="A709" s="250"/>
      <c r="B709" s="31" t="s">
        <v>2082</v>
      </c>
      <c r="C709" s="31">
        <v>90086</v>
      </c>
      <c r="D709" s="32" t="s">
        <v>3226</v>
      </c>
      <c r="E709" s="200"/>
      <c r="F709" s="43" t="s">
        <v>3227</v>
      </c>
      <c r="G709" s="38">
        <v>23506</v>
      </c>
      <c r="H709" s="202"/>
      <c r="I709" s="194"/>
      <c r="J709" s="194"/>
      <c r="K709" s="194"/>
      <c r="L709" s="194"/>
      <c r="M709" s="194"/>
      <c r="N709" s="194"/>
      <c r="O709" s="192"/>
      <c r="P709" s="55" t="s">
        <v>3228</v>
      </c>
      <c r="Q709" s="33" t="s">
        <v>86</v>
      </c>
      <c r="R709" s="34" t="s">
        <v>2332</v>
      </c>
      <c r="S709" s="44" t="s">
        <v>96</v>
      </c>
      <c r="T709" s="46"/>
      <c r="U709" s="35"/>
      <c r="V709" s="56"/>
      <c r="W709" s="46"/>
      <c r="X709" s="194"/>
      <c r="Y709" s="194"/>
      <c r="Z709" s="194"/>
      <c r="AA709" s="194"/>
      <c r="AB709" s="220"/>
    </row>
    <row r="710" spans="1:28" ht="18.600000000000001" thickTop="1">
      <c r="A710" s="249" t="s">
        <v>3236</v>
      </c>
      <c r="B710" s="26">
        <v>45458</v>
      </c>
      <c r="C710" s="36">
        <v>1206</v>
      </c>
      <c r="D710" s="28" t="s">
        <v>1855</v>
      </c>
      <c r="E710" s="199"/>
      <c r="F710" s="54" t="s">
        <v>3112</v>
      </c>
      <c r="G710" s="37" t="s">
        <v>3237</v>
      </c>
      <c r="H710" s="201">
        <v>4.5</v>
      </c>
      <c r="I710" s="193">
        <v>2090000</v>
      </c>
      <c r="J710" s="193">
        <f>I710*0.1</f>
        <v>209000</v>
      </c>
      <c r="K710" s="193">
        <v>28380</v>
      </c>
      <c r="L710" s="193">
        <v>11740</v>
      </c>
      <c r="M710" s="193">
        <v>13200</v>
      </c>
      <c r="N710" s="193">
        <f>SUM(I710:M711)</f>
        <v>2352320</v>
      </c>
      <c r="O710" s="191"/>
      <c r="P710" s="57" t="s">
        <v>3238</v>
      </c>
      <c r="Q710" s="29" t="s">
        <v>82</v>
      </c>
      <c r="R710" s="81"/>
      <c r="S710" s="48" t="s">
        <v>3239</v>
      </c>
      <c r="T710" s="50"/>
      <c r="U710" s="30" t="s">
        <v>3240</v>
      </c>
      <c r="V710" s="58"/>
      <c r="W710" s="52"/>
      <c r="X710" s="193"/>
      <c r="Y710" s="206">
        <f>X710*0.1</f>
        <v>0</v>
      </c>
      <c r="Z710" s="193"/>
      <c r="AA710" s="193">
        <f>SUM(X710:Z710)</f>
        <v>0</v>
      </c>
      <c r="AB710" s="219"/>
    </row>
    <row r="711" spans="1:28" ht="18.600000000000001" thickBot="1">
      <c r="A711" s="250"/>
      <c r="B711" s="31" t="s">
        <v>521</v>
      </c>
      <c r="C711" s="31">
        <v>85019</v>
      </c>
      <c r="D711" s="32" t="s">
        <v>244</v>
      </c>
      <c r="E711" s="200"/>
      <c r="F711" s="43" t="s">
        <v>3241</v>
      </c>
      <c r="G711" s="38">
        <v>33145</v>
      </c>
      <c r="H711" s="202"/>
      <c r="I711" s="194"/>
      <c r="J711" s="194"/>
      <c r="K711" s="194"/>
      <c r="L711" s="194"/>
      <c r="M711" s="194"/>
      <c r="N711" s="194"/>
      <c r="O711" s="192"/>
      <c r="P711" s="55" t="s">
        <v>3242</v>
      </c>
      <c r="Q711" s="33" t="s">
        <v>86</v>
      </c>
      <c r="R711" s="34" t="s">
        <v>3213</v>
      </c>
      <c r="S711" s="44" t="s">
        <v>2101</v>
      </c>
      <c r="T711" s="46"/>
      <c r="U711" s="35"/>
      <c r="V711" s="56"/>
      <c r="W711" s="46"/>
      <c r="X711" s="194"/>
      <c r="Y711" s="194"/>
      <c r="Z711" s="194"/>
      <c r="AA711" s="194"/>
      <c r="AB711" s="220"/>
    </row>
    <row r="712" spans="1:28" ht="18.600000000000001" thickTop="1">
      <c r="A712" s="249" t="s">
        <v>3243</v>
      </c>
      <c r="B712" s="26">
        <v>45460</v>
      </c>
      <c r="C712" s="36">
        <v>1999</v>
      </c>
      <c r="D712" s="28" t="s">
        <v>3244</v>
      </c>
      <c r="E712" s="199"/>
      <c r="F712" s="54" t="s">
        <v>3245</v>
      </c>
      <c r="G712" s="37"/>
      <c r="H712" s="201">
        <v>4</v>
      </c>
      <c r="I712" s="193">
        <v>3405000</v>
      </c>
      <c r="J712" s="193">
        <f>I712*0.1</f>
        <v>340500</v>
      </c>
      <c r="K712" s="193">
        <v>0</v>
      </c>
      <c r="L712" s="193">
        <v>16040</v>
      </c>
      <c r="M712" s="193">
        <v>12100</v>
      </c>
      <c r="N712" s="193">
        <f>SUM(I712:M713)</f>
        <v>3773640</v>
      </c>
      <c r="O712" s="191"/>
      <c r="P712" s="57" t="s">
        <v>3246</v>
      </c>
      <c r="Q712" s="29" t="s">
        <v>82</v>
      </c>
      <c r="R712" s="81"/>
      <c r="S712" s="48" t="s">
        <v>1596</v>
      </c>
      <c r="T712" s="50"/>
      <c r="U712" s="30"/>
      <c r="V712" s="58"/>
      <c r="W712" s="52"/>
      <c r="X712" s="193"/>
      <c r="Y712" s="206">
        <f>X712*0.1</f>
        <v>0</v>
      </c>
      <c r="Z712" s="193"/>
      <c r="AA712" s="193">
        <f>SUM(X712:Z712)</f>
        <v>0</v>
      </c>
      <c r="AB712" s="219"/>
    </row>
    <row r="713" spans="1:28" ht="18.600000000000001" thickBot="1">
      <c r="A713" s="250"/>
      <c r="B713" s="31" t="s">
        <v>189</v>
      </c>
      <c r="C713" s="31">
        <v>33526</v>
      </c>
      <c r="D713" s="32" t="s">
        <v>1832</v>
      </c>
      <c r="E713" s="200"/>
      <c r="F713" s="43" t="s">
        <v>3247</v>
      </c>
      <c r="G713" s="38">
        <v>57978</v>
      </c>
      <c r="H713" s="202"/>
      <c r="I713" s="194"/>
      <c r="J713" s="194"/>
      <c r="K713" s="194"/>
      <c r="L713" s="194"/>
      <c r="M713" s="194"/>
      <c r="N713" s="194"/>
      <c r="O713" s="192"/>
      <c r="P713" s="55" t="s">
        <v>3069</v>
      </c>
      <c r="Q713" s="33" t="s">
        <v>86</v>
      </c>
      <c r="R713" s="34" t="s">
        <v>3248</v>
      </c>
      <c r="S713" s="44" t="s">
        <v>96</v>
      </c>
      <c r="T713" s="46" t="s">
        <v>3249</v>
      </c>
      <c r="U713" s="35"/>
      <c r="V713" s="56"/>
      <c r="W713" s="46"/>
      <c r="X713" s="194"/>
      <c r="Y713" s="194"/>
      <c r="Z713" s="194"/>
      <c r="AA713" s="194"/>
      <c r="AB713" s="220"/>
    </row>
    <row r="714" spans="1:28" ht="18.600000000000001" thickTop="1">
      <c r="A714" s="249" t="s">
        <v>3250</v>
      </c>
      <c r="B714" s="26">
        <v>45465</v>
      </c>
      <c r="C714" s="36">
        <v>1372</v>
      </c>
      <c r="D714" s="28" t="s">
        <v>2325</v>
      </c>
      <c r="E714" s="199"/>
      <c r="F714" s="54" t="s">
        <v>3251</v>
      </c>
      <c r="G714" s="37"/>
      <c r="H714" s="201">
        <v>4</v>
      </c>
      <c r="I714" s="193">
        <v>1400000</v>
      </c>
      <c r="J714" s="193">
        <f>I714*0.1</f>
        <v>140000</v>
      </c>
      <c r="K714" s="193">
        <v>0</v>
      </c>
      <c r="L714" s="193">
        <v>19440</v>
      </c>
      <c r="M714" s="193">
        <v>24200</v>
      </c>
      <c r="N714" s="193">
        <f>SUM(I714:M715)</f>
        <v>1583640</v>
      </c>
      <c r="O714" s="191"/>
      <c r="P714" s="57" t="s">
        <v>3252</v>
      </c>
      <c r="Q714" s="29" t="s">
        <v>82</v>
      </c>
      <c r="R714" s="81"/>
      <c r="S714" s="48" t="s">
        <v>940</v>
      </c>
      <c r="T714" s="50"/>
      <c r="U714" s="30"/>
      <c r="V714" s="58"/>
      <c r="W714" s="52"/>
      <c r="X714" s="193"/>
      <c r="Y714" s="206">
        <f>X714*0.1</f>
        <v>0</v>
      </c>
      <c r="Z714" s="193"/>
      <c r="AA714" s="193">
        <f>SUM(X714:Z714)</f>
        <v>0</v>
      </c>
      <c r="AB714" s="219"/>
    </row>
    <row r="715" spans="1:28" ht="18.600000000000001" thickBot="1">
      <c r="A715" s="250"/>
      <c r="B715" s="31" t="s">
        <v>2053</v>
      </c>
      <c r="C715" s="31">
        <v>7051</v>
      </c>
      <c r="D715" s="32" t="s">
        <v>399</v>
      </c>
      <c r="E715" s="200"/>
      <c r="F715" s="43" t="s">
        <v>3253</v>
      </c>
      <c r="G715" s="38">
        <v>51513</v>
      </c>
      <c r="H715" s="202"/>
      <c r="I715" s="194"/>
      <c r="J715" s="194"/>
      <c r="K715" s="194"/>
      <c r="L715" s="194"/>
      <c r="M715" s="194"/>
      <c r="N715" s="194"/>
      <c r="O715" s="192"/>
      <c r="P715" s="55" t="s">
        <v>3254</v>
      </c>
      <c r="Q715" s="33" t="s">
        <v>86</v>
      </c>
      <c r="R715" s="34" t="s">
        <v>3255</v>
      </c>
      <c r="S715" s="44" t="s">
        <v>3256</v>
      </c>
      <c r="T715" s="46"/>
      <c r="U715" s="35"/>
      <c r="V715" s="56"/>
      <c r="W715" s="46"/>
      <c r="X715" s="194"/>
      <c r="Y715" s="194"/>
      <c r="Z715" s="194"/>
      <c r="AA715" s="194"/>
      <c r="AB715" s="220"/>
    </row>
    <row r="716" spans="1:28" ht="18.600000000000001" thickTop="1">
      <c r="A716" s="249" t="s">
        <v>3257</v>
      </c>
      <c r="B716" s="26">
        <v>45468</v>
      </c>
      <c r="C716" s="36">
        <v>1001</v>
      </c>
      <c r="D716" s="28" t="s">
        <v>1993</v>
      </c>
      <c r="E716" s="199"/>
      <c r="F716" s="54" t="s">
        <v>2155</v>
      </c>
      <c r="G716" s="37" t="s">
        <v>3258</v>
      </c>
      <c r="H716" s="201">
        <v>4.5</v>
      </c>
      <c r="I716" s="193">
        <v>2240000</v>
      </c>
      <c r="J716" s="193">
        <f>I716*0.1</f>
        <v>224000</v>
      </c>
      <c r="K716" s="193">
        <v>32560</v>
      </c>
      <c r="L716" s="193">
        <v>17600</v>
      </c>
      <c r="M716" s="193">
        <v>13200</v>
      </c>
      <c r="N716" s="193">
        <f>SUM(I716:M717)</f>
        <v>2527360</v>
      </c>
      <c r="O716" s="191"/>
      <c r="P716" s="57" t="s">
        <v>3259</v>
      </c>
      <c r="Q716" s="29" t="s">
        <v>82</v>
      </c>
      <c r="R716" s="81"/>
      <c r="S716" s="48" t="s">
        <v>1954</v>
      </c>
      <c r="T716" s="50"/>
      <c r="U716" s="30" t="s">
        <v>3260</v>
      </c>
      <c r="V716" s="58"/>
      <c r="W716" s="52"/>
      <c r="X716" s="193"/>
      <c r="Y716" s="206">
        <f>X716*0.1</f>
        <v>0</v>
      </c>
      <c r="Z716" s="193"/>
      <c r="AA716" s="193">
        <f>SUM(X716:Z716)</f>
        <v>0</v>
      </c>
      <c r="AB716" s="219"/>
    </row>
    <row r="717" spans="1:28" ht="18.600000000000001" thickBot="1">
      <c r="A717" s="250"/>
      <c r="B717" s="31" t="s">
        <v>1848</v>
      </c>
      <c r="C717" s="31">
        <v>82023</v>
      </c>
      <c r="D717" s="32" t="s">
        <v>2089</v>
      </c>
      <c r="E717" s="200"/>
      <c r="F717" s="43" t="s">
        <v>3261</v>
      </c>
      <c r="G717" s="38">
        <v>13019</v>
      </c>
      <c r="H717" s="202"/>
      <c r="I717" s="194"/>
      <c r="J717" s="194"/>
      <c r="K717" s="194"/>
      <c r="L717" s="194"/>
      <c r="M717" s="194"/>
      <c r="N717" s="194"/>
      <c r="O717" s="192"/>
      <c r="P717" s="55" t="s">
        <v>3262</v>
      </c>
      <c r="Q717" s="33" t="s">
        <v>86</v>
      </c>
      <c r="R717" s="34" t="s">
        <v>3263</v>
      </c>
      <c r="S717" s="44" t="s">
        <v>3264</v>
      </c>
      <c r="T717" s="46"/>
      <c r="U717" s="35"/>
      <c r="V717" s="56"/>
      <c r="W717" s="46"/>
      <c r="X717" s="194"/>
      <c r="Y717" s="194"/>
      <c r="Z717" s="194"/>
      <c r="AA717" s="194"/>
      <c r="AB717" s="220"/>
    </row>
    <row r="718" spans="1:28" ht="18.600000000000001" thickTop="1">
      <c r="A718" s="249" t="s">
        <v>3265</v>
      </c>
      <c r="B718" s="26">
        <v>45469</v>
      </c>
      <c r="C718" s="36">
        <v>1165</v>
      </c>
      <c r="D718" s="28" t="s">
        <v>1960</v>
      </c>
      <c r="E718" s="199"/>
      <c r="F718" s="54" t="s">
        <v>3266</v>
      </c>
      <c r="G718" s="37"/>
      <c r="H718" s="201">
        <v>4.5</v>
      </c>
      <c r="I718" s="193">
        <v>2352000</v>
      </c>
      <c r="J718" s="193">
        <f>I718*0.1</f>
        <v>235200</v>
      </c>
      <c r="K718" s="193">
        <v>0</v>
      </c>
      <c r="L718" s="193">
        <v>13210</v>
      </c>
      <c r="M718" s="193">
        <v>22000</v>
      </c>
      <c r="N718" s="193">
        <f>SUM(I718:M719)</f>
        <v>2622410</v>
      </c>
      <c r="O718" s="191"/>
      <c r="P718" s="57" t="s">
        <v>3267</v>
      </c>
      <c r="Q718" s="29" t="s">
        <v>82</v>
      </c>
      <c r="R718" s="81"/>
      <c r="S718" s="48"/>
      <c r="T718" s="50"/>
      <c r="U718" s="30"/>
      <c r="V718" s="58"/>
      <c r="W718" s="52"/>
      <c r="X718" s="193"/>
      <c r="Y718" s="206">
        <f>X718*0.1</f>
        <v>0</v>
      </c>
      <c r="Z718" s="193"/>
      <c r="AA718" s="193">
        <f>SUM(X718:Z718)</f>
        <v>0</v>
      </c>
      <c r="AB718" s="219"/>
    </row>
    <row r="719" spans="1:28" ht="18.600000000000001" thickBot="1">
      <c r="A719" s="250"/>
      <c r="B719" s="31" t="s">
        <v>3268</v>
      </c>
      <c r="C719" s="31">
        <v>224</v>
      </c>
      <c r="D719" s="32" t="s">
        <v>3269</v>
      </c>
      <c r="E719" s="200"/>
      <c r="F719" s="43" t="s">
        <v>3270</v>
      </c>
      <c r="G719" s="38">
        <v>15961</v>
      </c>
      <c r="H719" s="202"/>
      <c r="I719" s="194"/>
      <c r="J719" s="194"/>
      <c r="K719" s="194"/>
      <c r="L719" s="194"/>
      <c r="M719" s="194"/>
      <c r="N719" s="194"/>
      <c r="O719" s="192"/>
      <c r="P719" s="55" t="s">
        <v>2855</v>
      </c>
      <c r="Q719" s="33" t="s">
        <v>86</v>
      </c>
      <c r="R719" s="34" t="s">
        <v>3271</v>
      </c>
      <c r="S719" s="44" t="s">
        <v>1872</v>
      </c>
      <c r="T719" s="46"/>
      <c r="U719" s="35"/>
      <c r="V719" s="56"/>
      <c r="W719" s="46"/>
      <c r="X719" s="194"/>
      <c r="Y719" s="194"/>
      <c r="Z719" s="194"/>
      <c r="AA719" s="194"/>
      <c r="AB719" s="220"/>
    </row>
    <row r="720" spans="1:28" ht="18.600000000000001" thickTop="1">
      <c r="A720" s="249" t="s">
        <v>3280</v>
      </c>
      <c r="B720" s="26">
        <v>45479</v>
      </c>
      <c r="C720" s="36"/>
      <c r="D720" s="28" t="s">
        <v>2677</v>
      </c>
      <c r="E720" s="199"/>
      <c r="F720" s="54" t="s">
        <v>3281</v>
      </c>
      <c r="G720" s="37" t="s">
        <v>2887</v>
      </c>
      <c r="H720" s="201">
        <v>4</v>
      </c>
      <c r="I720" s="193">
        <f>5599000/1.1</f>
        <v>5090000</v>
      </c>
      <c r="J720" s="193">
        <f>I720*0.1</f>
        <v>509000</v>
      </c>
      <c r="K720" s="193">
        <v>33300</v>
      </c>
      <c r="L720" s="193">
        <v>12580</v>
      </c>
      <c r="M720" s="193">
        <v>194975</v>
      </c>
      <c r="N720" s="193">
        <f>SUM(I720:M721)</f>
        <v>5839855</v>
      </c>
      <c r="O720" s="191"/>
      <c r="P720" s="147" t="s">
        <v>3282</v>
      </c>
      <c r="Q720" s="29" t="s">
        <v>82</v>
      </c>
      <c r="R720" s="81"/>
      <c r="S720" s="48" t="s">
        <v>1596</v>
      </c>
      <c r="T720" s="50"/>
      <c r="U720" s="30" t="s">
        <v>3283</v>
      </c>
      <c r="V720" s="58"/>
      <c r="W720" s="52"/>
      <c r="X720" s="193"/>
      <c r="Y720" s="206">
        <f>X720*0.1</f>
        <v>0</v>
      </c>
      <c r="Z720" s="193"/>
      <c r="AA720" s="193">
        <f>SUM(X720:Z720)</f>
        <v>0</v>
      </c>
      <c r="AB720" s="195"/>
    </row>
    <row r="721" spans="1:28" ht="18.600000000000001" thickBot="1">
      <c r="A721" s="250"/>
      <c r="B721" s="31" t="s">
        <v>1985</v>
      </c>
      <c r="C721" s="31" t="s">
        <v>3284</v>
      </c>
      <c r="D721" s="32" t="s">
        <v>3285</v>
      </c>
      <c r="E721" s="200"/>
      <c r="F721" s="43" t="s">
        <v>3286</v>
      </c>
      <c r="G721" s="38">
        <v>46044</v>
      </c>
      <c r="H721" s="202"/>
      <c r="I721" s="194"/>
      <c r="J721" s="194"/>
      <c r="K721" s="194"/>
      <c r="L721" s="194"/>
      <c r="M721" s="194"/>
      <c r="N721" s="194"/>
      <c r="O721" s="192"/>
      <c r="P721" s="148" t="s">
        <v>1917</v>
      </c>
      <c r="Q721" s="33" t="s">
        <v>86</v>
      </c>
      <c r="R721" s="34" t="s">
        <v>3287</v>
      </c>
      <c r="S721" s="44" t="s">
        <v>2754</v>
      </c>
      <c r="T721" s="46"/>
      <c r="U721" s="35" t="s">
        <v>1100</v>
      </c>
      <c r="V721" s="56"/>
      <c r="W721" s="46"/>
      <c r="X721" s="194"/>
      <c r="Y721" s="194"/>
      <c r="Z721" s="194"/>
      <c r="AA721" s="194"/>
      <c r="AB721" s="196"/>
    </row>
    <row r="722" spans="1:28" ht="18.600000000000001" thickTop="1">
      <c r="A722" s="249" t="s">
        <v>3288</v>
      </c>
      <c r="B722" s="26">
        <v>45482</v>
      </c>
      <c r="C722" s="36">
        <v>1150</v>
      </c>
      <c r="D722" s="28" t="s">
        <v>3289</v>
      </c>
      <c r="E722" s="199"/>
      <c r="F722" s="54" t="s">
        <v>3290</v>
      </c>
      <c r="G722" s="37" t="s">
        <v>3291</v>
      </c>
      <c r="H722" s="201">
        <v>4.5</v>
      </c>
      <c r="I722" s="193">
        <v>2250000</v>
      </c>
      <c r="J722" s="193">
        <f>I722*0.1</f>
        <v>225000</v>
      </c>
      <c r="K722" s="193">
        <v>25300</v>
      </c>
      <c r="L722" s="193">
        <v>11740</v>
      </c>
      <c r="M722" s="193">
        <v>14850</v>
      </c>
      <c r="N722" s="193">
        <f>SUM(I722:M723)</f>
        <v>2526890</v>
      </c>
      <c r="O722" s="191"/>
      <c r="P722" s="147" t="s">
        <v>3292</v>
      </c>
      <c r="Q722" s="29" t="s">
        <v>82</v>
      </c>
      <c r="R722" s="81"/>
      <c r="S722" s="48" t="s">
        <v>940</v>
      </c>
      <c r="T722" s="50"/>
      <c r="U722" s="30" t="s">
        <v>3293</v>
      </c>
      <c r="V722" s="58"/>
      <c r="W722" s="52"/>
      <c r="X722" s="193"/>
      <c r="Y722" s="206">
        <f>X722*0.1</f>
        <v>0</v>
      </c>
      <c r="Z722" s="193"/>
      <c r="AA722" s="193">
        <f>SUM(X722:Z722)</f>
        <v>0</v>
      </c>
      <c r="AB722" s="195"/>
    </row>
    <row r="723" spans="1:28" ht="18.600000000000001" thickBot="1">
      <c r="A723" s="250"/>
      <c r="B723" s="31" t="s">
        <v>2736</v>
      </c>
      <c r="C723" s="31">
        <v>5054</v>
      </c>
      <c r="D723" s="32" t="s">
        <v>3269</v>
      </c>
      <c r="E723" s="200"/>
      <c r="F723" s="43" t="s">
        <v>3294</v>
      </c>
      <c r="G723" s="38">
        <v>41887</v>
      </c>
      <c r="H723" s="202"/>
      <c r="I723" s="194"/>
      <c r="J723" s="194"/>
      <c r="K723" s="194"/>
      <c r="L723" s="194"/>
      <c r="M723" s="194"/>
      <c r="N723" s="194"/>
      <c r="O723" s="192"/>
      <c r="P723" s="148" t="s">
        <v>1917</v>
      </c>
      <c r="Q723" s="33" t="s">
        <v>86</v>
      </c>
      <c r="R723" s="34" t="s">
        <v>3295</v>
      </c>
      <c r="S723" s="44" t="s">
        <v>128</v>
      </c>
      <c r="T723" s="46"/>
      <c r="U723" s="35"/>
      <c r="V723" s="56"/>
      <c r="W723" s="46"/>
      <c r="X723" s="194"/>
      <c r="Y723" s="194"/>
      <c r="Z723" s="194"/>
      <c r="AA723" s="194"/>
      <c r="AB723" s="196"/>
    </row>
    <row r="724" spans="1:28" ht="18.600000000000001" thickTop="1">
      <c r="A724" s="249" t="s">
        <v>3296</v>
      </c>
      <c r="B724" s="26">
        <v>45484</v>
      </c>
      <c r="C724" s="36">
        <v>1240</v>
      </c>
      <c r="D724" s="28" t="s">
        <v>3297</v>
      </c>
      <c r="E724" s="199"/>
      <c r="F724" s="54" t="s">
        <v>3298</v>
      </c>
      <c r="G724" s="37" t="s">
        <v>3299</v>
      </c>
      <c r="H724" s="201">
        <v>4</v>
      </c>
      <c r="I724" s="193">
        <v>1795000</v>
      </c>
      <c r="J724" s="193">
        <f>I724*0.1</f>
        <v>179500</v>
      </c>
      <c r="K724" s="193">
        <v>25300</v>
      </c>
      <c r="L724" s="193">
        <v>16240</v>
      </c>
      <c r="M724" s="193">
        <v>13200</v>
      </c>
      <c r="N724" s="193">
        <f>SUM(I724:M725)</f>
        <v>2029240</v>
      </c>
      <c r="O724" s="191"/>
      <c r="P724" s="147" t="s">
        <v>3300</v>
      </c>
      <c r="Q724" s="29" t="s">
        <v>82</v>
      </c>
      <c r="R724" s="81"/>
      <c r="S724" s="48" t="s">
        <v>1540</v>
      </c>
      <c r="T724" s="50"/>
      <c r="U724" s="30" t="s">
        <v>3301</v>
      </c>
      <c r="V724" s="58"/>
      <c r="W724" s="52"/>
      <c r="X724" s="193"/>
      <c r="Y724" s="206">
        <f>X724*0.1</f>
        <v>0</v>
      </c>
      <c r="Z724" s="193"/>
      <c r="AA724" s="193">
        <f>SUM(X724:Z724)</f>
        <v>0</v>
      </c>
      <c r="AB724" s="195"/>
    </row>
    <row r="725" spans="1:28" ht="18.600000000000001" thickBot="1">
      <c r="A725" s="250"/>
      <c r="B725" s="31" t="s">
        <v>2017</v>
      </c>
      <c r="C725" s="31">
        <v>371</v>
      </c>
      <c r="D725" s="32" t="s">
        <v>158</v>
      </c>
      <c r="E725" s="200"/>
      <c r="F725" s="43" t="s">
        <v>3302</v>
      </c>
      <c r="G725" s="38">
        <v>9575</v>
      </c>
      <c r="H725" s="202"/>
      <c r="I725" s="194"/>
      <c r="J725" s="194"/>
      <c r="K725" s="194"/>
      <c r="L725" s="194"/>
      <c r="M725" s="194"/>
      <c r="N725" s="194"/>
      <c r="O725" s="192"/>
      <c r="P725" s="148" t="s">
        <v>3303</v>
      </c>
      <c r="Q725" s="33" t="s">
        <v>86</v>
      </c>
      <c r="R725" s="34" t="s">
        <v>3304</v>
      </c>
      <c r="S725" s="44" t="s">
        <v>1872</v>
      </c>
      <c r="T725" s="46"/>
      <c r="U725" s="35"/>
      <c r="V725" s="56"/>
      <c r="W725" s="46"/>
      <c r="X725" s="194"/>
      <c r="Y725" s="194"/>
      <c r="Z725" s="194"/>
      <c r="AA725" s="194"/>
      <c r="AB725" s="196"/>
    </row>
    <row r="726" spans="1:28" ht="18.600000000000001" thickTop="1">
      <c r="A726" s="249" t="s">
        <v>3305</v>
      </c>
      <c r="B726" s="26">
        <v>45486</v>
      </c>
      <c r="C726" s="36">
        <v>1453</v>
      </c>
      <c r="D726" s="28" t="s">
        <v>2023</v>
      </c>
      <c r="E726" s="199"/>
      <c r="F726" s="54" t="s">
        <v>3306</v>
      </c>
      <c r="G726" s="37" t="s">
        <v>3307</v>
      </c>
      <c r="H726" s="201">
        <v>4.5</v>
      </c>
      <c r="I726" s="193">
        <v>3370000</v>
      </c>
      <c r="J726" s="193">
        <f>I726*0.1</f>
        <v>337000</v>
      </c>
      <c r="K726" s="193">
        <v>64460</v>
      </c>
      <c r="L726" s="193">
        <v>29850</v>
      </c>
      <c r="M726" s="193">
        <v>13200</v>
      </c>
      <c r="N726" s="193">
        <f>SUM(I726:M727)</f>
        <v>3814510</v>
      </c>
      <c r="O726" s="191"/>
      <c r="P726" s="147" t="s">
        <v>3308</v>
      </c>
      <c r="Q726" s="29" t="s">
        <v>82</v>
      </c>
      <c r="R726" s="81"/>
      <c r="S726" s="48" t="s">
        <v>1821</v>
      </c>
      <c r="T726" s="50"/>
      <c r="U726" s="30" t="s">
        <v>3309</v>
      </c>
      <c r="V726" s="58"/>
      <c r="W726" s="52"/>
      <c r="X726" s="193"/>
      <c r="Y726" s="206">
        <f>X726*0.1</f>
        <v>0</v>
      </c>
      <c r="Z726" s="193"/>
      <c r="AA726" s="193">
        <f>SUM(X726:Z726)</f>
        <v>0</v>
      </c>
      <c r="AB726" s="195"/>
    </row>
    <row r="727" spans="1:28" ht="18.600000000000001" thickBot="1">
      <c r="A727" s="250"/>
      <c r="B727" s="31" t="s">
        <v>1810</v>
      </c>
      <c r="C727" s="31">
        <v>83178</v>
      </c>
      <c r="D727" s="32" t="s">
        <v>399</v>
      </c>
      <c r="E727" s="200"/>
      <c r="F727" s="43" t="s">
        <v>3310</v>
      </c>
      <c r="G727" s="38">
        <v>53232</v>
      </c>
      <c r="H727" s="202"/>
      <c r="I727" s="194"/>
      <c r="J727" s="194"/>
      <c r="K727" s="194"/>
      <c r="L727" s="194"/>
      <c r="M727" s="194"/>
      <c r="N727" s="194"/>
      <c r="O727" s="192"/>
      <c r="P727" s="148" t="s">
        <v>3311</v>
      </c>
      <c r="Q727" s="33" t="s">
        <v>86</v>
      </c>
      <c r="R727" s="34" t="s">
        <v>3312</v>
      </c>
      <c r="S727" s="44" t="s">
        <v>3313</v>
      </c>
      <c r="T727" s="46"/>
      <c r="U727" s="35"/>
      <c r="V727" s="56"/>
      <c r="W727" s="46"/>
      <c r="X727" s="194"/>
      <c r="Y727" s="194"/>
      <c r="Z727" s="194"/>
      <c r="AA727" s="194"/>
      <c r="AB727" s="196"/>
    </row>
    <row r="728" spans="1:28" ht="18.600000000000001" thickTop="1">
      <c r="A728" s="249" t="s">
        <v>3314</v>
      </c>
      <c r="B728" s="26">
        <v>45486</v>
      </c>
      <c r="C728" s="36">
        <v>1210</v>
      </c>
      <c r="D728" s="28" t="s">
        <v>3152</v>
      </c>
      <c r="E728" s="199"/>
      <c r="F728" s="54" t="s">
        <v>3112</v>
      </c>
      <c r="G728" s="37" t="s">
        <v>3315</v>
      </c>
      <c r="H728" s="201">
        <v>4.5</v>
      </c>
      <c r="I728" s="193">
        <v>2430000</v>
      </c>
      <c r="J728" s="193">
        <f>I728*0.1</f>
        <v>243000</v>
      </c>
      <c r="K728" s="193">
        <v>22330</v>
      </c>
      <c r="L728" s="193">
        <v>11740</v>
      </c>
      <c r="M728" s="193">
        <v>13200</v>
      </c>
      <c r="N728" s="193">
        <f>SUM(I728:M729)</f>
        <v>2720270</v>
      </c>
      <c r="O728" s="191"/>
      <c r="P728" s="147" t="s">
        <v>3316</v>
      </c>
      <c r="Q728" s="29" t="s">
        <v>82</v>
      </c>
      <c r="R728" s="81"/>
      <c r="S728" s="48" t="s">
        <v>1500</v>
      </c>
      <c r="T728" s="50"/>
      <c r="U728" s="30"/>
      <c r="V728" s="58"/>
      <c r="W728" s="52"/>
      <c r="X728" s="193"/>
      <c r="Y728" s="206">
        <f>X728*0.1</f>
        <v>0</v>
      </c>
      <c r="Z728" s="193"/>
      <c r="AA728" s="193">
        <f>SUM(X728:Z728)</f>
        <v>0</v>
      </c>
      <c r="AB728" s="195"/>
    </row>
    <row r="729" spans="1:28" ht="18.600000000000001" thickBot="1">
      <c r="A729" s="250"/>
      <c r="B729" s="31" t="s">
        <v>521</v>
      </c>
      <c r="C729" s="31">
        <v>82123</v>
      </c>
      <c r="D729" s="32" t="s">
        <v>399</v>
      </c>
      <c r="E729" s="200"/>
      <c r="F729" s="43" t="s">
        <v>3317</v>
      </c>
      <c r="G729" s="38">
        <v>17861</v>
      </c>
      <c r="H729" s="202"/>
      <c r="I729" s="194"/>
      <c r="J729" s="194"/>
      <c r="K729" s="194"/>
      <c r="L729" s="194"/>
      <c r="M729" s="194"/>
      <c r="N729" s="194"/>
      <c r="O729" s="192"/>
      <c r="P729" s="148" t="s">
        <v>2667</v>
      </c>
      <c r="Q729" s="33" t="s">
        <v>86</v>
      </c>
      <c r="R729" s="34" t="s">
        <v>3318</v>
      </c>
      <c r="S729" s="44" t="s">
        <v>2237</v>
      </c>
      <c r="T729" s="46"/>
      <c r="U729" s="35" t="s">
        <v>1100</v>
      </c>
      <c r="V729" s="56"/>
      <c r="W729" s="46"/>
      <c r="X729" s="194"/>
      <c r="Y729" s="194"/>
      <c r="Z729" s="194"/>
      <c r="AA729" s="194"/>
      <c r="AB729" s="196"/>
    </row>
    <row r="730" spans="1:28" ht="18.600000000000001" thickTop="1">
      <c r="A730" s="249" t="s">
        <v>3319</v>
      </c>
      <c r="B730" s="26">
        <v>45490</v>
      </c>
      <c r="C730" s="36">
        <v>927</v>
      </c>
      <c r="D730" s="28" t="s">
        <v>2105</v>
      </c>
      <c r="E730" s="199"/>
      <c r="F730" s="54" t="s">
        <v>2155</v>
      </c>
      <c r="G730" s="37" t="s">
        <v>3320</v>
      </c>
      <c r="H730" s="201">
        <v>5</v>
      </c>
      <c r="I730" s="193">
        <v>3080000</v>
      </c>
      <c r="J730" s="193">
        <f>I730*0.1</f>
        <v>308000</v>
      </c>
      <c r="K730" s="193">
        <v>26400</v>
      </c>
      <c r="L730" s="193">
        <v>17600</v>
      </c>
      <c r="M730" s="193">
        <v>12100</v>
      </c>
      <c r="N730" s="193">
        <f>SUM(I730:M731)</f>
        <v>3444100</v>
      </c>
      <c r="O730" s="191"/>
      <c r="P730" s="147" t="s">
        <v>3321</v>
      </c>
      <c r="Q730" s="29" t="s">
        <v>82</v>
      </c>
      <c r="R730" s="81"/>
      <c r="S730" s="48" t="s">
        <v>1868</v>
      </c>
      <c r="T730" s="50"/>
      <c r="U730" s="30" t="s">
        <v>3322</v>
      </c>
      <c r="V730" s="58"/>
      <c r="W730" s="52"/>
      <c r="X730" s="193"/>
      <c r="Y730" s="206">
        <f>X730*0.1</f>
        <v>0</v>
      </c>
      <c r="Z730" s="193"/>
      <c r="AA730" s="193">
        <f>SUM(X730:Z730)</f>
        <v>0</v>
      </c>
      <c r="AB730" s="195"/>
    </row>
    <row r="731" spans="1:28" ht="18.600000000000001" thickBot="1">
      <c r="A731" s="250"/>
      <c r="B731" s="31" t="s">
        <v>104</v>
      </c>
      <c r="C731" s="31">
        <v>1092</v>
      </c>
      <c r="D731" s="32" t="s">
        <v>399</v>
      </c>
      <c r="E731" s="200"/>
      <c r="F731" s="43" t="s">
        <v>3323</v>
      </c>
      <c r="G731" s="38">
        <v>20716</v>
      </c>
      <c r="H731" s="202"/>
      <c r="I731" s="194"/>
      <c r="J731" s="194"/>
      <c r="K731" s="194"/>
      <c r="L731" s="194"/>
      <c r="M731" s="194"/>
      <c r="N731" s="194"/>
      <c r="O731" s="192"/>
      <c r="P731" s="148" t="s">
        <v>3324</v>
      </c>
      <c r="Q731" s="33" t="s">
        <v>86</v>
      </c>
      <c r="R731" s="34" t="s">
        <v>3325</v>
      </c>
      <c r="S731" s="44" t="s">
        <v>96</v>
      </c>
      <c r="T731" s="46"/>
      <c r="U731" s="35"/>
      <c r="V731" s="56"/>
      <c r="W731" s="46"/>
      <c r="X731" s="194"/>
      <c r="Y731" s="194"/>
      <c r="Z731" s="194"/>
      <c r="AA731" s="194"/>
      <c r="AB731" s="196"/>
    </row>
    <row r="732" spans="1:28" ht="18.600000000000001" thickTop="1">
      <c r="A732" s="249" t="s">
        <v>3326</v>
      </c>
      <c r="B732" s="26">
        <v>45491</v>
      </c>
      <c r="C732" s="36">
        <v>1241</v>
      </c>
      <c r="D732" s="28" t="s">
        <v>2274</v>
      </c>
      <c r="E732" s="199"/>
      <c r="F732" s="54" t="s">
        <v>1844</v>
      </c>
      <c r="G732" s="37"/>
      <c r="H732" s="201">
        <v>4</v>
      </c>
      <c r="I732" s="193">
        <v>2140000</v>
      </c>
      <c r="J732" s="193">
        <f>I732*0.1</f>
        <v>214000</v>
      </c>
      <c r="K732" s="193">
        <v>0</v>
      </c>
      <c r="L732" s="193">
        <v>19090</v>
      </c>
      <c r="M732" s="193">
        <v>13200</v>
      </c>
      <c r="N732" s="193">
        <f>SUM(I732:M733)</f>
        <v>2386290</v>
      </c>
      <c r="O732" s="191"/>
      <c r="P732" s="147" t="s">
        <v>3327</v>
      </c>
      <c r="Q732" s="29" t="s">
        <v>82</v>
      </c>
      <c r="R732" s="81"/>
      <c r="S732" s="48" t="s">
        <v>1494</v>
      </c>
      <c r="T732" s="50"/>
      <c r="U732" s="30"/>
      <c r="V732" s="58"/>
      <c r="W732" s="52"/>
      <c r="X732" s="193"/>
      <c r="Y732" s="206">
        <f>X732*0.1</f>
        <v>0</v>
      </c>
      <c r="Z732" s="193"/>
      <c r="AA732" s="193">
        <f>SUM(X732:Z732)</f>
        <v>0</v>
      </c>
      <c r="AB732" s="195"/>
    </row>
    <row r="733" spans="1:28" ht="18.600000000000001" thickBot="1">
      <c r="A733" s="250"/>
      <c r="B733" s="31" t="s">
        <v>2017</v>
      </c>
      <c r="C733" s="31">
        <v>6</v>
      </c>
      <c r="D733" s="32" t="s">
        <v>2672</v>
      </c>
      <c r="E733" s="200"/>
      <c r="F733" s="43" t="s">
        <v>3328</v>
      </c>
      <c r="G733" s="38">
        <v>45364</v>
      </c>
      <c r="H733" s="202"/>
      <c r="I733" s="194"/>
      <c r="J733" s="194"/>
      <c r="K733" s="194"/>
      <c r="L733" s="194"/>
      <c r="M733" s="194"/>
      <c r="N733" s="194"/>
      <c r="O733" s="192"/>
      <c r="P733" s="148" t="s">
        <v>3329</v>
      </c>
      <c r="Q733" s="33" t="s">
        <v>86</v>
      </c>
      <c r="R733" s="34" t="s">
        <v>3325</v>
      </c>
      <c r="S733" s="44" t="s">
        <v>96</v>
      </c>
      <c r="T733" s="46"/>
      <c r="U733" s="35"/>
      <c r="V733" s="56"/>
      <c r="W733" s="46"/>
      <c r="X733" s="194"/>
      <c r="Y733" s="194"/>
      <c r="Z733" s="194"/>
      <c r="AA733" s="194"/>
      <c r="AB733" s="196"/>
    </row>
    <row r="734" spans="1:28" ht="18.600000000000001" thickTop="1">
      <c r="A734" s="249" t="s">
        <v>3338</v>
      </c>
      <c r="B734" s="26">
        <v>45505</v>
      </c>
      <c r="C734" s="36"/>
      <c r="D734" s="28" t="s">
        <v>3339</v>
      </c>
      <c r="E734" s="199"/>
      <c r="F734" s="54" t="s">
        <v>3340</v>
      </c>
      <c r="G734" s="37" t="s">
        <v>3106</v>
      </c>
      <c r="H734" s="201"/>
      <c r="I734" s="193">
        <v>2400000</v>
      </c>
      <c r="J734" s="193">
        <v>0</v>
      </c>
      <c r="K734" s="193">
        <v>0</v>
      </c>
      <c r="L734" s="193">
        <v>0</v>
      </c>
      <c r="M734" s="193">
        <v>0</v>
      </c>
      <c r="N734" s="193">
        <f>SUM(I734:M735)</f>
        <v>2400000</v>
      </c>
      <c r="O734" s="191"/>
      <c r="P734" s="147" t="s">
        <v>3341</v>
      </c>
      <c r="Q734" s="29" t="s">
        <v>82</v>
      </c>
      <c r="R734" s="81"/>
      <c r="S734" s="48"/>
      <c r="T734" s="50"/>
      <c r="U734" s="30"/>
      <c r="V734" s="58"/>
      <c r="W734" s="52"/>
      <c r="X734" s="193"/>
      <c r="Y734" s="206">
        <f>X734*0.1</f>
        <v>0</v>
      </c>
      <c r="Z734" s="193"/>
      <c r="AA734" s="193">
        <f>SUM(X734:Z734)</f>
        <v>0</v>
      </c>
      <c r="AB734" s="195"/>
    </row>
    <row r="735" spans="1:28" ht="18.600000000000001" thickBot="1">
      <c r="A735" s="250"/>
      <c r="B735" s="31" t="s">
        <v>3342</v>
      </c>
      <c r="C735" s="31"/>
      <c r="D735" s="32"/>
      <c r="E735" s="200"/>
      <c r="F735" s="43" t="s">
        <v>3343</v>
      </c>
      <c r="G735" s="38">
        <v>53300</v>
      </c>
      <c r="H735" s="202"/>
      <c r="I735" s="194"/>
      <c r="J735" s="194"/>
      <c r="K735" s="194"/>
      <c r="L735" s="194"/>
      <c r="M735" s="194"/>
      <c r="N735" s="194"/>
      <c r="O735" s="192"/>
      <c r="P735" s="148" t="s">
        <v>3344</v>
      </c>
      <c r="Q735" s="33" t="s">
        <v>86</v>
      </c>
      <c r="R735" s="34" t="s">
        <v>3299</v>
      </c>
      <c r="S735" s="44" t="s">
        <v>3345</v>
      </c>
      <c r="T735" s="46"/>
      <c r="U735" s="35" t="s">
        <v>3346</v>
      </c>
      <c r="V735" s="56"/>
      <c r="W735" s="46"/>
      <c r="X735" s="194"/>
      <c r="Y735" s="194"/>
      <c r="Z735" s="194"/>
      <c r="AA735" s="194"/>
      <c r="AB735" s="196"/>
    </row>
    <row r="736" spans="1:28" ht="18.600000000000001" thickTop="1">
      <c r="A736" s="249" t="s">
        <v>3347</v>
      </c>
      <c r="B736" s="26">
        <v>45505</v>
      </c>
      <c r="C736" s="36">
        <v>1478</v>
      </c>
      <c r="D736" s="28" t="s">
        <v>2455</v>
      </c>
      <c r="E736" s="199"/>
      <c r="F736" s="54" t="s">
        <v>3348</v>
      </c>
      <c r="G736" s="37" t="s">
        <v>3349</v>
      </c>
      <c r="H736" s="201">
        <v>4.5</v>
      </c>
      <c r="I736" s="193">
        <v>1380000</v>
      </c>
      <c r="J736" s="193">
        <f>I736*0.1</f>
        <v>138000</v>
      </c>
      <c r="K736" s="193">
        <v>0</v>
      </c>
      <c r="L736" s="193">
        <v>20130</v>
      </c>
      <c r="M736" s="193">
        <v>13200</v>
      </c>
      <c r="N736" s="193">
        <f>SUM(I736:M737)</f>
        <v>1551330</v>
      </c>
      <c r="O736" s="191"/>
      <c r="P736" s="147" t="s">
        <v>3350</v>
      </c>
      <c r="Q736" s="29" t="s">
        <v>82</v>
      </c>
      <c r="R736" s="81"/>
      <c r="S736" s="48" t="s">
        <v>1494</v>
      </c>
      <c r="T736" s="50"/>
      <c r="U736" s="30"/>
      <c r="V736" s="58"/>
      <c r="W736" s="52"/>
      <c r="X736" s="193"/>
      <c r="Y736" s="206">
        <f>X736*0.1</f>
        <v>0</v>
      </c>
      <c r="Z736" s="193"/>
      <c r="AA736" s="193">
        <f>SUM(X736:Z736)</f>
        <v>0</v>
      </c>
      <c r="AB736" s="195"/>
    </row>
    <row r="737" spans="1:28" ht="18.600000000000001" thickBot="1">
      <c r="A737" s="250"/>
      <c r="B737" s="31" t="s">
        <v>1858</v>
      </c>
      <c r="C737" s="31">
        <v>75939</v>
      </c>
      <c r="D737" s="32" t="s">
        <v>1987</v>
      </c>
      <c r="E737" s="200"/>
      <c r="F737" s="43" t="s">
        <v>3351</v>
      </c>
      <c r="G737" s="38">
        <v>51934</v>
      </c>
      <c r="H737" s="202"/>
      <c r="I737" s="194"/>
      <c r="J737" s="194"/>
      <c r="K737" s="194"/>
      <c r="L737" s="194"/>
      <c r="M737" s="194"/>
      <c r="N737" s="194"/>
      <c r="O737" s="192"/>
      <c r="P737" s="148" t="s">
        <v>3352</v>
      </c>
      <c r="Q737" s="33" t="s">
        <v>86</v>
      </c>
      <c r="R737" s="34" t="s">
        <v>2914</v>
      </c>
      <c r="S737" s="44" t="s">
        <v>96</v>
      </c>
      <c r="T737" s="46"/>
      <c r="U737" s="35"/>
      <c r="V737" s="56"/>
      <c r="W737" s="46"/>
      <c r="X737" s="194"/>
      <c r="Y737" s="194"/>
      <c r="Z737" s="194"/>
      <c r="AA737" s="194"/>
      <c r="AB737" s="196"/>
    </row>
    <row r="738" spans="1:28" ht="18.600000000000001" thickTop="1">
      <c r="A738" s="249" t="s">
        <v>3362</v>
      </c>
      <c r="B738" s="26">
        <v>45507</v>
      </c>
      <c r="C738" s="36">
        <v>1456</v>
      </c>
      <c r="D738" s="28" t="s">
        <v>3363</v>
      </c>
      <c r="E738" s="199"/>
      <c r="F738" s="54" t="s">
        <v>3364</v>
      </c>
      <c r="G738" s="37"/>
      <c r="H738" s="201">
        <v>4.5</v>
      </c>
      <c r="I738" s="193">
        <v>2025000</v>
      </c>
      <c r="J738" s="193">
        <f>I738*0.1</f>
        <v>202500</v>
      </c>
      <c r="K738" s="193">
        <v>0</v>
      </c>
      <c r="L738" s="193">
        <v>21370</v>
      </c>
      <c r="M738" s="193">
        <v>13200</v>
      </c>
      <c r="N738" s="193">
        <f>SUM(I738:M739)</f>
        <v>2262070</v>
      </c>
      <c r="O738" s="191"/>
      <c r="P738" s="147" t="s">
        <v>3365</v>
      </c>
      <c r="Q738" s="29" t="s">
        <v>82</v>
      </c>
      <c r="R738" s="81"/>
      <c r="S738" s="48" t="s">
        <v>1954</v>
      </c>
      <c r="T738" s="50"/>
      <c r="U738" s="30"/>
      <c r="V738" s="58"/>
      <c r="W738" s="52"/>
      <c r="X738" s="193"/>
      <c r="Y738" s="206">
        <f>X738*0.1</f>
        <v>0</v>
      </c>
      <c r="Z738" s="193"/>
      <c r="AA738" s="193">
        <f>SUM(X738:Z738)</f>
        <v>0</v>
      </c>
      <c r="AB738" s="195"/>
    </row>
    <row r="739" spans="1:28" ht="18.600000000000001" thickBot="1">
      <c r="A739" s="250"/>
      <c r="B739" s="31" t="s">
        <v>1810</v>
      </c>
      <c r="C739" s="31">
        <v>83170</v>
      </c>
      <c r="D739" s="32" t="s">
        <v>244</v>
      </c>
      <c r="E739" s="200"/>
      <c r="F739" s="43" t="s">
        <v>3366</v>
      </c>
      <c r="G739" s="38">
        <v>29354</v>
      </c>
      <c r="H739" s="202"/>
      <c r="I739" s="194"/>
      <c r="J739" s="194"/>
      <c r="K739" s="194"/>
      <c r="L739" s="194"/>
      <c r="M739" s="194"/>
      <c r="N739" s="194"/>
      <c r="O739" s="192"/>
      <c r="P739" s="148" t="s">
        <v>3367</v>
      </c>
      <c r="Q739" s="33" t="s">
        <v>86</v>
      </c>
      <c r="R739" s="34" t="s">
        <v>3368</v>
      </c>
      <c r="S739" s="44" t="s">
        <v>3369</v>
      </c>
      <c r="T739" s="46"/>
      <c r="U739" s="35"/>
      <c r="V739" s="56"/>
      <c r="W739" s="46"/>
      <c r="X739" s="194"/>
      <c r="Y739" s="194"/>
      <c r="Z739" s="194"/>
      <c r="AA739" s="194"/>
      <c r="AB739" s="196"/>
    </row>
    <row r="740" spans="1:28" ht="18.600000000000001" thickTop="1">
      <c r="A740" s="249" t="s">
        <v>3370</v>
      </c>
      <c r="B740" s="26">
        <v>45507</v>
      </c>
      <c r="C740" s="36">
        <v>1213</v>
      </c>
      <c r="D740" s="28" t="s">
        <v>2526</v>
      </c>
      <c r="E740" s="199"/>
      <c r="F740" s="54" t="s">
        <v>3371</v>
      </c>
      <c r="G740" s="37"/>
      <c r="H740" s="201">
        <v>4</v>
      </c>
      <c r="I740" s="193">
        <v>2055000</v>
      </c>
      <c r="J740" s="193">
        <f>I740*0.1</f>
        <v>205500</v>
      </c>
      <c r="K740" s="193">
        <v>0</v>
      </c>
      <c r="L740" s="193">
        <v>19090</v>
      </c>
      <c r="M740" s="193">
        <v>13200</v>
      </c>
      <c r="N740" s="193">
        <f>SUM(I740:M741)</f>
        <v>2292790</v>
      </c>
      <c r="O740" s="191"/>
      <c r="P740" s="147" t="s">
        <v>3372</v>
      </c>
      <c r="Q740" s="29" t="s">
        <v>82</v>
      </c>
      <c r="R740" s="81"/>
      <c r="S740" s="48"/>
      <c r="T740" s="50"/>
      <c r="U740" s="30"/>
      <c r="V740" s="58"/>
      <c r="W740" s="52"/>
      <c r="X740" s="193"/>
      <c r="Y740" s="206">
        <f>X740*0.1</f>
        <v>0</v>
      </c>
      <c r="Z740" s="193"/>
      <c r="AA740" s="193">
        <f>SUM(X740:Z740)</f>
        <v>0</v>
      </c>
      <c r="AB740" s="195"/>
    </row>
    <row r="741" spans="1:28" ht="18.600000000000001" thickBot="1">
      <c r="A741" s="250"/>
      <c r="B741" s="31" t="s">
        <v>521</v>
      </c>
      <c r="C741" s="31">
        <v>82089</v>
      </c>
      <c r="D741" s="32" t="s">
        <v>399</v>
      </c>
      <c r="E741" s="200"/>
      <c r="F741" s="43" t="s">
        <v>3373</v>
      </c>
      <c r="G741" s="38">
        <v>48292</v>
      </c>
      <c r="H741" s="202"/>
      <c r="I741" s="194"/>
      <c r="J741" s="194"/>
      <c r="K741" s="194"/>
      <c r="L741" s="194"/>
      <c r="M741" s="194"/>
      <c r="N741" s="194"/>
      <c r="O741" s="192"/>
      <c r="P741" s="148" t="s">
        <v>2807</v>
      </c>
      <c r="Q741" s="33" t="s">
        <v>86</v>
      </c>
      <c r="R741" s="34" t="s">
        <v>3368</v>
      </c>
      <c r="S741" s="44" t="s">
        <v>3264</v>
      </c>
      <c r="T741" s="46"/>
      <c r="U741" s="35"/>
      <c r="V741" s="56"/>
      <c r="W741" s="46"/>
      <c r="X741" s="194"/>
      <c r="Y741" s="194"/>
      <c r="Z741" s="194"/>
      <c r="AA741" s="194"/>
      <c r="AB741" s="196"/>
    </row>
    <row r="742" spans="1:28" ht="18.600000000000001" thickTop="1">
      <c r="A742" s="249" t="s">
        <v>3374</v>
      </c>
      <c r="B742" s="26">
        <v>45507</v>
      </c>
      <c r="C742" s="36">
        <v>1213</v>
      </c>
      <c r="D742" s="28" t="s">
        <v>3363</v>
      </c>
      <c r="E742" s="199"/>
      <c r="F742" s="54" t="s">
        <v>3058</v>
      </c>
      <c r="G742" s="37"/>
      <c r="H742" s="201">
        <v>4.5</v>
      </c>
      <c r="I742" s="193">
        <v>1945000</v>
      </c>
      <c r="J742" s="193">
        <f>I742*0.1</f>
        <v>194500</v>
      </c>
      <c r="K742" s="193">
        <v>0</v>
      </c>
      <c r="L742" s="193">
        <v>16240</v>
      </c>
      <c r="M742" s="193">
        <v>13200</v>
      </c>
      <c r="N742" s="193">
        <f>SUM(I742:M743)</f>
        <v>2168940</v>
      </c>
      <c r="O742" s="191"/>
      <c r="P742" s="147" t="s">
        <v>3375</v>
      </c>
      <c r="Q742" s="29" t="s">
        <v>82</v>
      </c>
      <c r="R742" s="81"/>
      <c r="S742" s="48" t="s">
        <v>1494</v>
      </c>
      <c r="T742" s="50"/>
      <c r="U742" s="30"/>
      <c r="V742" s="58"/>
      <c r="W742" s="52"/>
      <c r="X742" s="193"/>
      <c r="Y742" s="206">
        <f>X742*0.1</f>
        <v>0</v>
      </c>
      <c r="Z742" s="193"/>
      <c r="AA742" s="193">
        <f>SUM(X742:Z742)</f>
        <v>0</v>
      </c>
      <c r="AB742" s="195"/>
    </row>
    <row r="743" spans="1:28" ht="18.600000000000001" thickBot="1">
      <c r="A743" s="250"/>
      <c r="B743" s="31" t="s">
        <v>521</v>
      </c>
      <c r="C743" s="31">
        <v>82355</v>
      </c>
      <c r="D743" s="32" t="s">
        <v>244</v>
      </c>
      <c r="E743" s="200"/>
      <c r="F743" s="43" t="s">
        <v>3376</v>
      </c>
      <c r="G743" s="38">
        <v>41471</v>
      </c>
      <c r="H743" s="202"/>
      <c r="I743" s="194"/>
      <c r="J743" s="194"/>
      <c r="K743" s="194"/>
      <c r="L743" s="194"/>
      <c r="M743" s="194"/>
      <c r="N743" s="194"/>
      <c r="O743" s="192"/>
      <c r="P743" s="148" t="s">
        <v>586</v>
      </c>
      <c r="Q743" s="33" t="s">
        <v>86</v>
      </c>
      <c r="R743" s="34" t="s">
        <v>3377</v>
      </c>
      <c r="S743" s="44" t="s">
        <v>3378</v>
      </c>
      <c r="T743" s="46"/>
      <c r="U743" s="35"/>
      <c r="V743" s="56"/>
      <c r="W743" s="46"/>
      <c r="X743" s="194"/>
      <c r="Y743" s="194"/>
      <c r="Z743" s="194"/>
      <c r="AA743" s="194"/>
      <c r="AB743" s="196"/>
    </row>
    <row r="744" spans="1:28" ht="18.600000000000001" thickTop="1">
      <c r="A744" s="249" t="s">
        <v>3379</v>
      </c>
      <c r="B744" s="26">
        <v>45510</v>
      </c>
      <c r="C744" s="36">
        <v>889</v>
      </c>
      <c r="D744" s="28" t="s">
        <v>2210</v>
      </c>
      <c r="E744" s="199"/>
      <c r="F744" s="54" t="s">
        <v>3251</v>
      </c>
      <c r="G744" s="37" t="s">
        <v>3380</v>
      </c>
      <c r="H744" s="201">
        <v>4.5</v>
      </c>
      <c r="I744" s="193">
        <v>1508000</v>
      </c>
      <c r="J744" s="193">
        <f>I744*0.1</f>
        <v>150800</v>
      </c>
      <c r="K744" s="193">
        <v>25300</v>
      </c>
      <c r="L744" s="193">
        <v>19440</v>
      </c>
      <c r="M744" s="193">
        <v>14850</v>
      </c>
      <c r="N744" s="193">
        <f>SUM(I744:M745)</f>
        <v>1718390</v>
      </c>
      <c r="O744" s="191"/>
      <c r="P744" s="147" t="s">
        <v>3381</v>
      </c>
      <c r="Q744" s="29" t="s">
        <v>82</v>
      </c>
      <c r="R744" s="81"/>
      <c r="S744" s="48" t="s">
        <v>3382</v>
      </c>
      <c r="T744" s="50"/>
      <c r="U744" s="30"/>
      <c r="V744" s="58"/>
      <c r="W744" s="52"/>
      <c r="X744" s="193"/>
      <c r="Y744" s="206">
        <f>X744*0.1</f>
        <v>0</v>
      </c>
      <c r="Z744" s="193"/>
      <c r="AA744" s="193">
        <f>SUM(X744:Z744)</f>
        <v>0</v>
      </c>
      <c r="AB744" s="195"/>
    </row>
    <row r="745" spans="1:28" ht="18.600000000000001" thickBot="1">
      <c r="A745" s="250"/>
      <c r="B745" s="31" t="s">
        <v>3383</v>
      </c>
      <c r="C745" s="31">
        <v>5001</v>
      </c>
      <c r="D745" s="32" t="s">
        <v>244</v>
      </c>
      <c r="E745" s="200"/>
      <c r="F745" s="43" t="s">
        <v>3384</v>
      </c>
      <c r="G745" s="38">
        <v>33704</v>
      </c>
      <c r="H745" s="202"/>
      <c r="I745" s="194"/>
      <c r="J745" s="194"/>
      <c r="K745" s="194"/>
      <c r="L745" s="194"/>
      <c r="M745" s="194"/>
      <c r="N745" s="194"/>
      <c r="O745" s="192"/>
      <c r="P745" s="148" t="s">
        <v>3385</v>
      </c>
      <c r="Q745" s="33" t="s">
        <v>86</v>
      </c>
      <c r="R745" s="34" t="s">
        <v>3368</v>
      </c>
      <c r="S745" s="44" t="s">
        <v>3386</v>
      </c>
      <c r="T745" s="46"/>
      <c r="U745" s="142" t="s">
        <v>1100</v>
      </c>
      <c r="V745" s="56"/>
      <c r="W745" s="46"/>
      <c r="X745" s="194"/>
      <c r="Y745" s="194"/>
      <c r="Z745" s="194"/>
      <c r="AA745" s="194"/>
      <c r="AB745" s="196"/>
    </row>
    <row r="746" spans="1:28" ht="18.600000000000001" thickTop="1">
      <c r="A746" s="249" t="s">
        <v>3387</v>
      </c>
      <c r="B746" s="26">
        <v>45513</v>
      </c>
      <c r="C746" s="36">
        <v>2048</v>
      </c>
      <c r="D746" s="28" t="s">
        <v>3152</v>
      </c>
      <c r="E746" s="199"/>
      <c r="F746" s="54" t="s">
        <v>3388</v>
      </c>
      <c r="G746" s="37" t="s">
        <v>3389</v>
      </c>
      <c r="H746" s="201">
        <v>4.5</v>
      </c>
      <c r="I746" s="193">
        <v>3525000</v>
      </c>
      <c r="J746" s="193">
        <f>I746*0.1</f>
        <v>352500</v>
      </c>
      <c r="K746" s="193">
        <v>23100</v>
      </c>
      <c r="L746" s="193">
        <v>16240</v>
      </c>
      <c r="M746" s="193">
        <v>13200</v>
      </c>
      <c r="N746" s="193">
        <f>SUM(I746:M747)</f>
        <v>3930040</v>
      </c>
      <c r="O746" s="191"/>
      <c r="P746" s="147" t="s">
        <v>3390</v>
      </c>
      <c r="Q746" s="29" t="s">
        <v>82</v>
      </c>
      <c r="R746" s="81"/>
      <c r="S746" s="48" t="s">
        <v>1494</v>
      </c>
      <c r="T746" s="50"/>
      <c r="U746" s="30"/>
      <c r="V746" s="58"/>
      <c r="W746" s="52"/>
      <c r="X746" s="193"/>
      <c r="Y746" s="206">
        <f>X746*0.1</f>
        <v>0</v>
      </c>
      <c r="Z746" s="193"/>
      <c r="AA746" s="193">
        <f>SUM(X746:Z746)</f>
        <v>0</v>
      </c>
      <c r="AB746" s="195"/>
    </row>
    <row r="747" spans="1:28" ht="18.600000000000001" thickBot="1">
      <c r="A747" s="250"/>
      <c r="B747" s="31" t="s">
        <v>1797</v>
      </c>
      <c r="C747" s="31">
        <v>35051</v>
      </c>
      <c r="D747" s="32" t="s">
        <v>1849</v>
      </c>
      <c r="E747" s="200"/>
      <c r="F747" s="43" t="s">
        <v>3391</v>
      </c>
      <c r="G747" s="38">
        <v>25015</v>
      </c>
      <c r="H747" s="202"/>
      <c r="I747" s="194"/>
      <c r="J747" s="194"/>
      <c r="K747" s="194"/>
      <c r="L747" s="194"/>
      <c r="M747" s="194"/>
      <c r="N747" s="194"/>
      <c r="O747" s="192"/>
      <c r="P747" s="148" t="s">
        <v>3392</v>
      </c>
      <c r="Q747" s="33" t="s">
        <v>86</v>
      </c>
      <c r="R747" s="34" t="s">
        <v>3393</v>
      </c>
      <c r="S747" s="44" t="s">
        <v>96</v>
      </c>
      <c r="T747" s="46"/>
      <c r="U747" s="142" t="s">
        <v>1100</v>
      </c>
      <c r="V747" s="56"/>
      <c r="W747" s="46"/>
      <c r="X747" s="194"/>
      <c r="Y747" s="194"/>
      <c r="Z747" s="194"/>
      <c r="AA747" s="194"/>
      <c r="AB747" s="196"/>
    </row>
    <row r="748" spans="1:28" ht="18.600000000000001" thickTop="1">
      <c r="A748" s="249" t="s">
        <v>3413</v>
      </c>
      <c r="B748" s="26">
        <v>45525</v>
      </c>
      <c r="C748" s="36">
        <v>1294</v>
      </c>
      <c r="D748" s="28" t="s">
        <v>2810</v>
      </c>
      <c r="E748" s="199"/>
      <c r="F748" s="54" t="s">
        <v>3414</v>
      </c>
      <c r="G748" s="37"/>
      <c r="H748" s="201">
        <v>4.5</v>
      </c>
      <c r="I748" s="193">
        <v>2102000</v>
      </c>
      <c r="J748" s="193">
        <f>I748*0.1</f>
        <v>210200</v>
      </c>
      <c r="K748" s="193">
        <v>0</v>
      </c>
      <c r="L748" s="193">
        <v>19440</v>
      </c>
      <c r="M748" s="193">
        <v>22000</v>
      </c>
      <c r="N748" s="193">
        <f>SUM(I748:M749)</f>
        <v>2353640</v>
      </c>
      <c r="O748" s="191"/>
      <c r="P748" s="147" t="s">
        <v>3415</v>
      </c>
      <c r="Q748" s="29" t="s">
        <v>82</v>
      </c>
      <c r="R748" s="81"/>
      <c r="S748" s="48" t="s">
        <v>3416</v>
      </c>
      <c r="T748" s="50"/>
      <c r="U748" s="30"/>
      <c r="V748" s="58"/>
      <c r="W748" s="52"/>
      <c r="X748" s="193"/>
      <c r="Y748" s="206">
        <f>X748*0.1</f>
        <v>0</v>
      </c>
      <c r="Z748" s="193"/>
      <c r="AA748" s="193">
        <f>SUM(X748:Z748)</f>
        <v>0</v>
      </c>
      <c r="AB748" s="195"/>
    </row>
    <row r="749" spans="1:28" ht="18.600000000000001" thickBot="1">
      <c r="A749" s="250"/>
      <c r="B749" s="31" t="s">
        <v>2823</v>
      </c>
      <c r="C749" s="31">
        <v>8029</v>
      </c>
      <c r="D749" s="32" t="s">
        <v>244</v>
      </c>
      <c r="E749" s="200"/>
      <c r="F749" s="43" t="s">
        <v>3417</v>
      </c>
      <c r="G749" s="38">
        <v>48872</v>
      </c>
      <c r="H749" s="202"/>
      <c r="I749" s="194"/>
      <c r="J749" s="194"/>
      <c r="K749" s="194"/>
      <c r="L749" s="194"/>
      <c r="M749" s="194"/>
      <c r="N749" s="194"/>
      <c r="O749" s="192"/>
      <c r="P749" s="148" t="s">
        <v>3418</v>
      </c>
      <c r="Q749" s="33" t="s">
        <v>86</v>
      </c>
      <c r="R749" s="34" t="s">
        <v>3419</v>
      </c>
      <c r="S749" s="44" t="s">
        <v>3166</v>
      </c>
      <c r="T749" s="46"/>
      <c r="U749" s="35"/>
      <c r="V749" s="56"/>
      <c r="W749" s="46"/>
      <c r="X749" s="194"/>
      <c r="Y749" s="194"/>
      <c r="Z749" s="194"/>
      <c r="AA749" s="194"/>
      <c r="AB749" s="196"/>
    </row>
    <row r="750" spans="1:28" ht="18.600000000000001" thickTop="1">
      <c r="A750" s="249" t="s">
        <v>3420</v>
      </c>
      <c r="B750" s="26">
        <v>45528</v>
      </c>
      <c r="C750" s="36">
        <v>1215</v>
      </c>
      <c r="D750" s="28" t="s">
        <v>3421</v>
      </c>
      <c r="E750" s="199"/>
      <c r="F750" s="54" t="s">
        <v>3422</v>
      </c>
      <c r="G750" s="37" t="s">
        <v>2887</v>
      </c>
      <c r="H750" s="201">
        <v>4.5</v>
      </c>
      <c r="I750" s="193">
        <v>2105000</v>
      </c>
      <c r="J750" s="193">
        <f>I750*0.1</f>
        <v>210500</v>
      </c>
      <c r="K750" s="193">
        <v>19470</v>
      </c>
      <c r="L750" s="193">
        <v>17600</v>
      </c>
      <c r="M750" s="193">
        <v>13200</v>
      </c>
      <c r="N750" s="193">
        <f>SUM(I750:M751)</f>
        <v>2365770</v>
      </c>
      <c r="O750" s="191"/>
      <c r="P750" s="147" t="s">
        <v>3423</v>
      </c>
      <c r="Q750" s="29" t="s">
        <v>82</v>
      </c>
      <c r="R750" s="81"/>
      <c r="S750" s="48" t="s">
        <v>1540</v>
      </c>
      <c r="T750" s="50"/>
      <c r="U750" s="30" t="s">
        <v>3424</v>
      </c>
      <c r="V750" s="58"/>
      <c r="W750" s="52"/>
      <c r="X750" s="193"/>
      <c r="Y750" s="206">
        <f>X750*0.1</f>
        <v>0</v>
      </c>
      <c r="Z750" s="193"/>
      <c r="AA750" s="193">
        <f>SUM(X750:Z750)</f>
        <v>0</v>
      </c>
      <c r="AB750" s="195"/>
    </row>
    <row r="751" spans="1:28" ht="18.600000000000001" thickBot="1">
      <c r="A751" s="250"/>
      <c r="B751" s="31" t="s">
        <v>521</v>
      </c>
      <c r="C751" s="31">
        <v>82734</v>
      </c>
      <c r="D751" s="32" t="s">
        <v>1849</v>
      </c>
      <c r="E751" s="200"/>
      <c r="F751" s="43" t="s">
        <v>3425</v>
      </c>
      <c r="G751" s="38">
        <v>41227</v>
      </c>
      <c r="H751" s="202"/>
      <c r="I751" s="194"/>
      <c r="J751" s="194"/>
      <c r="K751" s="194"/>
      <c r="L751" s="194"/>
      <c r="M751" s="194"/>
      <c r="N751" s="194"/>
      <c r="O751" s="192"/>
      <c r="P751" s="148" t="s">
        <v>3426</v>
      </c>
      <c r="Q751" s="33" t="s">
        <v>86</v>
      </c>
      <c r="R751" s="34" t="s">
        <v>3427</v>
      </c>
      <c r="S751" s="44" t="s">
        <v>1872</v>
      </c>
      <c r="T751" s="46"/>
      <c r="U751" s="35"/>
      <c r="V751" s="56"/>
      <c r="W751" s="46"/>
      <c r="X751" s="194"/>
      <c r="Y751" s="194"/>
      <c r="Z751" s="194"/>
      <c r="AA751" s="194"/>
      <c r="AB751" s="196"/>
    </row>
    <row r="752" spans="1:28" ht="18.600000000000001" thickTop="1">
      <c r="A752" s="249" t="s">
        <v>3428</v>
      </c>
      <c r="B752" s="26">
        <v>45534</v>
      </c>
      <c r="C752" s="36">
        <v>2050</v>
      </c>
      <c r="D752" s="28" t="s">
        <v>3429</v>
      </c>
      <c r="E752" s="199"/>
      <c r="F752" s="54" t="s">
        <v>3430</v>
      </c>
      <c r="G752" s="37" t="s">
        <v>3397</v>
      </c>
      <c r="H752" s="201">
        <v>4</v>
      </c>
      <c r="I752" s="193">
        <v>3295000</v>
      </c>
      <c r="J752" s="193">
        <f>I752*0.1</f>
        <v>329500</v>
      </c>
      <c r="K752" s="193">
        <v>23100</v>
      </c>
      <c r="L752" s="193">
        <v>19560</v>
      </c>
      <c r="M752" s="193">
        <v>13200</v>
      </c>
      <c r="N752" s="193">
        <f>SUM(I752:M753)</f>
        <v>3680360</v>
      </c>
      <c r="O752" s="191"/>
      <c r="P752" s="147" t="s">
        <v>3431</v>
      </c>
      <c r="Q752" s="29" t="s">
        <v>82</v>
      </c>
      <c r="R752" s="81"/>
      <c r="S752" s="48" t="s">
        <v>1494</v>
      </c>
      <c r="T752" s="50"/>
      <c r="U752" s="30" t="s">
        <v>3432</v>
      </c>
      <c r="V752" s="58"/>
      <c r="W752" s="52"/>
      <c r="X752" s="193"/>
      <c r="Y752" s="206">
        <f>X752*0.1</f>
        <v>0</v>
      </c>
      <c r="Z752" s="193"/>
      <c r="AA752" s="193">
        <f>SUM(X752:Z752)</f>
        <v>0</v>
      </c>
      <c r="AB752" s="195"/>
    </row>
    <row r="753" spans="1:28" ht="18.600000000000001" thickBot="1">
      <c r="A753" s="250"/>
      <c r="B753" s="31" t="s">
        <v>1797</v>
      </c>
      <c r="C753" s="31">
        <v>35191</v>
      </c>
      <c r="D753" s="32" t="s">
        <v>1965</v>
      </c>
      <c r="E753" s="200"/>
      <c r="F753" s="43" t="s">
        <v>3433</v>
      </c>
      <c r="G753" s="38">
        <v>39474</v>
      </c>
      <c r="H753" s="202"/>
      <c r="I753" s="194"/>
      <c r="J753" s="194"/>
      <c r="K753" s="194"/>
      <c r="L753" s="194"/>
      <c r="M753" s="194"/>
      <c r="N753" s="194"/>
      <c r="O753" s="192"/>
      <c r="P753" s="148" t="s">
        <v>3434</v>
      </c>
      <c r="Q753" s="33" t="s">
        <v>86</v>
      </c>
      <c r="R753" s="34" t="s">
        <v>3435</v>
      </c>
      <c r="S753" s="44" t="s">
        <v>96</v>
      </c>
      <c r="T753" s="46"/>
      <c r="U753" s="35"/>
      <c r="V753" s="56"/>
      <c r="W753" s="46"/>
      <c r="X753" s="194"/>
      <c r="Y753" s="194"/>
      <c r="Z753" s="194"/>
      <c r="AA753" s="194"/>
      <c r="AB753" s="196"/>
    </row>
    <row r="754" spans="1:28" ht="18.600000000000001" thickTop="1">
      <c r="A754" s="249" t="s">
        <v>3436</v>
      </c>
      <c r="B754" s="26">
        <v>45534</v>
      </c>
      <c r="C754" s="36">
        <v>2050</v>
      </c>
      <c r="D754" s="28" t="s">
        <v>3011</v>
      </c>
      <c r="E754" s="199"/>
      <c r="F754" s="54" t="s">
        <v>1844</v>
      </c>
      <c r="G754" s="37" t="s">
        <v>3437</v>
      </c>
      <c r="H754" s="201">
        <v>4.5</v>
      </c>
      <c r="I754" s="193">
        <v>2005000</v>
      </c>
      <c r="J754" s="193">
        <f>I754*0.1</f>
        <v>200500</v>
      </c>
      <c r="K754" s="193">
        <v>23100</v>
      </c>
      <c r="L754" s="193">
        <v>16240</v>
      </c>
      <c r="M754" s="193">
        <v>13200</v>
      </c>
      <c r="N754" s="193">
        <f>SUM(I754:M755)</f>
        <v>2258040</v>
      </c>
      <c r="O754" s="191"/>
      <c r="P754" s="147" t="s">
        <v>3438</v>
      </c>
      <c r="Q754" s="29" t="s">
        <v>82</v>
      </c>
      <c r="R754" s="81"/>
      <c r="S754" s="48" t="s">
        <v>1596</v>
      </c>
      <c r="T754" s="50"/>
      <c r="U754" s="30"/>
      <c r="V754" s="58"/>
      <c r="W754" s="52"/>
      <c r="X754" s="193"/>
      <c r="Y754" s="206">
        <f>X754*0.1</f>
        <v>0</v>
      </c>
      <c r="Z754" s="193"/>
      <c r="AA754" s="193">
        <f>SUM(X754:Z754)</f>
        <v>0</v>
      </c>
      <c r="AB754" s="195"/>
    </row>
    <row r="755" spans="1:28" ht="18.600000000000001" thickBot="1">
      <c r="A755" s="250"/>
      <c r="B755" s="31" t="s">
        <v>1797</v>
      </c>
      <c r="C755" s="31">
        <v>58482</v>
      </c>
      <c r="D755" s="32" t="s">
        <v>244</v>
      </c>
      <c r="E755" s="200"/>
      <c r="F755" s="43" t="s">
        <v>3439</v>
      </c>
      <c r="G755" s="38">
        <v>41734</v>
      </c>
      <c r="H755" s="202"/>
      <c r="I755" s="194"/>
      <c r="J755" s="194"/>
      <c r="K755" s="194"/>
      <c r="L755" s="194"/>
      <c r="M755" s="194"/>
      <c r="N755" s="194"/>
      <c r="O755" s="192"/>
      <c r="P755" s="148" t="s">
        <v>3426</v>
      </c>
      <c r="Q755" s="33" t="s">
        <v>86</v>
      </c>
      <c r="R755" s="34" t="s">
        <v>3435</v>
      </c>
      <c r="S755" s="44" t="s">
        <v>3440</v>
      </c>
      <c r="T755" s="46"/>
      <c r="U755" s="142" t="s">
        <v>153</v>
      </c>
      <c r="V755" s="56"/>
      <c r="W755" s="46"/>
      <c r="X755" s="194"/>
      <c r="Y755" s="194"/>
      <c r="Z755" s="194"/>
      <c r="AA755" s="194"/>
      <c r="AB755" s="196"/>
    </row>
    <row r="756" spans="1:28" ht="18.600000000000001" thickTop="1">
      <c r="A756" s="249" t="s">
        <v>3448</v>
      </c>
      <c r="B756" s="26">
        <v>45540</v>
      </c>
      <c r="C756" s="36">
        <v>2075</v>
      </c>
      <c r="D756" s="28" t="s">
        <v>2190</v>
      </c>
      <c r="E756" s="199"/>
      <c r="F756" s="54" t="s">
        <v>3449</v>
      </c>
      <c r="G756" s="37" t="s">
        <v>3450</v>
      </c>
      <c r="H756" s="201">
        <v>4</v>
      </c>
      <c r="I756" s="193">
        <v>862000</v>
      </c>
      <c r="J756" s="193">
        <f>I756*0.1</f>
        <v>86200</v>
      </c>
      <c r="K756" s="193">
        <v>0</v>
      </c>
      <c r="L756" s="193">
        <v>7510</v>
      </c>
      <c r="M756" s="193">
        <v>13750</v>
      </c>
      <c r="N756" s="193">
        <f>SUM(I756:M757)</f>
        <v>969460</v>
      </c>
      <c r="O756" s="191"/>
      <c r="P756" s="147" t="s">
        <v>3451</v>
      </c>
      <c r="Q756" s="29" t="s">
        <v>82</v>
      </c>
      <c r="R756" s="81"/>
      <c r="S756" s="48" t="s">
        <v>3452</v>
      </c>
      <c r="T756" s="50"/>
      <c r="U756" s="30" t="s">
        <v>3453</v>
      </c>
      <c r="V756" s="58"/>
      <c r="W756" s="52"/>
      <c r="X756" s="193"/>
      <c r="Y756" s="206">
        <f>X756*0.1</f>
        <v>0</v>
      </c>
      <c r="Z756" s="193"/>
      <c r="AA756" s="193">
        <f>SUM(X756:Z756)</f>
        <v>0</v>
      </c>
      <c r="AB756" s="195"/>
    </row>
    <row r="757" spans="1:28" ht="18.600000000000001" thickBot="1">
      <c r="A757" s="250"/>
      <c r="B757" s="31" t="s">
        <v>2232</v>
      </c>
      <c r="C757" s="31">
        <v>2515</v>
      </c>
      <c r="D757" s="32" t="s">
        <v>399</v>
      </c>
      <c r="E757" s="200"/>
      <c r="F757" s="43" t="s">
        <v>3454</v>
      </c>
      <c r="G757" s="38">
        <v>41207</v>
      </c>
      <c r="H757" s="202"/>
      <c r="I757" s="194"/>
      <c r="J757" s="194"/>
      <c r="K757" s="194"/>
      <c r="L757" s="194"/>
      <c r="M757" s="194"/>
      <c r="N757" s="194"/>
      <c r="O757" s="192"/>
      <c r="P757" s="148" t="s">
        <v>3455</v>
      </c>
      <c r="Q757" s="33" t="s">
        <v>86</v>
      </c>
      <c r="R757" s="34" t="s">
        <v>2973</v>
      </c>
      <c r="S757" s="44" t="s">
        <v>3055</v>
      </c>
      <c r="T757" s="46"/>
      <c r="U757" s="35"/>
      <c r="V757" s="56"/>
      <c r="W757" s="46"/>
      <c r="X757" s="194"/>
      <c r="Y757" s="194"/>
      <c r="Z757" s="194"/>
      <c r="AA757" s="194"/>
      <c r="AB757" s="196"/>
    </row>
    <row r="758" spans="1:28" ht="18.600000000000001" thickTop="1">
      <c r="A758" s="249" t="s">
        <v>3468</v>
      </c>
      <c r="B758" s="26">
        <v>45545</v>
      </c>
      <c r="C758" s="36">
        <v>857</v>
      </c>
      <c r="D758" s="28" t="s">
        <v>2516</v>
      </c>
      <c r="E758" s="199"/>
      <c r="F758" s="54" t="s">
        <v>3469</v>
      </c>
      <c r="G758" s="37" t="s">
        <v>3470</v>
      </c>
      <c r="H758" s="201">
        <v>4</v>
      </c>
      <c r="I758" s="193">
        <v>1519000</v>
      </c>
      <c r="J758" s="193">
        <f>I758*0.1</f>
        <v>151900</v>
      </c>
      <c r="K758" s="193">
        <v>16720</v>
      </c>
      <c r="L758" s="193">
        <v>16240</v>
      </c>
      <c r="M758" s="193">
        <v>14850</v>
      </c>
      <c r="N758" s="193">
        <f>SUM(I758:M759)</f>
        <v>1718710</v>
      </c>
      <c r="O758" s="191"/>
      <c r="P758" s="147" t="s">
        <v>3471</v>
      </c>
      <c r="Q758" s="29" t="s">
        <v>82</v>
      </c>
      <c r="R758" s="81"/>
      <c r="S758" s="48" t="s">
        <v>940</v>
      </c>
      <c r="T758" s="50"/>
      <c r="U758" s="30" t="s">
        <v>3472</v>
      </c>
      <c r="V758" s="58"/>
      <c r="W758" s="52"/>
      <c r="X758" s="193"/>
      <c r="Y758" s="206">
        <f>X758*0.1</f>
        <v>0</v>
      </c>
      <c r="Z758" s="193"/>
      <c r="AA758" s="193">
        <f>SUM(X758:Z758)</f>
        <v>0</v>
      </c>
      <c r="AB758" s="195"/>
    </row>
    <row r="759" spans="1:28" ht="18.600000000000001" thickBot="1">
      <c r="A759" s="250"/>
      <c r="B759" s="31" t="s">
        <v>107</v>
      </c>
      <c r="C759" s="31">
        <v>5001</v>
      </c>
      <c r="D759" s="32" t="s">
        <v>1097</v>
      </c>
      <c r="E759" s="200"/>
      <c r="F759" s="43" t="s">
        <v>3473</v>
      </c>
      <c r="G759" s="38">
        <v>39653</v>
      </c>
      <c r="H759" s="202"/>
      <c r="I759" s="194"/>
      <c r="J759" s="194"/>
      <c r="K759" s="194"/>
      <c r="L759" s="194"/>
      <c r="M759" s="194"/>
      <c r="N759" s="194"/>
      <c r="O759" s="192"/>
      <c r="P759" s="148" t="s">
        <v>3474</v>
      </c>
      <c r="Q759" s="33" t="s">
        <v>86</v>
      </c>
      <c r="R759" s="34" t="s">
        <v>2445</v>
      </c>
      <c r="S759" s="44" t="s">
        <v>96</v>
      </c>
      <c r="T759" s="46"/>
      <c r="U759" s="35"/>
      <c r="V759" s="56"/>
      <c r="W759" s="46"/>
      <c r="X759" s="194"/>
      <c r="Y759" s="194"/>
      <c r="Z759" s="194"/>
      <c r="AA759" s="194"/>
      <c r="AB759" s="196"/>
    </row>
    <row r="760" spans="1:28" ht="18.600000000000001" thickTop="1">
      <c r="A760" s="249" t="s">
        <v>3475</v>
      </c>
      <c r="B760" s="26">
        <v>45548</v>
      </c>
      <c r="C760" s="36">
        <v>2052</v>
      </c>
      <c r="D760" s="28" t="s">
        <v>1903</v>
      </c>
      <c r="E760" s="199"/>
      <c r="F760" s="54" t="s">
        <v>3476</v>
      </c>
      <c r="G760" s="37" t="s">
        <v>3477</v>
      </c>
      <c r="H760" s="201">
        <v>4</v>
      </c>
      <c r="I760" s="193">
        <v>900000</v>
      </c>
      <c r="J760" s="193">
        <f>I760*0.1</f>
        <v>90000</v>
      </c>
      <c r="K760" s="193">
        <v>0</v>
      </c>
      <c r="L760" s="193">
        <v>8010</v>
      </c>
      <c r="M760" s="193">
        <v>23100</v>
      </c>
      <c r="N760" s="193">
        <f>SUM(I760:M761)</f>
        <v>1021110</v>
      </c>
      <c r="O760" s="191"/>
      <c r="P760" s="147" t="s">
        <v>3478</v>
      </c>
      <c r="Q760" s="29" t="s">
        <v>82</v>
      </c>
      <c r="R760" s="81"/>
      <c r="S760" s="48"/>
      <c r="T760" s="50"/>
      <c r="U760" s="30" t="s">
        <v>3479</v>
      </c>
      <c r="V760" s="58"/>
      <c r="W760" s="52"/>
      <c r="X760" s="193"/>
      <c r="Y760" s="206">
        <f>X760*0.1</f>
        <v>0</v>
      </c>
      <c r="Z760" s="193"/>
      <c r="AA760" s="193">
        <f>SUM(X760:Z760)</f>
        <v>0</v>
      </c>
      <c r="AB760" s="195"/>
    </row>
    <row r="761" spans="1:28" ht="18.600000000000001" thickBot="1">
      <c r="A761" s="250"/>
      <c r="B761" s="31" t="s">
        <v>1797</v>
      </c>
      <c r="C761" s="31">
        <v>55777</v>
      </c>
      <c r="D761" s="32" t="s">
        <v>1987</v>
      </c>
      <c r="E761" s="200"/>
      <c r="F761" s="43" t="s">
        <v>3480</v>
      </c>
      <c r="G761" s="38">
        <v>34812</v>
      </c>
      <c r="H761" s="202"/>
      <c r="I761" s="194"/>
      <c r="J761" s="194"/>
      <c r="K761" s="194"/>
      <c r="L761" s="194"/>
      <c r="M761" s="194"/>
      <c r="N761" s="194"/>
      <c r="O761" s="192"/>
      <c r="P761" s="148" t="s">
        <v>3481</v>
      </c>
      <c r="Q761" s="33" t="s">
        <v>86</v>
      </c>
      <c r="R761" s="34" t="s">
        <v>2469</v>
      </c>
      <c r="S761" s="44"/>
      <c r="T761" s="46"/>
      <c r="U761" s="35"/>
      <c r="V761" s="56"/>
      <c r="W761" s="46"/>
      <c r="X761" s="194"/>
      <c r="Y761" s="194"/>
      <c r="Z761" s="194"/>
      <c r="AA761" s="194"/>
      <c r="AB761" s="196"/>
    </row>
    <row r="762" spans="1:28" ht="18.600000000000001" thickTop="1">
      <c r="A762" s="249" t="s">
        <v>3489</v>
      </c>
      <c r="B762" s="26">
        <v>45552</v>
      </c>
      <c r="C762" s="36"/>
      <c r="D762" s="28" t="s">
        <v>2397</v>
      </c>
      <c r="E762" s="199" t="s">
        <v>282</v>
      </c>
      <c r="F762" s="54" t="s">
        <v>3490</v>
      </c>
      <c r="G762" s="37"/>
      <c r="H762" s="201"/>
      <c r="I762" s="193">
        <v>6000000</v>
      </c>
      <c r="J762" s="193">
        <v>0</v>
      </c>
      <c r="K762" s="193">
        <v>0</v>
      </c>
      <c r="L762" s="193">
        <v>0</v>
      </c>
      <c r="M762" s="193">
        <v>0</v>
      </c>
      <c r="N762" s="193">
        <f>SUM(I762:M763)</f>
        <v>6000000</v>
      </c>
      <c r="O762" s="191"/>
      <c r="P762" s="147" t="s">
        <v>3491</v>
      </c>
      <c r="Q762" s="29" t="s">
        <v>82</v>
      </c>
      <c r="R762" s="81"/>
      <c r="S762" s="48"/>
      <c r="T762" s="50"/>
      <c r="U762" s="30" t="s">
        <v>3492</v>
      </c>
      <c r="V762" s="58"/>
      <c r="W762" s="52"/>
      <c r="X762" s="193"/>
      <c r="Y762" s="206">
        <f>X762*0.1</f>
        <v>0</v>
      </c>
      <c r="Z762" s="193"/>
      <c r="AA762" s="193">
        <f>SUM(X762:Z762)</f>
        <v>0</v>
      </c>
      <c r="AB762" s="195"/>
    </row>
    <row r="763" spans="1:28" ht="18.600000000000001" thickBot="1">
      <c r="A763" s="250"/>
      <c r="B763" s="31" t="s">
        <v>3493</v>
      </c>
      <c r="C763" s="31"/>
      <c r="D763" s="32" t="s">
        <v>2537</v>
      </c>
      <c r="E763" s="200"/>
      <c r="F763" s="43" t="s">
        <v>3494</v>
      </c>
      <c r="G763" s="38"/>
      <c r="H763" s="202"/>
      <c r="I763" s="194"/>
      <c r="J763" s="194"/>
      <c r="K763" s="194"/>
      <c r="L763" s="194"/>
      <c r="M763" s="194"/>
      <c r="N763" s="194"/>
      <c r="O763" s="192"/>
      <c r="P763" s="148" t="s">
        <v>3495</v>
      </c>
      <c r="Q763" s="33" t="s">
        <v>86</v>
      </c>
      <c r="R763" s="34" t="s">
        <v>3496</v>
      </c>
      <c r="S763" s="44" t="s">
        <v>287</v>
      </c>
      <c r="T763" s="46"/>
      <c r="U763" s="35"/>
      <c r="V763" s="56"/>
      <c r="W763" s="46"/>
      <c r="X763" s="194"/>
      <c r="Y763" s="194"/>
      <c r="Z763" s="194"/>
      <c r="AA763" s="194"/>
      <c r="AB763" s="196"/>
    </row>
    <row r="764" spans="1:28" ht="18.600000000000001" thickTop="1">
      <c r="A764" s="249" t="s">
        <v>3497</v>
      </c>
      <c r="B764" s="26">
        <v>45556</v>
      </c>
      <c r="C764" s="36">
        <v>1219</v>
      </c>
      <c r="D764" s="28" t="s">
        <v>1855</v>
      </c>
      <c r="E764" s="199"/>
      <c r="F764" s="54" t="s">
        <v>3388</v>
      </c>
      <c r="G764" s="37" t="s">
        <v>3498</v>
      </c>
      <c r="H764" s="201">
        <v>4.5</v>
      </c>
      <c r="I764" s="193">
        <v>2300000</v>
      </c>
      <c r="J764" s="193">
        <f>I764*0.1</f>
        <v>230000</v>
      </c>
      <c r="K764" s="193">
        <v>21670</v>
      </c>
      <c r="L764" s="193">
        <v>16240</v>
      </c>
      <c r="M764" s="193">
        <v>13200</v>
      </c>
      <c r="N764" s="193">
        <f>SUM(I764:M765)</f>
        <v>2581110</v>
      </c>
      <c r="O764" s="191"/>
      <c r="P764" s="147" t="s">
        <v>3499</v>
      </c>
      <c r="Q764" s="29" t="s">
        <v>82</v>
      </c>
      <c r="R764" s="81"/>
      <c r="S764" s="48" t="s">
        <v>1540</v>
      </c>
      <c r="T764" s="50"/>
      <c r="U764" s="30" t="s">
        <v>3500</v>
      </c>
      <c r="V764" s="58"/>
      <c r="W764" s="52"/>
      <c r="X764" s="193"/>
      <c r="Y764" s="206">
        <f>X764*0.1</f>
        <v>0</v>
      </c>
      <c r="Z764" s="193"/>
      <c r="AA764" s="193">
        <f>SUM(X764:Z764)</f>
        <v>0</v>
      </c>
      <c r="AB764" s="195"/>
    </row>
    <row r="765" spans="1:28" ht="18.600000000000001" thickBot="1">
      <c r="A765" s="250"/>
      <c r="B765" s="31" t="s">
        <v>521</v>
      </c>
      <c r="C765" s="31">
        <v>82444</v>
      </c>
      <c r="D765" s="32" t="s">
        <v>1832</v>
      </c>
      <c r="E765" s="200"/>
      <c r="F765" s="43" t="s">
        <v>3501</v>
      </c>
      <c r="G765" s="38">
        <v>20416</v>
      </c>
      <c r="H765" s="202"/>
      <c r="I765" s="194"/>
      <c r="J765" s="194"/>
      <c r="K765" s="194"/>
      <c r="L765" s="194"/>
      <c r="M765" s="194"/>
      <c r="N765" s="194"/>
      <c r="O765" s="192"/>
      <c r="P765" s="148" t="s">
        <v>3502</v>
      </c>
      <c r="Q765" s="33" t="s">
        <v>86</v>
      </c>
      <c r="R765" s="34" t="s">
        <v>3503</v>
      </c>
      <c r="S765" s="44" t="s">
        <v>2392</v>
      </c>
      <c r="T765" s="46"/>
      <c r="U765" s="35"/>
      <c r="V765" s="56"/>
      <c r="W765" s="46"/>
      <c r="X765" s="194"/>
      <c r="Y765" s="194"/>
      <c r="Z765" s="194"/>
      <c r="AA765" s="194"/>
      <c r="AB765" s="196"/>
    </row>
    <row r="766" spans="1:28" ht="18.600000000000001" thickTop="1">
      <c r="A766" s="249" t="s">
        <v>3504</v>
      </c>
      <c r="B766" s="26">
        <v>45563</v>
      </c>
      <c r="C766" s="36">
        <v>1385</v>
      </c>
      <c r="D766" s="28" t="s">
        <v>1001</v>
      </c>
      <c r="E766" s="199"/>
      <c r="F766" s="54" t="s">
        <v>2657</v>
      </c>
      <c r="G766" s="37" t="s">
        <v>3505</v>
      </c>
      <c r="H766" s="201">
        <v>5</v>
      </c>
      <c r="I766" s="193">
        <v>3120000</v>
      </c>
      <c r="J766" s="193">
        <f>I766*0.1</f>
        <v>312000</v>
      </c>
      <c r="K766" s="193">
        <v>19800</v>
      </c>
      <c r="L766" s="193">
        <v>16240</v>
      </c>
      <c r="M766" s="193">
        <v>13200</v>
      </c>
      <c r="N766" s="193">
        <f>SUM(I766:M767)</f>
        <v>3481240</v>
      </c>
      <c r="O766" s="191"/>
      <c r="P766" s="147" t="s">
        <v>3506</v>
      </c>
      <c r="Q766" s="29" t="s">
        <v>82</v>
      </c>
      <c r="R766" s="81"/>
      <c r="S766" s="48" t="s">
        <v>940</v>
      </c>
      <c r="T766" s="50"/>
      <c r="U766" s="30"/>
      <c r="V766" s="58"/>
      <c r="W766" s="52"/>
      <c r="X766" s="193"/>
      <c r="Y766" s="206">
        <f>X766*0.1</f>
        <v>0</v>
      </c>
      <c r="Z766" s="193"/>
      <c r="AA766" s="193">
        <f>SUM(X766:Z766)</f>
        <v>0</v>
      </c>
      <c r="AB766" s="195"/>
    </row>
    <row r="767" spans="1:28" ht="18.600000000000001" thickBot="1">
      <c r="A767" s="250"/>
      <c r="B767" s="31" t="s">
        <v>2053</v>
      </c>
      <c r="C767" s="31">
        <v>7143</v>
      </c>
      <c r="D767" s="32" t="s">
        <v>244</v>
      </c>
      <c r="E767" s="200"/>
      <c r="F767" s="43" t="s">
        <v>3507</v>
      </c>
      <c r="G767" s="38">
        <v>27998</v>
      </c>
      <c r="H767" s="202"/>
      <c r="I767" s="194"/>
      <c r="J767" s="194"/>
      <c r="K767" s="194"/>
      <c r="L767" s="194"/>
      <c r="M767" s="194"/>
      <c r="N767" s="194"/>
      <c r="O767" s="192"/>
      <c r="P767" s="148" t="s">
        <v>3426</v>
      </c>
      <c r="Q767" s="33" t="s">
        <v>86</v>
      </c>
      <c r="R767" s="34" t="s">
        <v>2489</v>
      </c>
      <c r="S767" s="44" t="s">
        <v>1872</v>
      </c>
      <c r="T767" s="46"/>
      <c r="U767" s="142" t="s">
        <v>122</v>
      </c>
      <c r="V767" s="56"/>
      <c r="W767" s="46"/>
      <c r="X767" s="194"/>
      <c r="Y767" s="194"/>
      <c r="Z767" s="194"/>
      <c r="AA767" s="194"/>
      <c r="AB767" s="196"/>
    </row>
    <row r="768" spans="1:28" ht="18.600000000000001" thickTop="1">
      <c r="A768" s="249" t="s">
        <v>3508</v>
      </c>
      <c r="B768" s="149">
        <v>41620</v>
      </c>
      <c r="C768" s="150"/>
      <c r="D768" s="151" t="s">
        <v>3509</v>
      </c>
      <c r="E768" s="223"/>
      <c r="F768" s="124" t="s">
        <v>3510</v>
      </c>
      <c r="G768" s="152"/>
      <c r="H768" s="225"/>
      <c r="I768" s="226">
        <v>800000</v>
      </c>
      <c r="J768" s="206"/>
      <c r="K768" s="206"/>
      <c r="L768" s="206">
        <v>2030</v>
      </c>
      <c r="M768" s="206"/>
      <c r="N768" s="227">
        <f>SUM(I768:M769)</f>
        <v>802030</v>
      </c>
      <c r="O768" s="222">
        <v>50000</v>
      </c>
      <c r="P768" s="153" t="s">
        <v>3511</v>
      </c>
      <c r="Q768" s="68" t="s">
        <v>82</v>
      </c>
      <c r="R768" s="154"/>
      <c r="S768" s="155"/>
      <c r="T768" s="156"/>
      <c r="U768" s="72"/>
      <c r="V768" s="157"/>
      <c r="W768" s="158"/>
      <c r="X768" s="229"/>
      <c r="Y768" s="229"/>
      <c r="Z768" s="229"/>
      <c r="AA768" s="230">
        <f>SUM(X768:Z769)</f>
        <v>0</v>
      </c>
      <c r="AB768" s="232"/>
    </row>
    <row r="769" spans="1:28" ht="18.600000000000001" thickBot="1">
      <c r="A769" s="250"/>
      <c r="B769" s="159" t="s">
        <v>3512</v>
      </c>
      <c r="C769" s="160"/>
      <c r="D769" s="159"/>
      <c r="E769" s="224"/>
      <c r="F769" s="127" t="s">
        <v>3513</v>
      </c>
      <c r="G769" s="161"/>
      <c r="H769" s="202"/>
      <c r="I769" s="216"/>
      <c r="J769" s="194"/>
      <c r="K769" s="194"/>
      <c r="L769" s="194"/>
      <c r="M769" s="194"/>
      <c r="N769" s="228"/>
      <c r="O769" s="192"/>
      <c r="P769" s="159" t="s">
        <v>3514</v>
      </c>
      <c r="Q769" s="33" t="s">
        <v>86</v>
      </c>
      <c r="R769" s="162"/>
      <c r="S769" s="163"/>
      <c r="T769" s="164"/>
      <c r="U769" s="78" t="s">
        <v>153</v>
      </c>
      <c r="V769" s="165"/>
      <c r="W769" s="46"/>
      <c r="X769" s="208"/>
      <c r="Y769" s="208"/>
      <c r="Z769" s="208"/>
      <c r="AA769" s="231"/>
      <c r="AB769" s="233"/>
    </row>
    <row r="770" spans="1:28" ht="18.600000000000001" thickTop="1">
      <c r="A770" s="249" t="s">
        <v>3515</v>
      </c>
      <c r="B770" s="121">
        <v>42582</v>
      </c>
      <c r="C770" s="166"/>
      <c r="D770" s="123" t="s">
        <v>3516</v>
      </c>
      <c r="E770" s="221"/>
      <c r="F770" s="124" t="s">
        <v>3517</v>
      </c>
      <c r="G770" s="125"/>
      <c r="H770" s="201"/>
      <c r="I770" s="215">
        <v>400000</v>
      </c>
      <c r="J770" s="193"/>
      <c r="K770" s="193"/>
      <c r="L770" s="193">
        <v>2030</v>
      </c>
      <c r="M770" s="193"/>
      <c r="N770" s="217">
        <f>SUM(I770:M771)</f>
        <v>402030</v>
      </c>
      <c r="O770" s="191">
        <v>50000</v>
      </c>
      <c r="P770" s="53" t="s">
        <v>3518</v>
      </c>
      <c r="Q770" s="29" t="s">
        <v>82</v>
      </c>
      <c r="R770" s="167"/>
      <c r="S770" s="168"/>
      <c r="T770" s="137"/>
      <c r="U770" s="30"/>
      <c r="V770" s="169"/>
      <c r="W770" s="52"/>
      <c r="X770" s="207"/>
      <c r="Y770" s="207"/>
      <c r="Z770" s="207"/>
      <c r="AA770" s="209">
        <f>SUM(X770:Z771)</f>
        <v>0</v>
      </c>
      <c r="AB770" s="219"/>
    </row>
    <row r="771" spans="1:28" ht="18.600000000000001" thickBot="1">
      <c r="A771" s="250"/>
      <c r="B771" s="126" t="s">
        <v>3519</v>
      </c>
      <c r="C771" s="170"/>
      <c r="D771" s="126"/>
      <c r="E771" s="214"/>
      <c r="F771" s="127" t="s">
        <v>3520</v>
      </c>
      <c r="G771" s="128"/>
      <c r="H771" s="202"/>
      <c r="I771" s="216"/>
      <c r="J771" s="194"/>
      <c r="K771" s="194"/>
      <c r="L771" s="194"/>
      <c r="M771" s="194"/>
      <c r="N771" s="218"/>
      <c r="O771" s="192"/>
      <c r="P771" s="126" t="s">
        <v>3521</v>
      </c>
      <c r="Q771" s="33" t="s">
        <v>86</v>
      </c>
      <c r="R771" s="171"/>
      <c r="S771" s="172"/>
      <c r="T771" s="164"/>
      <c r="U771" s="35" t="s">
        <v>153</v>
      </c>
      <c r="V771" s="173"/>
      <c r="W771" s="46"/>
      <c r="X771" s="208"/>
      <c r="Y771" s="208"/>
      <c r="Z771" s="208"/>
      <c r="AA771" s="210"/>
      <c r="AB771" s="220"/>
    </row>
    <row r="772" spans="1:28" ht="18.600000000000001" thickTop="1">
      <c r="A772" s="249" t="s">
        <v>3522</v>
      </c>
      <c r="B772" s="121">
        <v>42637</v>
      </c>
      <c r="C772" s="166"/>
      <c r="D772" s="123" t="s">
        <v>3523</v>
      </c>
      <c r="E772" s="221"/>
      <c r="F772" s="124" t="s">
        <v>3524</v>
      </c>
      <c r="G772" s="125"/>
      <c r="H772" s="201"/>
      <c r="I772" s="215">
        <v>200000</v>
      </c>
      <c r="J772" s="193"/>
      <c r="K772" s="193"/>
      <c r="L772" s="193">
        <v>2030</v>
      </c>
      <c r="M772" s="193"/>
      <c r="N772" s="217">
        <f>SUM(I772:M773)</f>
        <v>202030</v>
      </c>
      <c r="O772" s="191">
        <v>20000</v>
      </c>
      <c r="P772" s="53" t="s">
        <v>3525</v>
      </c>
      <c r="Q772" s="29" t="s">
        <v>82</v>
      </c>
      <c r="R772" s="167"/>
      <c r="S772" s="174"/>
      <c r="T772" s="137"/>
      <c r="U772" s="30"/>
      <c r="V772" s="169"/>
      <c r="W772" s="52"/>
      <c r="X772" s="207"/>
      <c r="Y772" s="207"/>
      <c r="Z772" s="207"/>
      <c r="AA772" s="209">
        <f>SUM(X772:Z773)</f>
        <v>0</v>
      </c>
      <c r="AB772" s="219"/>
    </row>
    <row r="773" spans="1:28" ht="18.600000000000001" thickBot="1">
      <c r="A773" s="250"/>
      <c r="B773" s="126" t="s">
        <v>3526</v>
      </c>
      <c r="C773" s="170"/>
      <c r="D773" s="126"/>
      <c r="E773" s="214"/>
      <c r="F773" s="127" t="s">
        <v>3527</v>
      </c>
      <c r="G773" s="128"/>
      <c r="H773" s="202"/>
      <c r="I773" s="216"/>
      <c r="J773" s="194"/>
      <c r="K773" s="194"/>
      <c r="L773" s="194"/>
      <c r="M773" s="194"/>
      <c r="N773" s="218"/>
      <c r="O773" s="192"/>
      <c r="P773" s="126" t="s">
        <v>3528</v>
      </c>
      <c r="Q773" s="33" t="s">
        <v>86</v>
      </c>
      <c r="R773" s="171"/>
      <c r="S773" s="163"/>
      <c r="T773" s="164"/>
      <c r="U773" s="35" t="s">
        <v>153</v>
      </c>
      <c r="V773" s="173"/>
      <c r="W773" s="46"/>
      <c r="X773" s="208"/>
      <c r="Y773" s="208"/>
      <c r="Z773" s="208"/>
      <c r="AA773" s="210"/>
      <c r="AB773" s="220"/>
    </row>
    <row r="774" spans="1:28" ht="18.600000000000001" thickTop="1">
      <c r="A774" s="249" t="s">
        <v>3529</v>
      </c>
      <c r="B774" s="121">
        <v>42988</v>
      </c>
      <c r="C774" s="166"/>
      <c r="D774" s="123" t="s">
        <v>3530</v>
      </c>
      <c r="E774" s="221"/>
      <c r="F774" s="124" t="s">
        <v>3531</v>
      </c>
      <c r="G774" s="125" t="s">
        <v>1484</v>
      </c>
      <c r="H774" s="201"/>
      <c r="I774" s="215">
        <v>150000</v>
      </c>
      <c r="J774" s="193"/>
      <c r="K774" s="193"/>
      <c r="L774" s="193"/>
      <c r="M774" s="193"/>
      <c r="N774" s="217">
        <f>SUM(I774:M775)</f>
        <v>150000</v>
      </c>
      <c r="O774" s="191">
        <v>30000</v>
      </c>
      <c r="P774" s="53" t="s">
        <v>3532</v>
      </c>
      <c r="Q774" s="29" t="s">
        <v>82</v>
      </c>
      <c r="R774" s="167"/>
      <c r="S774" s="168"/>
      <c r="T774" s="137"/>
      <c r="U774" s="30"/>
      <c r="V774" s="169"/>
      <c r="W774" s="52"/>
      <c r="X774" s="207"/>
      <c r="Y774" s="207"/>
      <c r="Z774" s="207"/>
      <c r="AA774" s="209">
        <f>SUM(X774:Z775)</f>
        <v>0</v>
      </c>
      <c r="AB774" s="219"/>
    </row>
    <row r="775" spans="1:28" ht="18.600000000000001" thickBot="1">
      <c r="A775" s="250"/>
      <c r="B775" s="126" t="s">
        <v>3533</v>
      </c>
      <c r="C775" s="170"/>
      <c r="D775" s="126"/>
      <c r="E775" s="214"/>
      <c r="F775" s="127" t="s">
        <v>3534</v>
      </c>
      <c r="G775" s="128"/>
      <c r="H775" s="202"/>
      <c r="I775" s="216"/>
      <c r="J775" s="194"/>
      <c r="K775" s="194"/>
      <c r="L775" s="194"/>
      <c r="M775" s="194"/>
      <c r="N775" s="218"/>
      <c r="O775" s="192"/>
      <c r="P775" s="126" t="s">
        <v>3535</v>
      </c>
      <c r="Q775" s="33" t="s">
        <v>86</v>
      </c>
      <c r="R775" s="171"/>
      <c r="S775" s="172"/>
      <c r="T775" s="164"/>
      <c r="U775" s="35" t="s">
        <v>153</v>
      </c>
      <c r="V775" s="173"/>
      <c r="W775" s="46"/>
      <c r="X775" s="208"/>
      <c r="Y775" s="208"/>
      <c r="Z775" s="208"/>
      <c r="AA775" s="210"/>
      <c r="AB775" s="220"/>
    </row>
    <row r="776" spans="1:28" ht="18.600000000000001" thickTop="1">
      <c r="A776" s="249" t="s">
        <v>3536</v>
      </c>
      <c r="B776" s="121">
        <v>42989</v>
      </c>
      <c r="C776" s="166"/>
      <c r="D776" s="123" t="s">
        <v>499</v>
      </c>
      <c r="E776" s="221"/>
      <c r="F776" s="124" t="s">
        <v>3537</v>
      </c>
      <c r="G776" s="125" t="s">
        <v>542</v>
      </c>
      <c r="H776" s="201"/>
      <c r="I776" s="215">
        <v>1250000</v>
      </c>
      <c r="J776" s="193"/>
      <c r="K776" s="193">
        <v>18590</v>
      </c>
      <c r="L776" s="193"/>
      <c r="M776" s="193"/>
      <c r="N776" s="217">
        <f>SUM(I776:M777)</f>
        <v>1268590</v>
      </c>
      <c r="O776" s="191">
        <v>500000</v>
      </c>
      <c r="P776" s="53" t="s">
        <v>3538</v>
      </c>
      <c r="Q776" s="29" t="s">
        <v>82</v>
      </c>
      <c r="R776" s="167"/>
      <c r="S776" s="175"/>
      <c r="T776" s="137"/>
      <c r="U776" s="30"/>
      <c r="V776" s="169"/>
      <c r="W776" s="52"/>
      <c r="X776" s="207"/>
      <c r="Y776" s="207"/>
      <c r="Z776" s="207"/>
      <c r="AA776" s="209">
        <f>SUM(X776:Z777)</f>
        <v>0</v>
      </c>
      <c r="AB776" s="219"/>
    </row>
    <row r="777" spans="1:28" ht="18.600000000000001" thickBot="1">
      <c r="A777" s="250"/>
      <c r="B777" s="126" t="s">
        <v>3539</v>
      </c>
      <c r="C777" s="170"/>
      <c r="D777" s="126" t="s">
        <v>48</v>
      </c>
      <c r="E777" s="214"/>
      <c r="F777" s="127" t="s">
        <v>3540</v>
      </c>
      <c r="G777" s="128">
        <v>48000</v>
      </c>
      <c r="H777" s="202"/>
      <c r="I777" s="216"/>
      <c r="J777" s="194"/>
      <c r="K777" s="194"/>
      <c r="L777" s="194"/>
      <c r="M777" s="194"/>
      <c r="N777" s="218"/>
      <c r="O777" s="192"/>
      <c r="P777" s="126" t="s">
        <v>3541</v>
      </c>
      <c r="Q777" s="33" t="s">
        <v>86</v>
      </c>
      <c r="R777" s="171"/>
      <c r="S777" s="175"/>
      <c r="T777" s="164"/>
      <c r="U777" s="35"/>
      <c r="V777" s="173"/>
      <c r="W777" s="46"/>
      <c r="X777" s="208"/>
      <c r="Y777" s="208"/>
      <c r="Z777" s="208"/>
      <c r="AA777" s="210"/>
      <c r="AB777" s="220"/>
    </row>
    <row r="778" spans="1:28" ht="18.600000000000001" thickTop="1">
      <c r="A778" s="249" t="s">
        <v>3542</v>
      </c>
      <c r="B778" s="121">
        <v>43195</v>
      </c>
      <c r="C778" s="166"/>
      <c r="D778" s="123" t="s">
        <v>3543</v>
      </c>
      <c r="E778" s="221"/>
      <c r="F778" s="124" t="s">
        <v>3544</v>
      </c>
      <c r="G778" s="125" t="s">
        <v>760</v>
      </c>
      <c r="H778" s="201"/>
      <c r="I778" s="215">
        <v>1900000</v>
      </c>
      <c r="J778" s="193"/>
      <c r="K778" s="193"/>
      <c r="L778" s="193"/>
      <c r="M778" s="193"/>
      <c r="N778" s="217">
        <f>SUM(I778:M779)</f>
        <v>1900000</v>
      </c>
      <c r="O778" s="191">
        <v>900000</v>
      </c>
      <c r="P778" s="53" t="s">
        <v>3545</v>
      </c>
      <c r="Q778" s="29" t="s">
        <v>82</v>
      </c>
      <c r="R778" s="167"/>
      <c r="S778" s="174"/>
      <c r="T778" s="137" t="s">
        <v>3546</v>
      </c>
      <c r="U778" s="30"/>
      <c r="V778" s="169"/>
      <c r="W778" s="52"/>
      <c r="X778" s="207"/>
      <c r="Y778" s="207"/>
      <c r="Z778" s="207"/>
      <c r="AA778" s="209">
        <f>SUM(X778:Z779)</f>
        <v>0</v>
      </c>
      <c r="AB778" s="219"/>
    </row>
    <row r="779" spans="1:28" ht="18.600000000000001" thickBot="1">
      <c r="A779" s="250"/>
      <c r="B779" s="126" t="s">
        <v>3539</v>
      </c>
      <c r="C779" s="170"/>
      <c r="D779" s="126"/>
      <c r="E779" s="214"/>
      <c r="F779" s="127" t="s">
        <v>3547</v>
      </c>
      <c r="G779" s="128"/>
      <c r="H779" s="202"/>
      <c r="I779" s="216"/>
      <c r="J779" s="194"/>
      <c r="K779" s="194"/>
      <c r="L779" s="194"/>
      <c r="M779" s="194"/>
      <c r="N779" s="218"/>
      <c r="O779" s="192"/>
      <c r="P779" s="126" t="s">
        <v>3548</v>
      </c>
      <c r="Q779" s="33" t="s">
        <v>86</v>
      </c>
      <c r="R779" s="171"/>
      <c r="S779" s="163"/>
      <c r="T779" s="164"/>
      <c r="U779" s="35"/>
      <c r="V779" s="173"/>
      <c r="W779" s="46"/>
      <c r="X779" s="208"/>
      <c r="Y779" s="208"/>
      <c r="Z779" s="208"/>
      <c r="AA779" s="210"/>
      <c r="AB779" s="220"/>
    </row>
    <row r="780" spans="1:28" ht="18.600000000000001" thickTop="1">
      <c r="A780" s="249" t="s">
        <v>3549</v>
      </c>
      <c r="B780" s="121">
        <v>43284</v>
      </c>
      <c r="C780" s="166"/>
      <c r="D780" s="123" t="s">
        <v>3550</v>
      </c>
      <c r="E780" s="221"/>
      <c r="F780" s="124" t="s">
        <v>404</v>
      </c>
      <c r="G780" s="125" t="s">
        <v>1095</v>
      </c>
      <c r="H780" s="201"/>
      <c r="I780" s="215">
        <v>2250000</v>
      </c>
      <c r="J780" s="193">
        <v>23000</v>
      </c>
      <c r="K780" s="193">
        <v>17700</v>
      </c>
      <c r="L780" s="193"/>
      <c r="M780" s="193"/>
      <c r="N780" s="217">
        <f>SUM(I780:M781)</f>
        <v>2290700</v>
      </c>
      <c r="O780" s="191">
        <v>1300000</v>
      </c>
      <c r="P780" s="53" t="s">
        <v>3551</v>
      </c>
      <c r="Q780" s="29" t="s">
        <v>82</v>
      </c>
      <c r="R780" s="167"/>
      <c r="S780" s="168"/>
      <c r="T780" s="137" t="s">
        <v>3552</v>
      </c>
      <c r="U780" s="30"/>
      <c r="V780" s="169"/>
      <c r="W780" s="52"/>
      <c r="X780" s="207"/>
      <c r="Y780" s="207"/>
      <c r="Z780" s="207"/>
      <c r="AA780" s="209">
        <f>SUM(X780:Z781)</f>
        <v>0</v>
      </c>
      <c r="AB780" s="219"/>
    </row>
    <row r="781" spans="1:28" ht="18.600000000000001" thickBot="1">
      <c r="A781" s="250"/>
      <c r="B781" s="126" t="s">
        <v>3553</v>
      </c>
      <c r="C781" s="170"/>
      <c r="D781" s="126" t="s">
        <v>221</v>
      </c>
      <c r="E781" s="214"/>
      <c r="F781" s="127" t="s">
        <v>3554</v>
      </c>
      <c r="G781" s="128">
        <v>100</v>
      </c>
      <c r="H781" s="202"/>
      <c r="I781" s="216"/>
      <c r="J781" s="194"/>
      <c r="K781" s="194"/>
      <c r="L781" s="194"/>
      <c r="M781" s="194"/>
      <c r="N781" s="218"/>
      <c r="O781" s="192"/>
      <c r="P781" s="126" t="s">
        <v>3555</v>
      </c>
      <c r="Q781" s="33" t="s">
        <v>86</v>
      </c>
      <c r="R781" s="171"/>
      <c r="S781" s="172"/>
      <c r="T781" s="164"/>
      <c r="U781" s="35"/>
      <c r="V781" s="173"/>
      <c r="W781" s="46"/>
      <c r="X781" s="208"/>
      <c r="Y781" s="208"/>
      <c r="Z781" s="208"/>
      <c r="AA781" s="210"/>
      <c r="AB781" s="220"/>
    </row>
    <row r="782" spans="1:28" ht="18.600000000000001" thickTop="1">
      <c r="A782" s="249" t="s">
        <v>3556</v>
      </c>
      <c r="B782" s="121">
        <v>43473</v>
      </c>
      <c r="C782" s="166"/>
      <c r="D782" s="123" t="s">
        <v>3557</v>
      </c>
      <c r="E782" s="221"/>
      <c r="F782" s="124" t="s">
        <v>404</v>
      </c>
      <c r="G782" s="125" t="s">
        <v>1114</v>
      </c>
      <c r="H782" s="201"/>
      <c r="I782" s="215">
        <v>100000</v>
      </c>
      <c r="J782" s="193"/>
      <c r="K782" s="193"/>
      <c r="L782" s="193"/>
      <c r="M782" s="193"/>
      <c r="N782" s="217">
        <f>SUM(I782:M783)</f>
        <v>100000</v>
      </c>
      <c r="O782" s="191">
        <v>20000</v>
      </c>
      <c r="P782" s="53" t="s">
        <v>3558</v>
      </c>
      <c r="Q782" s="29" t="s">
        <v>82</v>
      </c>
      <c r="R782" s="167"/>
      <c r="S782" s="168"/>
      <c r="T782" s="137"/>
      <c r="U782" s="30"/>
      <c r="V782" s="169"/>
      <c r="W782" s="52"/>
      <c r="X782" s="207"/>
      <c r="Y782" s="207"/>
      <c r="Z782" s="207"/>
      <c r="AA782" s="209">
        <f>SUM(X782:Z783)</f>
        <v>0</v>
      </c>
      <c r="AB782" s="219"/>
    </row>
    <row r="783" spans="1:28" ht="18.600000000000001" thickBot="1">
      <c r="A783" s="250"/>
      <c r="B783" s="134" t="s">
        <v>3559</v>
      </c>
      <c r="C783" s="170"/>
      <c r="D783" s="126"/>
      <c r="E783" s="214"/>
      <c r="F783" s="127" t="s">
        <v>3560</v>
      </c>
      <c r="G783" s="128"/>
      <c r="H783" s="202"/>
      <c r="I783" s="216"/>
      <c r="J783" s="194"/>
      <c r="K783" s="194"/>
      <c r="L783" s="194"/>
      <c r="M783" s="194"/>
      <c r="N783" s="218"/>
      <c r="O783" s="192"/>
      <c r="P783" s="126" t="s">
        <v>3561</v>
      </c>
      <c r="Q783" s="33" t="s">
        <v>86</v>
      </c>
      <c r="R783" s="171"/>
      <c r="S783" s="175"/>
      <c r="T783" s="164"/>
      <c r="U783" s="35" t="s">
        <v>153</v>
      </c>
      <c r="V783" s="173"/>
      <c r="W783" s="46"/>
      <c r="X783" s="208"/>
      <c r="Y783" s="208"/>
      <c r="Z783" s="208"/>
      <c r="AA783" s="210"/>
      <c r="AB783" s="220"/>
    </row>
    <row r="784" spans="1:28" ht="18.600000000000001" thickTop="1">
      <c r="A784" s="249" t="s">
        <v>3562</v>
      </c>
      <c r="B784" s="121">
        <v>43484</v>
      </c>
      <c r="C784" s="166"/>
      <c r="D784" s="123" t="s">
        <v>3557</v>
      </c>
      <c r="E784" s="221"/>
      <c r="F784" s="124" t="s">
        <v>404</v>
      </c>
      <c r="G784" s="125" t="s">
        <v>3563</v>
      </c>
      <c r="H784" s="201"/>
      <c r="I784" s="215">
        <v>0</v>
      </c>
      <c r="J784" s="193"/>
      <c r="K784" s="193"/>
      <c r="L784" s="193"/>
      <c r="M784" s="193"/>
      <c r="N784" s="217">
        <f>SUM(I784:M785)</f>
        <v>0</v>
      </c>
      <c r="O784" s="191">
        <v>0</v>
      </c>
      <c r="P784" s="53" t="s">
        <v>3564</v>
      </c>
      <c r="Q784" s="29" t="s">
        <v>82</v>
      </c>
      <c r="R784" s="167"/>
      <c r="S784" s="168"/>
      <c r="T784" s="137"/>
      <c r="U784" s="30"/>
      <c r="V784" s="169"/>
      <c r="W784" s="52"/>
      <c r="X784" s="207"/>
      <c r="Y784" s="207"/>
      <c r="Z784" s="207"/>
      <c r="AA784" s="209">
        <f>SUM(X784:Z785)</f>
        <v>0</v>
      </c>
      <c r="AB784" s="219"/>
    </row>
    <row r="785" spans="1:28" ht="18.600000000000001" thickBot="1">
      <c r="A785" s="250"/>
      <c r="B785" s="134" t="s">
        <v>3565</v>
      </c>
      <c r="C785" s="170"/>
      <c r="D785" s="126"/>
      <c r="E785" s="214"/>
      <c r="F785" s="127" t="s">
        <v>3566</v>
      </c>
      <c r="G785" s="128"/>
      <c r="H785" s="202"/>
      <c r="I785" s="216"/>
      <c r="J785" s="194"/>
      <c r="K785" s="194"/>
      <c r="L785" s="194"/>
      <c r="M785" s="194"/>
      <c r="N785" s="218"/>
      <c r="O785" s="192"/>
      <c r="P785" s="126" t="s">
        <v>3567</v>
      </c>
      <c r="Q785" s="33" t="s">
        <v>86</v>
      </c>
      <c r="R785" s="171"/>
      <c r="S785" s="175"/>
      <c r="T785" s="164"/>
      <c r="U785" s="35" t="s">
        <v>122</v>
      </c>
      <c r="V785" s="173"/>
      <c r="W785" s="46"/>
      <c r="X785" s="208"/>
      <c r="Y785" s="208"/>
      <c r="Z785" s="208"/>
      <c r="AA785" s="210"/>
      <c r="AB785" s="220"/>
    </row>
    <row r="786" spans="1:28" ht="18.600000000000001" thickTop="1">
      <c r="A786" s="249" t="s">
        <v>3568</v>
      </c>
      <c r="B786" s="121">
        <v>43616</v>
      </c>
      <c r="C786" s="166"/>
      <c r="D786" s="123" t="s">
        <v>3569</v>
      </c>
      <c r="E786" s="221"/>
      <c r="F786" s="124" t="s">
        <v>3570</v>
      </c>
      <c r="G786" s="125"/>
      <c r="H786" s="201"/>
      <c r="I786" s="215">
        <v>1870000</v>
      </c>
      <c r="J786" s="193"/>
      <c r="K786" s="193">
        <v>21650</v>
      </c>
      <c r="L786" s="193"/>
      <c r="M786" s="193"/>
      <c r="N786" s="193">
        <f>SUM(I786:M787)</f>
        <v>1891650</v>
      </c>
      <c r="O786" s="191">
        <v>1200000</v>
      </c>
      <c r="P786" s="137" t="s">
        <v>3571</v>
      </c>
      <c r="Q786" s="29" t="s">
        <v>82</v>
      </c>
      <c r="R786" s="167"/>
      <c r="S786" s="168"/>
      <c r="T786" s="137" t="s">
        <v>3572</v>
      </c>
      <c r="U786" s="30"/>
      <c r="V786" s="176"/>
      <c r="W786" s="52"/>
      <c r="X786" s="207"/>
      <c r="Y786" s="207"/>
      <c r="Z786" s="207"/>
      <c r="AA786" s="207">
        <f>SUM(X786:Z787)</f>
        <v>0</v>
      </c>
      <c r="AB786" s="219"/>
    </row>
    <row r="787" spans="1:28" ht="18.600000000000001" thickBot="1">
      <c r="A787" s="250"/>
      <c r="B787" s="134" t="s">
        <v>3573</v>
      </c>
      <c r="C787" s="177"/>
      <c r="D787" s="126" t="s">
        <v>510</v>
      </c>
      <c r="E787" s="214"/>
      <c r="F787" s="127" t="s">
        <v>3574</v>
      </c>
      <c r="G787" s="128"/>
      <c r="H787" s="202"/>
      <c r="I787" s="216"/>
      <c r="J787" s="194"/>
      <c r="K787" s="194"/>
      <c r="L787" s="194"/>
      <c r="M787" s="194"/>
      <c r="N787" s="194"/>
      <c r="O787" s="222"/>
      <c r="P787" s="164" t="s">
        <v>3575</v>
      </c>
      <c r="Q787" s="33" t="s">
        <v>86</v>
      </c>
      <c r="R787" s="171"/>
      <c r="S787" s="175"/>
      <c r="T787" s="164"/>
      <c r="U787" s="35"/>
      <c r="V787" s="178"/>
      <c r="W787" s="46"/>
      <c r="X787" s="208"/>
      <c r="Y787" s="208"/>
      <c r="Z787" s="208"/>
      <c r="AA787" s="208"/>
      <c r="AB787" s="220"/>
    </row>
    <row r="788" spans="1:28" ht="18.600000000000001" thickTop="1">
      <c r="A788" s="249" t="s">
        <v>3576</v>
      </c>
      <c r="B788" s="121">
        <v>43745</v>
      </c>
      <c r="C788" s="166"/>
      <c r="D788" s="123" t="s">
        <v>3577</v>
      </c>
      <c r="E788" s="221"/>
      <c r="F788" s="124" t="s">
        <v>3578</v>
      </c>
      <c r="G788" s="125"/>
      <c r="H788" s="201"/>
      <c r="I788" s="215">
        <v>2070000</v>
      </c>
      <c r="J788" s="193">
        <v>16400</v>
      </c>
      <c r="K788" s="193">
        <v>17700</v>
      </c>
      <c r="L788" s="193"/>
      <c r="M788" s="193"/>
      <c r="N788" s="217">
        <f>SUM(I788:M789)</f>
        <v>2104100</v>
      </c>
      <c r="O788" s="191">
        <v>1200000</v>
      </c>
      <c r="P788" s="53" t="s">
        <v>3579</v>
      </c>
      <c r="Q788" s="29" t="s">
        <v>82</v>
      </c>
      <c r="R788" s="167"/>
      <c r="S788" s="168"/>
      <c r="T788" s="137" t="s">
        <v>3580</v>
      </c>
      <c r="U788" s="30"/>
      <c r="V788" s="169"/>
      <c r="W788" s="52"/>
      <c r="X788" s="207"/>
      <c r="Y788" s="207"/>
      <c r="Z788" s="207"/>
      <c r="AA788" s="209">
        <f>SUM(X788:Z789)</f>
        <v>0</v>
      </c>
      <c r="AB788" s="219"/>
    </row>
    <row r="789" spans="1:28" ht="18.600000000000001" thickBot="1">
      <c r="A789" s="250"/>
      <c r="B789" s="134" t="s">
        <v>3573</v>
      </c>
      <c r="C789" s="170"/>
      <c r="D789" s="126" t="s">
        <v>3581</v>
      </c>
      <c r="E789" s="214"/>
      <c r="F789" s="127" t="s">
        <v>3582</v>
      </c>
      <c r="G789" s="128">
        <v>43452</v>
      </c>
      <c r="H789" s="202"/>
      <c r="I789" s="216"/>
      <c r="J789" s="194"/>
      <c r="K789" s="194"/>
      <c r="L789" s="194"/>
      <c r="M789" s="194"/>
      <c r="N789" s="218"/>
      <c r="O789" s="192"/>
      <c r="P789" s="126" t="s">
        <v>3583</v>
      </c>
      <c r="Q789" s="33" t="s">
        <v>86</v>
      </c>
      <c r="R789" s="171"/>
      <c r="S789" s="175"/>
      <c r="T789" s="164"/>
      <c r="U789" s="35"/>
      <c r="V789" s="173"/>
      <c r="W789" s="46"/>
      <c r="X789" s="208"/>
      <c r="Y789" s="208"/>
      <c r="Z789" s="208"/>
      <c r="AA789" s="210"/>
      <c r="AB789" s="220"/>
    </row>
    <row r="790" spans="1:28" ht="18.600000000000001" thickTop="1">
      <c r="A790" s="249" t="s">
        <v>3584</v>
      </c>
      <c r="B790" s="121">
        <v>43763</v>
      </c>
      <c r="C790" s="166"/>
      <c r="D790" s="123" t="s">
        <v>3557</v>
      </c>
      <c r="E790" s="221"/>
      <c r="F790" s="124" t="s">
        <v>3585</v>
      </c>
      <c r="G790" s="125" t="s">
        <v>770</v>
      </c>
      <c r="H790" s="201"/>
      <c r="I790" s="215">
        <v>120000</v>
      </c>
      <c r="J790" s="193">
        <v>13100</v>
      </c>
      <c r="K790" s="193">
        <v>16890</v>
      </c>
      <c r="L790" s="193"/>
      <c r="M790" s="193"/>
      <c r="N790" s="217">
        <f>SUM(I790:M791)</f>
        <v>149990</v>
      </c>
      <c r="O790" s="191">
        <v>20000</v>
      </c>
      <c r="P790" s="53" t="s">
        <v>3586</v>
      </c>
      <c r="Q790" s="29" t="s">
        <v>82</v>
      </c>
      <c r="R790" s="167"/>
      <c r="S790" s="168"/>
      <c r="T790" s="50" t="s">
        <v>3587</v>
      </c>
      <c r="U790" s="30"/>
      <c r="V790" s="169"/>
      <c r="W790" s="52"/>
      <c r="X790" s="207"/>
      <c r="Y790" s="207"/>
      <c r="Z790" s="207"/>
      <c r="AA790" s="209">
        <f>SUM(X790:Z791)</f>
        <v>0</v>
      </c>
      <c r="AB790" s="219"/>
    </row>
    <row r="791" spans="1:28" ht="18.600000000000001" thickBot="1">
      <c r="A791" s="250"/>
      <c r="B791" s="134" t="s">
        <v>3573</v>
      </c>
      <c r="C791" s="170"/>
      <c r="D791" s="126" t="s">
        <v>3588</v>
      </c>
      <c r="E791" s="214"/>
      <c r="F791" s="127" t="s">
        <v>3589</v>
      </c>
      <c r="G791" s="128">
        <v>133268</v>
      </c>
      <c r="H791" s="202"/>
      <c r="I791" s="216"/>
      <c r="J791" s="194"/>
      <c r="K791" s="194"/>
      <c r="L791" s="194"/>
      <c r="M791" s="194"/>
      <c r="N791" s="218"/>
      <c r="O791" s="192"/>
      <c r="P791" s="126" t="s">
        <v>3590</v>
      </c>
      <c r="Q791" s="33" t="s">
        <v>86</v>
      </c>
      <c r="R791" s="171"/>
      <c r="S791" s="175"/>
      <c r="T791" s="46" t="s">
        <v>3591</v>
      </c>
      <c r="U791" s="35"/>
      <c r="V791" s="173"/>
      <c r="W791" s="46"/>
      <c r="X791" s="208"/>
      <c r="Y791" s="208"/>
      <c r="Z791" s="208"/>
      <c r="AA791" s="210"/>
      <c r="AB791" s="220"/>
    </row>
    <row r="792" spans="1:28" ht="18.600000000000001" thickTop="1">
      <c r="A792" s="249" t="s">
        <v>3592</v>
      </c>
      <c r="B792" s="121">
        <v>43837</v>
      </c>
      <c r="C792" s="166"/>
      <c r="D792" s="123" t="s">
        <v>514</v>
      </c>
      <c r="E792" s="221"/>
      <c r="F792" s="124" t="s">
        <v>3593</v>
      </c>
      <c r="G792" s="125"/>
      <c r="H792" s="201"/>
      <c r="I792" s="215">
        <v>1300000</v>
      </c>
      <c r="J792" s="193"/>
      <c r="K792" s="193">
        <v>16360</v>
      </c>
      <c r="L792" s="193"/>
      <c r="M792" s="193"/>
      <c r="N792" s="193">
        <f>SUM(I792:M793)</f>
        <v>1316360</v>
      </c>
      <c r="O792" s="191">
        <v>300000</v>
      </c>
      <c r="P792" s="137" t="s">
        <v>3594</v>
      </c>
      <c r="Q792" s="29" t="s">
        <v>82</v>
      </c>
      <c r="R792" s="167"/>
      <c r="S792" s="168"/>
      <c r="T792" s="137" t="s">
        <v>3595</v>
      </c>
      <c r="U792" s="30"/>
      <c r="V792" s="176"/>
      <c r="W792" s="52"/>
      <c r="X792" s="207"/>
      <c r="Y792" s="207"/>
      <c r="Z792" s="207"/>
      <c r="AA792" s="207">
        <f>SUM(X792:Z793)</f>
        <v>0</v>
      </c>
      <c r="AB792" s="219"/>
    </row>
    <row r="793" spans="1:28" ht="18.600000000000001" thickBot="1">
      <c r="A793" s="250"/>
      <c r="B793" s="134" t="s">
        <v>3596</v>
      </c>
      <c r="C793" s="177"/>
      <c r="D793" s="126" t="s">
        <v>593</v>
      </c>
      <c r="E793" s="214"/>
      <c r="F793" s="127" t="s">
        <v>3597</v>
      </c>
      <c r="G793" s="128">
        <v>40000</v>
      </c>
      <c r="H793" s="202"/>
      <c r="I793" s="216"/>
      <c r="J793" s="194"/>
      <c r="K793" s="194"/>
      <c r="L793" s="194"/>
      <c r="M793" s="194"/>
      <c r="N793" s="194"/>
      <c r="O793" s="192"/>
      <c r="P793" s="164" t="s">
        <v>3598</v>
      </c>
      <c r="Q793" s="33" t="s">
        <v>86</v>
      </c>
      <c r="R793" s="171"/>
      <c r="S793" s="175"/>
      <c r="T793" s="164"/>
      <c r="U793" s="35"/>
      <c r="V793" s="178"/>
      <c r="W793" s="46"/>
      <c r="X793" s="208"/>
      <c r="Y793" s="208"/>
      <c r="Z793" s="208"/>
      <c r="AA793" s="208"/>
      <c r="AB793" s="220"/>
    </row>
    <row r="794" spans="1:28" ht="18.600000000000001" thickTop="1">
      <c r="A794" s="249" t="s">
        <v>3599</v>
      </c>
      <c r="B794" s="121">
        <v>44065</v>
      </c>
      <c r="C794" s="166"/>
      <c r="D794" s="123" t="s">
        <v>3543</v>
      </c>
      <c r="E794" s="221"/>
      <c r="F794" s="124" t="s">
        <v>299</v>
      </c>
      <c r="G794" s="125" t="s">
        <v>3600</v>
      </c>
      <c r="H794" s="201"/>
      <c r="I794" s="215">
        <v>1720000</v>
      </c>
      <c r="J794" s="193">
        <v>23000</v>
      </c>
      <c r="K794" s="193">
        <v>18960</v>
      </c>
      <c r="L794" s="193"/>
      <c r="M794" s="193"/>
      <c r="N794" s="193">
        <f>SUM(I794:M795)</f>
        <v>1761960</v>
      </c>
      <c r="O794" s="191">
        <v>1400000</v>
      </c>
      <c r="P794" s="137" t="s">
        <v>3601</v>
      </c>
      <c r="Q794" s="29" t="s">
        <v>82</v>
      </c>
      <c r="R794" s="167"/>
      <c r="S794" s="168"/>
      <c r="T794" s="137" t="s">
        <v>3602</v>
      </c>
      <c r="U794" s="30"/>
      <c r="V794" s="176"/>
      <c r="W794" s="52"/>
      <c r="X794" s="207"/>
      <c r="Y794" s="207"/>
      <c r="Z794" s="207"/>
      <c r="AA794" s="207">
        <f>SUM(X794:Z795)</f>
        <v>0</v>
      </c>
      <c r="AB794" s="219"/>
    </row>
    <row r="795" spans="1:28" ht="18.600000000000001" thickBot="1">
      <c r="A795" s="250"/>
      <c r="B795" s="134" t="s">
        <v>3573</v>
      </c>
      <c r="C795" s="177"/>
      <c r="D795" s="126" t="s">
        <v>3603</v>
      </c>
      <c r="E795" s="214"/>
      <c r="F795" s="127" t="s">
        <v>3604</v>
      </c>
      <c r="G795" s="128">
        <v>33335</v>
      </c>
      <c r="H795" s="202"/>
      <c r="I795" s="216"/>
      <c r="J795" s="194"/>
      <c r="K795" s="194"/>
      <c r="L795" s="194"/>
      <c r="M795" s="194"/>
      <c r="N795" s="194"/>
      <c r="O795" s="192"/>
      <c r="P795" s="164" t="s">
        <v>3605</v>
      </c>
      <c r="Q795" s="33" t="s">
        <v>86</v>
      </c>
      <c r="R795" s="171"/>
      <c r="S795" s="175"/>
      <c r="T795" s="164"/>
      <c r="U795" s="35"/>
      <c r="V795" s="178"/>
      <c r="W795" s="46"/>
      <c r="X795" s="208"/>
      <c r="Y795" s="208"/>
      <c r="Z795" s="208"/>
      <c r="AA795" s="208"/>
      <c r="AB795" s="220"/>
    </row>
    <row r="796" spans="1:28" ht="18.600000000000001" thickTop="1">
      <c r="A796" s="249" t="s">
        <v>3606</v>
      </c>
      <c r="B796" s="121">
        <v>44126</v>
      </c>
      <c r="C796" s="166"/>
      <c r="D796" s="123" t="s">
        <v>3543</v>
      </c>
      <c r="E796" s="221"/>
      <c r="F796" s="124" t="s">
        <v>3585</v>
      </c>
      <c r="G796" s="125" t="s">
        <v>3600</v>
      </c>
      <c r="H796" s="201"/>
      <c r="I796" s="215">
        <v>2120000</v>
      </c>
      <c r="J796" s="193">
        <v>14300</v>
      </c>
      <c r="K796" s="193">
        <v>19440</v>
      </c>
      <c r="L796" s="193"/>
      <c r="M796" s="193"/>
      <c r="N796" s="193">
        <f>SUM(I796:M797)</f>
        <v>2153740</v>
      </c>
      <c r="O796" s="191">
        <v>1400000</v>
      </c>
      <c r="P796" s="137" t="s">
        <v>3607</v>
      </c>
      <c r="Q796" s="29" t="s">
        <v>82</v>
      </c>
      <c r="R796" s="167"/>
      <c r="S796" s="168"/>
      <c r="T796" s="137" t="s">
        <v>3602</v>
      </c>
      <c r="U796" s="30"/>
      <c r="V796" s="176"/>
      <c r="W796" s="52"/>
      <c r="X796" s="207"/>
      <c r="Y796" s="207"/>
      <c r="Z796" s="207"/>
      <c r="AA796" s="207">
        <f>SUM(X796:Z797)</f>
        <v>0</v>
      </c>
      <c r="AB796" s="219"/>
    </row>
    <row r="797" spans="1:28" ht="18.600000000000001" thickBot="1">
      <c r="A797" s="250"/>
      <c r="B797" s="134" t="s">
        <v>3573</v>
      </c>
      <c r="C797" s="177"/>
      <c r="D797" s="126" t="s">
        <v>3608</v>
      </c>
      <c r="E797" s="214"/>
      <c r="F797" s="127" t="s">
        <v>3609</v>
      </c>
      <c r="G797" s="128">
        <v>32899</v>
      </c>
      <c r="H797" s="202"/>
      <c r="I797" s="216"/>
      <c r="J797" s="194"/>
      <c r="K797" s="194"/>
      <c r="L797" s="194"/>
      <c r="M797" s="194"/>
      <c r="N797" s="194"/>
      <c r="O797" s="192"/>
      <c r="P797" s="164" t="s">
        <v>3610</v>
      </c>
      <c r="Q797" s="33" t="s">
        <v>86</v>
      </c>
      <c r="R797" s="171"/>
      <c r="S797" s="175"/>
      <c r="T797" s="164"/>
      <c r="U797" s="35"/>
      <c r="V797" s="178"/>
      <c r="W797" s="46"/>
      <c r="X797" s="208"/>
      <c r="Y797" s="208"/>
      <c r="Z797" s="208"/>
      <c r="AA797" s="208"/>
      <c r="AB797" s="220"/>
    </row>
    <row r="798" spans="1:28" ht="18.600000000000001" thickTop="1">
      <c r="A798" s="249" t="s">
        <v>3611</v>
      </c>
      <c r="B798" s="121">
        <v>44140</v>
      </c>
      <c r="C798" s="166"/>
      <c r="D798" s="123" t="s">
        <v>3569</v>
      </c>
      <c r="E798" s="221"/>
      <c r="F798" s="124" t="s">
        <v>404</v>
      </c>
      <c r="G798" s="125" t="s">
        <v>921</v>
      </c>
      <c r="H798" s="201"/>
      <c r="I798" s="215">
        <v>2030000</v>
      </c>
      <c r="J798" s="193">
        <v>13100</v>
      </c>
      <c r="K798" s="193">
        <v>18960</v>
      </c>
      <c r="L798" s="193"/>
      <c r="M798" s="193"/>
      <c r="N798" s="193">
        <f>SUM(I798:M799)</f>
        <v>2062060</v>
      </c>
      <c r="O798" s="191">
        <v>1500000</v>
      </c>
      <c r="P798" s="137" t="s">
        <v>3612</v>
      </c>
      <c r="Q798" s="29" t="s">
        <v>82</v>
      </c>
      <c r="R798" s="167"/>
      <c r="S798" s="168"/>
      <c r="T798" s="137" t="s">
        <v>3613</v>
      </c>
      <c r="U798" s="30"/>
      <c r="V798" s="176"/>
      <c r="W798" s="52"/>
      <c r="X798" s="207"/>
      <c r="Y798" s="207"/>
      <c r="Z798" s="207"/>
      <c r="AA798" s="207">
        <f>SUM(X798:Z799)</f>
        <v>0</v>
      </c>
      <c r="AB798" s="219"/>
    </row>
    <row r="799" spans="1:28" ht="18.600000000000001" thickBot="1">
      <c r="A799" s="250"/>
      <c r="B799" s="134" t="s">
        <v>3573</v>
      </c>
      <c r="C799" s="177"/>
      <c r="D799" s="126" t="s">
        <v>3614</v>
      </c>
      <c r="E799" s="214"/>
      <c r="F799" s="127" t="s">
        <v>3615</v>
      </c>
      <c r="G799" s="128">
        <v>36020</v>
      </c>
      <c r="H799" s="202"/>
      <c r="I799" s="216"/>
      <c r="J799" s="194"/>
      <c r="K799" s="194"/>
      <c r="L799" s="194"/>
      <c r="M799" s="194"/>
      <c r="N799" s="194"/>
      <c r="O799" s="192"/>
      <c r="P799" s="164" t="s">
        <v>3616</v>
      </c>
      <c r="Q799" s="33" t="s">
        <v>86</v>
      </c>
      <c r="R799" s="171"/>
      <c r="S799" s="175"/>
      <c r="T799" s="164"/>
      <c r="U799" s="35"/>
      <c r="V799" s="178"/>
      <c r="W799" s="46"/>
      <c r="X799" s="208"/>
      <c r="Y799" s="208"/>
      <c r="Z799" s="208"/>
      <c r="AA799" s="208"/>
      <c r="AB799" s="220"/>
    </row>
    <row r="800" spans="1:28" ht="18.600000000000001" thickTop="1">
      <c r="A800" s="249" t="s">
        <v>3617</v>
      </c>
      <c r="B800" s="121">
        <v>44156</v>
      </c>
      <c r="C800" s="166"/>
      <c r="D800" s="123" t="s">
        <v>3550</v>
      </c>
      <c r="E800" s="221"/>
      <c r="F800" s="124" t="s">
        <v>3618</v>
      </c>
      <c r="G800" s="125" t="s">
        <v>3619</v>
      </c>
      <c r="H800" s="201"/>
      <c r="I800" s="215">
        <v>2000000</v>
      </c>
      <c r="J800" s="193">
        <v>11500</v>
      </c>
      <c r="K800" s="193">
        <v>19440</v>
      </c>
      <c r="L800" s="193"/>
      <c r="M800" s="193"/>
      <c r="N800" s="193">
        <f>SUM(I800:M801)</f>
        <v>2030940</v>
      </c>
      <c r="O800" s="191">
        <v>1600000</v>
      </c>
      <c r="P800" s="137" t="s">
        <v>3620</v>
      </c>
      <c r="Q800" s="29" t="s">
        <v>82</v>
      </c>
      <c r="R800" s="167"/>
      <c r="S800" s="168"/>
      <c r="T800" s="137" t="s">
        <v>3621</v>
      </c>
      <c r="U800" s="30" t="s">
        <v>3622</v>
      </c>
      <c r="V800" s="176"/>
      <c r="W800" s="52"/>
      <c r="X800" s="207"/>
      <c r="Y800" s="207"/>
      <c r="Z800" s="207"/>
      <c r="AA800" s="207">
        <f>SUM(X800:Z801)</f>
        <v>0</v>
      </c>
      <c r="AB800" s="219"/>
    </row>
    <row r="801" spans="1:28" ht="18.600000000000001" thickBot="1">
      <c r="A801" s="250"/>
      <c r="B801" s="32" t="s">
        <v>3623</v>
      </c>
      <c r="C801" s="177"/>
      <c r="D801" s="126" t="s">
        <v>3624</v>
      </c>
      <c r="E801" s="214"/>
      <c r="F801" s="127" t="s">
        <v>3625</v>
      </c>
      <c r="G801" s="128"/>
      <c r="H801" s="202"/>
      <c r="I801" s="216"/>
      <c r="J801" s="194"/>
      <c r="K801" s="194"/>
      <c r="L801" s="194"/>
      <c r="M801" s="194"/>
      <c r="N801" s="194"/>
      <c r="O801" s="192"/>
      <c r="P801" s="164" t="s">
        <v>3626</v>
      </c>
      <c r="Q801" s="33" t="s">
        <v>86</v>
      </c>
      <c r="R801" s="171"/>
      <c r="S801" s="175"/>
      <c r="T801" s="164"/>
      <c r="U801" s="35" t="s">
        <v>1100</v>
      </c>
      <c r="V801" s="178"/>
      <c r="W801" s="46"/>
      <c r="X801" s="208"/>
      <c r="Y801" s="208"/>
      <c r="Z801" s="208"/>
      <c r="AA801" s="208"/>
      <c r="AB801" s="220"/>
    </row>
    <row r="802" spans="1:28" ht="18.600000000000001" thickTop="1">
      <c r="A802" s="249" t="s">
        <v>3627</v>
      </c>
      <c r="B802" s="121">
        <v>44233</v>
      </c>
      <c r="C802" s="166"/>
      <c r="D802" s="123" t="s">
        <v>3557</v>
      </c>
      <c r="E802" s="221"/>
      <c r="F802" s="124" t="s">
        <v>3618</v>
      </c>
      <c r="G802" s="125" t="s">
        <v>3619</v>
      </c>
      <c r="H802" s="201"/>
      <c r="I802" s="215">
        <v>30000</v>
      </c>
      <c r="J802" s="193"/>
      <c r="K802" s="193"/>
      <c r="L802" s="193"/>
      <c r="M802" s="193"/>
      <c r="N802" s="193">
        <f>SUM(I802:M803)</f>
        <v>30000</v>
      </c>
      <c r="O802" s="191">
        <v>30000</v>
      </c>
      <c r="P802" s="137" t="s">
        <v>3628</v>
      </c>
      <c r="Q802" s="29" t="s">
        <v>82</v>
      </c>
      <c r="R802" s="167"/>
      <c r="S802" s="168"/>
      <c r="T802" s="137"/>
      <c r="U802" s="30"/>
      <c r="V802" s="176"/>
      <c r="W802" s="52"/>
      <c r="X802" s="207"/>
      <c r="Y802" s="207"/>
      <c r="Z802" s="207"/>
      <c r="AA802" s="207">
        <f>SUM(X802:Z803)</f>
        <v>0</v>
      </c>
      <c r="AB802" s="219"/>
    </row>
    <row r="803" spans="1:28" ht="18.600000000000001" thickBot="1">
      <c r="A803" s="250"/>
      <c r="B803" s="134" t="s">
        <v>3629</v>
      </c>
      <c r="C803" s="177"/>
      <c r="D803" s="126" t="s">
        <v>3630</v>
      </c>
      <c r="E803" s="214"/>
      <c r="F803" s="127" t="s">
        <v>3631</v>
      </c>
      <c r="G803" s="128"/>
      <c r="H803" s="202"/>
      <c r="I803" s="216"/>
      <c r="J803" s="194"/>
      <c r="K803" s="194"/>
      <c r="L803" s="194"/>
      <c r="M803" s="194"/>
      <c r="N803" s="194"/>
      <c r="O803" s="192"/>
      <c r="P803" s="164" t="s">
        <v>3632</v>
      </c>
      <c r="Q803" s="33" t="s">
        <v>86</v>
      </c>
      <c r="R803" s="171"/>
      <c r="S803" s="175"/>
      <c r="T803" s="164"/>
      <c r="U803" s="35" t="s">
        <v>153</v>
      </c>
      <c r="V803" s="178"/>
      <c r="W803" s="46"/>
      <c r="X803" s="208"/>
      <c r="Y803" s="208"/>
      <c r="Z803" s="208"/>
      <c r="AA803" s="208"/>
      <c r="AB803" s="220"/>
    </row>
    <row r="804" spans="1:28" ht="18.600000000000001" thickTop="1">
      <c r="A804" s="249" t="s">
        <v>3633</v>
      </c>
      <c r="B804" s="121">
        <v>44309</v>
      </c>
      <c r="C804" s="166"/>
      <c r="D804" s="123" t="s">
        <v>988</v>
      </c>
      <c r="E804" s="221"/>
      <c r="F804" s="124" t="s">
        <v>404</v>
      </c>
      <c r="G804" s="125" t="s">
        <v>1213</v>
      </c>
      <c r="H804" s="201"/>
      <c r="I804" s="215">
        <v>1200000</v>
      </c>
      <c r="J804" s="193"/>
      <c r="K804" s="193"/>
      <c r="L804" s="193"/>
      <c r="M804" s="193"/>
      <c r="N804" s="193">
        <f>SUM(I804:M805)</f>
        <v>1200000</v>
      </c>
      <c r="O804" s="191">
        <v>800000</v>
      </c>
      <c r="P804" s="137" t="s">
        <v>3634</v>
      </c>
      <c r="Q804" s="29" t="s">
        <v>82</v>
      </c>
      <c r="R804" s="167"/>
      <c r="S804" s="168"/>
      <c r="T804" s="137"/>
      <c r="U804" s="30"/>
      <c r="V804" s="176"/>
      <c r="W804" s="52"/>
      <c r="X804" s="207"/>
      <c r="Y804" s="207"/>
      <c r="Z804" s="207"/>
      <c r="AA804" s="207">
        <f>SUM(X804:Z805)</f>
        <v>0</v>
      </c>
      <c r="AB804" s="219"/>
    </row>
    <row r="805" spans="1:28" ht="18.600000000000001" thickBot="1">
      <c r="A805" s="250"/>
      <c r="B805" s="134" t="s">
        <v>3635</v>
      </c>
      <c r="C805" s="177"/>
      <c r="D805" s="126" t="s">
        <v>3636</v>
      </c>
      <c r="E805" s="214"/>
      <c r="F805" s="127" t="s">
        <v>3637</v>
      </c>
      <c r="G805" s="128"/>
      <c r="H805" s="202"/>
      <c r="I805" s="216"/>
      <c r="J805" s="194"/>
      <c r="K805" s="194"/>
      <c r="L805" s="194"/>
      <c r="M805" s="194"/>
      <c r="N805" s="194"/>
      <c r="O805" s="192"/>
      <c r="P805" s="164" t="s">
        <v>3638</v>
      </c>
      <c r="Q805" s="33" t="s">
        <v>86</v>
      </c>
      <c r="R805" s="171"/>
      <c r="S805" s="175"/>
      <c r="T805" s="164"/>
      <c r="U805" s="35" t="s">
        <v>122</v>
      </c>
      <c r="V805" s="178"/>
      <c r="W805" s="46"/>
      <c r="X805" s="208"/>
      <c r="Y805" s="208"/>
      <c r="Z805" s="208"/>
      <c r="AA805" s="208"/>
      <c r="AB805" s="220"/>
    </row>
    <row r="806" spans="1:28" ht="18.600000000000001" thickTop="1">
      <c r="A806" s="249" t="s">
        <v>3639</v>
      </c>
      <c r="B806" s="121">
        <v>44354</v>
      </c>
      <c r="C806" s="166"/>
      <c r="D806" s="123" t="s">
        <v>3640</v>
      </c>
      <c r="E806" s="213" t="s">
        <v>282</v>
      </c>
      <c r="F806" s="124" t="s">
        <v>3641</v>
      </c>
      <c r="G806" s="125" t="s">
        <v>1733</v>
      </c>
      <c r="H806" s="201"/>
      <c r="I806" s="215">
        <v>3200000</v>
      </c>
      <c r="J806" s="193"/>
      <c r="K806" s="193"/>
      <c r="L806" s="193"/>
      <c r="M806" s="193"/>
      <c r="N806" s="193">
        <f>SUM(I806:M807)</f>
        <v>3200000</v>
      </c>
      <c r="O806" s="191"/>
      <c r="P806" s="137" t="s">
        <v>3642</v>
      </c>
      <c r="Q806" s="29" t="s">
        <v>82</v>
      </c>
      <c r="R806" s="167"/>
      <c r="S806" s="168"/>
      <c r="T806" s="137" t="s">
        <v>3643</v>
      </c>
      <c r="U806" s="30" t="s">
        <v>3644</v>
      </c>
      <c r="V806" s="176"/>
      <c r="W806" s="52"/>
      <c r="X806" s="207"/>
      <c r="Y806" s="207"/>
      <c r="Z806" s="207"/>
      <c r="AA806" s="207">
        <f>SUM(X806:Z807)</f>
        <v>0</v>
      </c>
      <c r="AB806" s="219"/>
    </row>
    <row r="807" spans="1:28" ht="18.600000000000001" thickBot="1">
      <c r="A807" s="250"/>
      <c r="B807" s="134" t="s">
        <v>3573</v>
      </c>
      <c r="C807" s="177"/>
      <c r="D807" s="126" t="s">
        <v>593</v>
      </c>
      <c r="E807" s="214"/>
      <c r="F807" s="127" t="s">
        <v>3645</v>
      </c>
      <c r="G807" s="128"/>
      <c r="H807" s="202"/>
      <c r="I807" s="216"/>
      <c r="J807" s="194"/>
      <c r="K807" s="194"/>
      <c r="L807" s="194"/>
      <c r="M807" s="194"/>
      <c r="N807" s="194"/>
      <c r="O807" s="192"/>
      <c r="P807" s="164" t="s">
        <v>3646</v>
      </c>
      <c r="Q807" s="33" t="s">
        <v>86</v>
      </c>
      <c r="R807" s="171"/>
      <c r="S807" s="175"/>
      <c r="T807" s="164"/>
      <c r="U807" s="35"/>
      <c r="V807" s="178"/>
      <c r="W807" s="46"/>
      <c r="X807" s="208"/>
      <c r="Y807" s="208"/>
      <c r="Z807" s="208"/>
      <c r="AA807" s="208"/>
      <c r="AB807" s="220"/>
    </row>
    <row r="808" spans="1:28" ht="18.600000000000001" thickTop="1">
      <c r="A808" s="249" t="s">
        <v>3647</v>
      </c>
      <c r="B808" s="121">
        <v>44404</v>
      </c>
      <c r="C808" s="166"/>
      <c r="D808" s="123" t="s">
        <v>3569</v>
      </c>
      <c r="E808" s="221"/>
      <c r="F808" s="124" t="s">
        <v>3648</v>
      </c>
      <c r="G808" s="125"/>
      <c r="H808" s="201"/>
      <c r="I808" s="215">
        <v>1800000</v>
      </c>
      <c r="J808" s="193"/>
      <c r="K808" s="193"/>
      <c r="L808" s="193"/>
      <c r="M808" s="193"/>
      <c r="N808" s="193">
        <f>SUM(I808:M809)</f>
        <v>1800000</v>
      </c>
      <c r="O808" s="191">
        <v>1600000</v>
      </c>
      <c r="P808" s="137" t="s">
        <v>3649</v>
      </c>
      <c r="Q808" s="29" t="s">
        <v>82</v>
      </c>
      <c r="R808" s="167"/>
      <c r="S808" s="168"/>
      <c r="T808" s="137"/>
      <c r="U808" s="30"/>
      <c r="V808" s="176"/>
      <c r="W808" s="52"/>
      <c r="X808" s="207"/>
      <c r="Y808" s="207"/>
      <c r="Z808" s="207"/>
      <c r="AA808" s="207">
        <f>SUM(X808:Z809)</f>
        <v>0</v>
      </c>
      <c r="AB808" s="219"/>
    </row>
    <row r="809" spans="1:28" ht="18.600000000000001" thickBot="1">
      <c r="A809" s="250"/>
      <c r="B809" s="134" t="s">
        <v>3526</v>
      </c>
      <c r="C809" s="177"/>
      <c r="D809" s="31" t="s">
        <v>2133</v>
      </c>
      <c r="E809" s="214"/>
      <c r="F809" s="127" t="s">
        <v>3650</v>
      </c>
      <c r="G809" s="128"/>
      <c r="H809" s="202"/>
      <c r="I809" s="216"/>
      <c r="J809" s="194"/>
      <c r="K809" s="194"/>
      <c r="L809" s="194"/>
      <c r="M809" s="194"/>
      <c r="N809" s="194"/>
      <c r="O809" s="192"/>
      <c r="P809" s="164" t="s">
        <v>3651</v>
      </c>
      <c r="Q809" s="33" t="s">
        <v>86</v>
      </c>
      <c r="R809" s="171"/>
      <c r="S809" s="175"/>
      <c r="T809" s="164"/>
      <c r="U809" s="35" t="s">
        <v>1254</v>
      </c>
      <c r="V809" s="178"/>
      <c r="W809" s="46"/>
      <c r="X809" s="208"/>
      <c r="Y809" s="208"/>
      <c r="Z809" s="208"/>
      <c r="AA809" s="208"/>
      <c r="AB809" s="220"/>
    </row>
    <row r="810" spans="1:28" ht="18.600000000000001" thickTop="1">
      <c r="A810" s="249" t="s">
        <v>3652</v>
      </c>
      <c r="B810" s="121">
        <v>44446</v>
      </c>
      <c r="C810" s="166"/>
      <c r="D810" s="111" t="s">
        <v>3029</v>
      </c>
      <c r="E810" s="221"/>
      <c r="F810" s="124" t="s">
        <v>3653</v>
      </c>
      <c r="G810" s="125"/>
      <c r="H810" s="201"/>
      <c r="I810" s="215">
        <v>1580000</v>
      </c>
      <c r="J810" s="193"/>
      <c r="K810" s="193">
        <v>19440</v>
      </c>
      <c r="L810" s="193"/>
      <c r="M810" s="193"/>
      <c r="N810" s="193">
        <f>SUM(I810:M811)</f>
        <v>1599440</v>
      </c>
      <c r="O810" s="191">
        <v>1450000</v>
      </c>
      <c r="P810" s="50" t="s">
        <v>3654</v>
      </c>
      <c r="Q810" s="29" t="s">
        <v>82</v>
      </c>
      <c r="R810" s="167"/>
      <c r="S810" s="168"/>
      <c r="T810" s="137" t="s">
        <v>3643</v>
      </c>
      <c r="U810" s="30"/>
      <c r="V810" s="176"/>
      <c r="W810" s="52"/>
      <c r="X810" s="207"/>
      <c r="Y810" s="207"/>
      <c r="Z810" s="207"/>
      <c r="AA810" s="207">
        <f>SUM(X810:Z811)</f>
        <v>0</v>
      </c>
      <c r="AB810" s="219"/>
    </row>
    <row r="811" spans="1:28" ht="18.600000000000001" thickBot="1">
      <c r="A811" s="250"/>
      <c r="B811" s="32" t="s">
        <v>3623</v>
      </c>
      <c r="C811" s="177"/>
      <c r="D811" s="31" t="s">
        <v>3655</v>
      </c>
      <c r="E811" s="214"/>
      <c r="F811" s="127" t="s">
        <v>3656</v>
      </c>
      <c r="G811" s="128">
        <v>43427</v>
      </c>
      <c r="H811" s="202"/>
      <c r="I811" s="216"/>
      <c r="J811" s="194"/>
      <c r="K811" s="194"/>
      <c r="L811" s="194"/>
      <c r="M811" s="194"/>
      <c r="N811" s="194"/>
      <c r="O811" s="192"/>
      <c r="P811" s="46" t="s">
        <v>3657</v>
      </c>
      <c r="Q811" s="33" t="s">
        <v>86</v>
      </c>
      <c r="R811" s="171"/>
      <c r="S811" s="175"/>
      <c r="T811" s="164"/>
      <c r="U811" s="35" t="s">
        <v>216</v>
      </c>
      <c r="V811" s="178"/>
      <c r="W811" s="46"/>
      <c r="X811" s="208"/>
      <c r="Y811" s="208"/>
      <c r="Z811" s="208"/>
      <c r="AA811" s="208"/>
      <c r="AB811" s="220"/>
    </row>
    <row r="812" spans="1:28" ht="18.600000000000001" thickTop="1">
      <c r="A812" s="249" t="s">
        <v>3658</v>
      </c>
      <c r="B812" s="121">
        <v>44425</v>
      </c>
      <c r="C812" s="166"/>
      <c r="D812" s="111" t="s">
        <v>3659</v>
      </c>
      <c r="E812" s="213" t="s">
        <v>282</v>
      </c>
      <c r="F812" s="124" t="s">
        <v>3660</v>
      </c>
      <c r="G812" s="117" t="s">
        <v>2440</v>
      </c>
      <c r="H812" s="201"/>
      <c r="I812" s="215">
        <v>4712650</v>
      </c>
      <c r="J812" s="193">
        <v>27770</v>
      </c>
      <c r="K812" s="193"/>
      <c r="L812" s="193"/>
      <c r="M812" s="193"/>
      <c r="N812" s="193">
        <f>SUM(I812:M813)</f>
        <v>4740420</v>
      </c>
      <c r="O812" s="191"/>
      <c r="P812" s="50" t="s">
        <v>3661</v>
      </c>
      <c r="Q812" s="29" t="s">
        <v>82</v>
      </c>
      <c r="R812" s="167"/>
      <c r="S812" s="168"/>
      <c r="T812" s="137"/>
      <c r="U812" s="30" t="s">
        <v>3662</v>
      </c>
      <c r="V812" s="176"/>
      <c r="W812" s="52"/>
      <c r="X812" s="207"/>
      <c r="Y812" s="207"/>
      <c r="Z812" s="207"/>
      <c r="AA812" s="207">
        <f>SUM(X812:Z813)</f>
        <v>0</v>
      </c>
      <c r="AB812" s="219"/>
    </row>
    <row r="813" spans="1:28" ht="18.600000000000001" thickBot="1">
      <c r="A813" s="250"/>
      <c r="B813" s="32" t="s">
        <v>3663</v>
      </c>
      <c r="C813" s="177"/>
      <c r="D813" s="31" t="s">
        <v>3664</v>
      </c>
      <c r="E813" s="214"/>
      <c r="F813" s="127" t="s">
        <v>3665</v>
      </c>
      <c r="G813" s="128"/>
      <c r="H813" s="202"/>
      <c r="I813" s="216"/>
      <c r="J813" s="194"/>
      <c r="K813" s="194"/>
      <c r="L813" s="194"/>
      <c r="M813" s="194"/>
      <c r="N813" s="194"/>
      <c r="O813" s="192"/>
      <c r="P813" s="46" t="s">
        <v>3666</v>
      </c>
      <c r="Q813" s="33" t="s">
        <v>86</v>
      </c>
      <c r="R813" s="171"/>
      <c r="S813" s="172"/>
      <c r="T813" s="164"/>
      <c r="U813" s="35"/>
      <c r="V813" s="178"/>
      <c r="W813" s="46"/>
      <c r="X813" s="208"/>
      <c r="Y813" s="208"/>
      <c r="Z813" s="208"/>
      <c r="AA813" s="208"/>
      <c r="AB813" s="220"/>
    </row>
    <row r="814" spans="1:28" ht="18.600000000000001" thickTop="1">
      <c r="A814" s="249" t="s">
        <v>3667</v>
      </c>
      <c r="B814" s="121">
        <v>44470</v>
      </c>
      <c r="C814" s="166"/>
      <c r="D814" s="111" t="s">
        <v>3029</v>
      </c>
      <c r="E814" s="221"/>
      <c r="F814" s="124" t="s">
        <v>2318</v>
      </c>
      <c r="G814" s="117" t="s">
        <v>3483</v>
      </c>
      <c r="H814" s="201"/>
      <c r="I814" s="215">
        <v>1770000</v>
      </c>
      <c r="J814" s="193"/>
      <c r="K814" s="193">
        <v>17490</v>
      </c>
      <c r="L814" s="193"/>
      <c r="M814" s="193"/>
      <c r="N814" s="193">
        <f>SUM(I814:M815)</f>
        <v>1787490</v>
      </c>
      <c r="O814" s="191"/>
      <c r="P814" s="50" t="s">
        <v>3668</v>
      </c>
      <c r="Q814" s="29" t="s">
        <v>82</v>
      </c>
      <c r="R814" s="167"/>
      <c r="S814" s="168"/>
      <c r="T814" s="137"/>
      <c r="U814" s="30" t="s">
        <v>3669</v>
      </c>
      <c r="V814" s="176"/>
      <c r="W814" s="52" t="s">
        <v>3670</v>
      </c>
      <c r="X814" s="207"/>
      <c r="Y814" s="207"/>
      <c r="Z814" s="207"/>
      <c r="AA814" s="207">
        <f>SUM(X814:Z815)</f>
        <v>0</v>
      </c>
      <c r="AB814" s="219"/>
    </row>
    <row r="815" spans="1:28" ht="18.600000000000001" thickBot="1">
      <c r="A815" s="250"/>
      <c r="B815" s="32" t="s">
        <v>3671</v>
      </c>
      <c r="C815" s="177"/>
      <c r="D815" s="179" t="s">
        <v>3672</v>
      </c>
      <c r="E815" s="214"/>
      <c r="F815" s="127" t="s">
        <v>3673</v>
      </c>
      <c r="G815" s="128">
        <v>43049</v>
      </c>
      <c r="H815" s="202"/>
      <c r="I815" s="216"/>
      <c r="J815" s="194"/>
      <c r="K815" s="194"/>
      <c r="L815" s="194"/>
      <c r="M815" s="194"/>
      <c r="N815" s="194"/>
      <c r="O815" s="192"/>
      <c r="P815" s="46" t="s">
        <v>3674</v>
      </c>
      <c r="Q815" s="33" t="s">
        <v>86</v>
      </c>
      <c r="R815" s="171"/>
      <c r="S815" s="172"/>
      <c r="T815" s="164"/>
      <c r="U815" s="35"/>
      <c r="V815" s="178"/>
      <c r="W815" s="46"/>
      <c r="X815" s="208"/>
      <c r="Y815" s="208"/>
      <c r="Z815" s="208"/>
      <c r="AA815" s="208"/>
      <c r="AB815" s="220"/>
    </row>
    <row r="816" spans="1:28" ht="18.600000000000001" thickTop="1">
      <c r="A816" s="249" t="s">
        <v>3675</v>
      </c>
      <c r="B816" s="121">
        <v>44481</v>
      </c>
      <c r="C816" s="166"/>
      <c r="D816" s="111" t="s">
        <v>3676</v>
      </c>
      <c r="E816" s="221"/>
      <c r="F816" s="124" t="s">
        <v>3677</v>
      </c>
      <c r="G816" s="117" t="s">
        <v>3421</v>
      </c>
      <c r="H816" s="201"/>
      <c r="I816" s="215">
        <v>0</v>
      </c>
      <c r="J816" s="193"/>
      <c r="K816" s="193"/>
      <c r="L816" s="193"/>
      <c r="M816" s="193"/>
      <c r="N816" s="193">
        <f>SUM(I816:M817)</f>
        <v>0</v>
      </c>
      <c r="O816" s="191">
        <v>0</v>
      </c>
      <c r="P816" s="50" t="s">
        <v>3678</v>
      </c>
      <c r="Q816" s="29" t="s">
        <v>82</v>
      </c>
      <c r="R816" s="167"/>
      <c r="S816" s="168"/>
      <c r="T816" s="137"/>
      <c r="U816" s="30"/>
      <c r="V816" s="176"/>
      <c r="W816" s="52"/>
      <c r="X816" s="207"/>
      <c r="Y816" s="207"/>
      <c r="Z816" s="207"/>
      <c r="AA816" s="207">
        <f>SUM(X816:Z817)</f>
        <v>0</v>
      </c>
      <c r="AB816" s="219"/>
    </row>
    <row r="817" spans="1:28" ht="18.600000000000001" thickBot="1">
      <c r="A817" s="250"/>
      <c r="B817" s="32" t="s">
        <v>3679</v>
      </c>
      <c r="C817" s="177"/>
      <c r="D817" s="126"/>
      <c r="E817" s="214"/>
      <c r="F817" s="127" t="s">
        <v>3680</v>
      </c>
      <c r="G817" s="128"/>
      <c r="H817" s="202"/>
      <c r="I817" s="216"/>
      <c r="J817" s="194"/>
      <c r="K817" s="194"/>
      <c r="L817" s="194"/>
      <c r="M817" s="194"/>
      <c r="N817" s="194"/>
      <c r="O817" s="192"/>
      <c r="P817" s="46" t="s">
        <v>3681</v>
      </c>
      <c r="Q817" s="33" t="s">
        <v>86</v>
      </c>
      <c r="R817" s="171"/>
      <c r="S817" s="172"/>
      <c r="T817" s="164"/>
      <c r="U817" s="35" t="s">
        <v>216</v>
      </c>
      <c r="V817" s="178"/>
      <c r="W817" s="46"/>
      <c r="X817" s="208"/>
      <c r="Y817" s="208"/>
      <c r="Z817" s="208"/>
      <c r="AA817" s="208"/>
      <c r="AB817" s="220"/>
    </row>
    <row r="818" spans="1:28" ht="18.600000000000001" thickTop="1">
      <c r="A818" s="249" t="s">
        <v>3682</v>
      </c>
      <c r="B818" s="121">
        <v>44602</v>
      </c>
      <c r="C818" s="166"/>
      <c r="D818" s="111" t="s">
        <v>3683</v>
      </c>
      <c r="E818" s="221"/>
      <c r="F818" s="124" t="s">
        <v>3469</v>
      </c>
      <c r="G818" s="117" t="s">
        <v>1903</v>
      </c>
      <c r="H818" s="201"/>
      <c r="I818" s="215">
        <v>2060000</v>
      </c>
      <c r="J818" s="193"/>
      <c r="K818" s="193">
        <v>16240</v>
      </c>
      <c r="L818" s="193"/>
      <c r="M818" s="193"/>
      <c r="N818" s="193">
        <f>SUM(I818:M819)</f>
        <v>2076240</v>
      </c>
      <c r="O818" s="191">
        <v>1700000</v>
      </c>
      <c r="P818" s="50" t="s">
        <v>3684</v>
      </c>
      <c r="Q818" s="29" t="s">
        <v>82</v>
      </c>
      <c r="R818" s="167"/>
      <c r="S818" s="168"/>
      <c r="T818" s="137"/>
      <c r="U818" s="30"/>
      <c r="V818" s="176"/>
      <c r="W818" s="52"/>
      <c r="X818" s="207"/>
      <c r="Y818" s="207"/>
      <c r="Z818" s="207"/>
      <c r="AA818" s="207">
        <f>SUM(X818:Z819)</f>
        <v>0</v>
      </c>
      <c r="AB818" s="219"/>
    </row>
    <row r="819" spans="1:28" ht="18.600000000000001" thickBot="1">
      <c r="A819" s="250"/>
      <c r="B819" s="32" t="s">
        <v>3623</v>
      </c>
      <c r="C819" s="177"/>
      <c r="D819" s="179" t="s">
        <v>3685</v>
      </c>
      <c r="E819" s="214"/>
      <c r="F819" s="127" t="s">
        <v>3686</v>
      </c>
      <c r="G819" s="128">
        <v>14850</v>
      </c>
      <c r="H819" s="202"/>
      <c r="I819" s="216"/>
      <c r="J819" s="194"/>
      <c r="K819" s="194"/>
      <c r="L819" s="194"/>
      <c r="M819" s="194"/>
      <c r="N819" s="194"/>
      <c r="O819" s="192"/>
      <c r="P819" s="46" t="s">
        <v>3687</v>
      </c>
      <c r="Q819" s="33" t="s">
        <v>86</v>
      </c>
      <c r="R819" s="171"/>
      <c r="S819" s="172"/>
      <c r="T819" s="164"/>
      <c r="U819" s="35" t="s">
        <v>3688</v>
      </c>
      <c r="V819" s="178"/>
      <c r="W819" s="46"/>
      <c r="X819" s="208"/>
      <c r="Y819" s="208"/>
      <c r="Z819" s="208"/>
      <c r="AA819" s="208"/>
      <c r="AB819" s="220"/>
    </row>
    <row r="820" spans="1:28" ht="18.600000000000001" thickTop="1">
      <c r="A820" s="249" t="s">
        <v>3689</v>
      </c>
      <c r="B820" s="121">
        <v>44680</v>
      </c>
      <c r="C820" s="166"/>
      <c r="D820" s="111" t="s">
        <v>3690</v>
      </c>
      <c r="E820" s="221"/>
      <c r="F820" s="124" t="s">
        <v>3691</v>
      </c>
      <c r="G820" s="125"/>
      <c r="H820" s="201"/>
      <c r="I820" s="215">
        <v>0</v>
      </c>
      <c r="J820" s="193"/>
      <c r="K820" s="193"/>
      <c r="L820" s="193"/>
      <c r="M820" s="193"/>
      <c r="N820" s="193">
        <f>SUM(I820:M821)</f>
        <v>0</v>
      </c>
      <c r="O820" s="191">
        <v>0</v>
      </c>
      <c r="P820" s="50" t="s">
        <v>3692</v>
      </c>
      <c r="Q820" s="29" t="s">
        <v>82</v>
      </c>
      <c r="R820" s="167"/>
      <c r="S820" s="168"/>
      <c r="T820" s="50" t="s">
        <v>3693</v>
      </c>
      <c r="U820" s="30"/>
      <c r="V820" s="176"/>
      <c r="W820" s="52"/>
      <c r="X820" s="207"/>
      <c r="Y820" s="207"/>
      <c r="Z820" s="207"/>
      <c r="AA820" s="207">
        <f>SUM(X820:Z821)</f>
        <v>0</v>
      </c>
      <c r="AB820" s="219"/>
    </row>
    <row r="821" spans="1:28" ht="18.600000000000001" thickBot="1">
      <c r="A821" s="250"/>
      <c r="B821" s="32" t="s">
        <v>3694</v>
      </c>
      <c r="C821" s="177"/>
      <c r="D821" s="31" t="s">
        <v>3695</v>
      </c>
      <c r="E821" s="214"/>
      <c r="F821" s="127" t="s">
        <v>3696</v>
      </c>
      <c r="G821" s="128"/>
      <c r="H821" s="202"/>
      <c r="I821" s="216"/>
      <c r="J821" s="194"/>
      <c r="K821" s="194"/>
      <c r="L821" s="194"/>
      <c r="M821" s="194"/>
      <c r="N821" s="194"/>
      <c r="O821" s="192"/>
      <c r="P821" s="46" t="s">
        <v>3697</v>
      </c>
      <c r="Q821" s="33" t="s">
        <v>86</v>
      </c>
      <c r="R821" s="171"/>
      <c r="S821" s="172"/>
      <c r="T821" s="164"/>
      <c r="U821" s="35" t="s">
        <v>216</v>
      </c>
      <c r="V821" s="178"/>
      <c r="W821" s="46"/>
      <c r="X821" s="208"/>
      <c r="Y821" s="208"/>
      <c r="Z821" s="208"/>
      <c r="AA821" s="208"/>
      <c r="AB821" s="220"/>
    </row>
    <row r="822" spans="1:28" ht="18.600000000000001" thickTop="1">
      <c r="A822" s="249" t="s">
        <v>3698</v>
      </c>
      <c r="B822" s="121">
        <v>44712</v>
      </c>
      <c r="C822" s="166"/>
      <c r="D822" s="111" t="s">
        <v>3699</v>
      </c>
      <c r="E822" s="221"/>
      <c r="F822" s="124" t="s">
        <v>3146</v>
      </c>
      <c r="G822" s="117" t="s">
        <v>2195</v>
      </c>
      <c r="H822" s="201"/>
      <c r="I822" s="215">
        <v>2250000</v>
      </c>
      <c r="J822" s="193">
        <v>-7500</v>
      </c>
      <c r="K822" s="193">
        <v>19090</v>
      </c>
      <c r="L822" s="193"/>
      <c r="M822" s="193"/>
      <c r="N822" s="193">
        <f>SUM(I822:M823)</f>
        <v>2261590</v>
      </c>
      <c r="O822" s="191"/>
      <c r="P822" s="50" t="s">
        <v>3700</v>
      </c>
      <c r="Q822" s="29" t="s">
        <v>82</v>
      </c>
      <c r="R822" s="167"/>
      <c r="S822" s="168"/>
      <c r="T822" s="50" t="s">
        <v>3643</v>
      </c>
      <c r="U822" s="30" t="s">
        <v>3701</v>
      </c>
      <c r="V822" s="176"/>
      <c r="W822" s="52"/>
      <c r="X822" s="207"/>
      <c r="Y822" s="207"/>
      <c r="Z822" s="207"/>
      <c r="AA822" s="207">
        <f>SUM(X822:Z823)</f>
        <v>0</v>
      </c>
      <c r="AB822" s="219"/>
    </row>
    <row r="823" spans="1:28" ht="18.600000000000001" thickBot="1">
      <c r="A823" s="250"/>
      <c r="B823" s="32" t="s">
        <v>3623</v>
      </c>
      <c r="C823" s="177"/>
      <c r="D823" s="31" t="s">
        <v>3702</v>
      </c>
      <c r="E823" s="214"/>
      <c r="F823" s="127" t="s">
        <v>3703</v>
      </c>
      <c r="G823" s="128">
        <v>37195</v>
      </c>
      <c r="H823" s="202"/>
      <c r="I823" s="216"/>
      <c r="J823" s="194"/>
      <c r="K823" s="194"/>
      <c r="L823" s="194"/>
      <c r="M823" s="194"/>
      <c r="N823" s="194"/>
      <c r="O823" s="192"/>
      <c r="P823" s="46" t="s">
        <v>3704</v>
      </c>
      <c r="Q823" s="33" t="s">
        <v>86</v>
      </c>
      <c r="R823" s="171"/>
      <c r="S823" s="172"/>
      <c r="T823" s="164"/>
      <c r="U823" s="35"/>
      <c r="V823" s="178"/>
      <c r="W823" s="46"/>
      <c r="X823" s="208"/>
      <c r="Y823" s="208"/>
      <c r="Z823" s="208"/>
      <c r="AA823" s="208"/>
      <c r="AB823" s="220"/>
    </row>
    <row r="824" spans="1:28" ht="18.600000000000001" thickTop="1">
      <c r="A824" s="249" t="s">
        <v>3705</v>
      </c>
      <c r="B824" s="121">
        <v>44742</v>
      </c>
      <c r="C824" s="166"/>
      <c r="D824" s="111" t="s">
        <v>3706</v>
      </c>
      <c r="E824" s="221"/>
      <c r="F824" s="124" t="s">
        <v>3707</v>
      </c>
      <c r="G824" s="117" t="s">
        <v>2105</v>
      </c>
      <c r="H824" s="201"/>
      <c r="I824" s="215">
        <v>1650000</v>
      </c>
      <c r="J824" s="193">
        <v>23000</v>
      </c>
      <c r="K824" s="193">
        <v>17250</v>
      </c>
      <c r="L824" s="193"/>
      <c r="M824" s="193"/>
      <c r="N824" s="193">
        <f>SUM(I824:M825)</f>
        <v>1690250</v>
      </c>
      <c r="O824" s="191"/>
      <c r="P824" s="50" t="s">
        <v>3708</v>
      </c>
      <c r="Q824" s="29" t="s">
        <v>82</v>
      </c>
      <c r="R824" s="167"/>
      <c r="S824" s="168"/>
      <c r="T824" s="50" t="s">
        <v>3643</v>
      </c>
      <c r="U824" s="30"/>
      <c r="V824" s="176"/>
      <c r="W824" s="52"/>
      <c r="X824" s="207"/>
      <c r="Y824" s="207"/>
      <c r="Z824" s="207"/>
      <c r="AA824" s="207">
        <f>SUM(X824:Z825)</f>
        <v>0</v>
      </c>
      <c r="AB824" s="219"/>
    </row>
    <row r="825" spans="1:28" ht="18.600000000000001" thickBot="1">
      <c r="A825" s="250"/>
      <c r="B825" s="32" t="s">
        <v>3623</v>
      </c>
      <c r="C825" s="177"/>
      <c r="D825" s="31" t="s">
        <v>3226</v>
      </c>
      <c r="E825" s="214"/>
      <c r="F825" s="127" t="s">
        <v>3709</v>
      </c>
      <c r="G825" s="128">
        <v>28918</v>
      </c>
      <c r="H825" s="202"/>
      <c r="I825" s="216"/>
      <c r="J825" s="194"/>
      <c r="K825" s="194"/>
      <c r="L825" s="194"/>
      <c r="M825" s="194"/>
      <c r="N825" s="194"/>
      <c r="O825" s="192"/>
      <c r="P825" s="46" t="s">
        <v>3710</v>
      </c>
      <c r="Q825" s="33" t="s">
        <v>86</v>
      </c>
      <c r="R825" s="171"/>
      <c r="S825" s="172"/>
      <c r="T825" s="164"/>
      <c r="U825" s="35" t="s">
        <v>3711</v>
      </c>
      <c r="V825" s="178"/>
      <c r="W825" s="46"/>
      <c r="X825" s="208"/>
      <c r="Y825" s="208"/>
      <c r="Z825" s="208"/>
      <c r="AA825" s="208"/>
      <c r="AB825" s="220"/>
    </row>
    <row r="826" spans="1:28" ht="18.600000000000001" thickTop="1">
      <c r="A826" s="249" t="s">
        <v>3712</v>
      </c>
      <c r="B826" s="121">
        <v>44826</v>
      </c>
      <c r="C826" s="166"/>
      <c r="D826" s="111" t="s">
        <v>3699</v>
      </c>
      <c r="E826" s="221"/>
      <c r="F826" s="124" t="s">
        <v>3146</v>
      </c>
      <c r="G826" s="117" t="s">
        <v>2300</v>
      </c>
      <c r="H826" s="201"/>
      <c r="I826" s="215">
        <v>2470000</v>
      </c>
      <c r="J826" s="193">
        <v>16400</v>
      </c>
      <c r="K826" s="193">
        <v>19090</v>
      </c>
      <c r="L826" s="193"/>
      <c r="M826" s="193"/>
      <c r="N826" s="193">
        <f>SUM(I826:M827)</f>
        <v>2505490</v>
      </c>
      <c r="O826" s="191"/>
      <c r="P826" s="50" t="s">
        <v>3713</v>
      </c>
      <c r="Q826" s="29" t="s">
        <v>82</v>
      </c>
      <c r="R826" s="167"/>
      <c r="S826" s="168"/>
      <c r="T826" s="50" t="s">
        <v>3714</v>
      </c>
      <c r="U826" s="30"/>
      <c r="V826" s="176"/>
      <c r="W826" s="52"/>
      <c r="X826" s="207"/>
      <c r="Y826" s="207"/>
      <c r="Z826" s="207"/>
      <c r="AA826" s="207">
        <f>SUM(X826:Z827)</f>
        <v>0</v>
      </c>
      <c r="AB826" s="219"/>
    </row>
    <row r="827" spans="1:28" ht="18.600000000000001" thickBot="1">
      <c r="A827" s="250"/>
      <c r="B827" s="32" t="s">
        <v>3715</v>
      </c>
      <c r="C827" s="177"/>
      <c r="D827" s="31" t="s">
        <v>3716</v>
      </c>
      <c r="E827" s="214"/>
      <c r="F827" s="127" t="s">
        <v>3717</v>
      </c>
      <c r="G827" s="128">
        <v>42708</v>
      </c>
      <c r="H827" s="202"/>
      <c r="I827" s="216"/>
      <c r="J827" s="194"/>
      <c r="K827" s="194"/>
      <c r="L827" s="194"/>
      <c r="M827" s="194"/>
      <c r="N827" s="194"/>
      <c r="O827" s="192"/>
      <c r="P827" s="46" t="s">
        <v>3718</v>
      </c>
      <c r="Q827" s="33" t="s">
        <v>86</v>
      </c>
      <c r="R827" s="171"/>
      <c r="S827" s="172"/>
      <c r="T827" s="164"/>
      <c r="U827" s="35" t="s">
        <v>2413</v>
      </c>
      <c r="V827" s="178"/>
      <c r="W827" s="46"/>
      <c r="X827" s="208"/>
      <c r="Y827" s="208"/>
      <c r="Z827" s="208"/>
      <c r="AA827" s="208"/>
      <c r="AB827" s="220"/>
    </row>
    <row r="828" spans="1:28" ht="18.600000000000001" thickTop="1">
      <c r="A828" s="249" t="s">
        <v>3719</v>
      </c>
      <c r="B828" s="121">
        <v>44866</v>
      </c>
      <c r="C828" s="166"/>
      <c r="D828" s="111" t="s">
        <v>3029</v>
      </c>
      <c r="E828" s="221"/>
      <c r="F828" s="124" t="s">
        <v>3720</v>
      </c>
      <c r="G828" s="117" t="s">
        <v>2130</v>
      </c>
      <c r="H828" s="201"/>
      <c r="I828" s="215">
        <v>1180000</v>
      </c>
      <c r="J828" s="193">
        <v>13100</v>
      </c>
      <c r="K828" s="193">
        <v>17490</v>
      </c>
      <c r="L828" s="193"/>
      <c r="M828" s="193"/>
      <c r="N828" s="193">
        <f>SUM(I828:M829)</f>
        <v>1210590</v>
      </c>
      <c r="O828" s="191"/>
      <c r="P828" s="50" t="s">
        <v>3721</v>
      </c>
      <c r="Q828" s="29" t="s">
        <v>82</v>
      </c>
      <c r="R828" s="167"/>
      <c r="S828" s="168"/>
      <c r="T828" s="50" t="s">
        <v>3714</v>
      </c>
      <c r="U828" s="30"/>
      <c r="V828" s="176"/>
      <c r="W828" s="52"/>
      <c r="X828" s="207"/>
      <c r="Y828" s="207"/>
      <c r="Z828" s="207"/>
      <c r="AA828" s="207">
        <f>SUM(X828:Z829)</f>
        <v>0</v>
      </c>
      <c r="AB828" s="219"/>
    </row>
    <row r="829" spans="1:28" ht="18.600000000000001" thickBot="1">
      <c r="A829" s="250"/>
      <c r="B829" s="32" t="s">
        <v>3722</v>
      </c>
      <c r="C829" s="177"/>
      <c r="D829" s="31" t="s">
        <v>3723</v>
      </c>
      <c r="E829" s="214"/>
      <c r="F829" s="127" t="s">
        <v>3724</v>
      </c>
      <c r="G829" s="128">
        <v>63426</v>
      </c>
      <c r="H829" s="202"/>
      <c r="I829" s="216"/>
      <c r="J829" s="194"/>
      <c r="K829" s="194"/>
      <c r="L829" s="194"/>
      <c r="M829" s="194"/>
      <c r="N829" s="194"/>
      <c r="O829" s="192"/>
      <c r="P829" s="46" t="s">
        <v>3725</v>
      </c>
      <c r="Q829" s="33" t="s">
        <v>86</v>
      </c>
      <c r="R829" s="171"/>
      <c r="S829" s="172"/>
      <c r="T829" s="164"/>
      <c r="U829" s="35"/>
      <c r="V829" s="178"/>
      <c r="W829" s="46"/>
      <c r="X829" s="208"/>
      <c r="Y829" s="208"/>
      <c r="Z829" s="208"/>
      <c r="AA829" s="208"/>
      <c r="AB829" s="220"/>
    </row>
    <row r="830" spans="1:28" ht="18.600000000000001" thickTop="1">
      <c r="A830" s="249" t="s">
        <v>3726</v>
      </c>
      <c r="B830" s="121">
        <v>44866</v>
      </c>
      <c r="C830" s="166"/>
      <c r="D830" s="111" t="s">
        <v>3727</v>
      </c>
      <c r="E830" s="221"/>
      <c r="F830" s="124" t="s">
        <v>3030</v>
      </c>
      <c r="G830" s="117" t="s">
        <v>2406</v>
      </c>
      <c r="H830" s="201"/>
      <c r="I830" s="215">
        <v>3920000</v>
      </c>
      <c r="J830" s="193"/>
      <c r="K830" s="193">
        <v>16930</v>
      </c>
      <c r="L830" s="193"/>
      <c r="M830" s="193"/>
      <c r="N830" s="193">
        <f>SUM(I830:M831)</f>
        <v>3936930</v>
      </c>
      <c r="O830" s="191"/>
      <c r="P830" s="50" t="s">
        <v>3728</v>
      </c>
      <c r="Q830" s="29" t="s">
        <v>82</v>
      </c>
      <c r="R830" s="167"/>
      <c r="S830" s="168"/>
      <c r="T830" s="50" t="s">
        <v>3714</v>
      </c>
      <c r="U830" s="30"/>
      <c r="V830" s="176"/>
      <c r="W830" s="52"/>
      <c r="X830" s="207"/>
      <c r="Y830" s="207"/>
      <c r="Z830" s="207"/>
      <c r="AA830" s="207">
        <f>SUM(X830:Z831)</f>
        <v>0</v>
      </c>
      <c r="AB830" s="219"/>
    </row>
    <row r="831" spans="1:28" ht="18.600000000000001" thickBot="1">
      <c r="A831" s="250"/>
      <c r="B831" s="32" t="s">
        <v>3623</v>
      </c>
      <c r="C831" s="177"/>
      <c r="D831" s="31" t="s">
        <v>244</v>
      </c>
      <c r="E831" s="214"/>
      <c r="F831" s="127" t="s">
        <v>3729</v>
      </c>
      <c r="G831" s="128">
        <v>47903</v>
      </c>
      <c r="H831" s="202"/>
      <c r="I831" s="216"/>
      <c r="J831" s="194"/>
      <c r="K831" s="194"/>
      <c r="L831" s="194"/>
      <c r="M831" s="194"/>
      <c r="N831" s="194"/>
      <c r="O831" s="192"/>
      <c r="P831" s="46" t="s">
        <v>3730</v>
      </c>
      <c r="Q831" s="33" t="s">
        <v>86</v>
      </c>
      <c r="R831" s="171"/>
      <c r="S831" s="172"/>
      <c r="T831" s="164"/>
      <c r="U831" s="35"/>
      <c r="V831" s="178"/>
      <c r="W831" s="46"/>
      <c r="X831" s="208"/>
      <c r="Y831" s="208"/>
      <c r="Z831" s="208"/>
      <c r="AA831" s="208"/>
      <c r="AB831" s="220"/>
    </row>
    <row r="832" spans="1:28" ht="18.600000000000001" thickTop="1">
      <c r="A832" s="249" t="s">
        <v>3731</v>
      </c>
      <c r="B832" s="121">
        <v>44879</v>
      </c>
      <c r="C832" s="166"/>
      <c r="D832" s="111" t="s">
        <v>3732</v>
      </c>
      <c r="E832" s="221"/>
      <c r="F832" s="124" t="s">
        <v>3146</v>
      </c>
      <c r="G832" s="117" t="s">
        <v>1962</v>
      </c>
      <c r="H832" s="201"/>
      <c r="I832" s="215">
        <v>2810000</v>
      </c>
      <c r="J832" s="193">
        <v>9800</v>
      </c>
      <c r="K832" s="193">
        <v>19090</v>
      </c>
      <c r="L832" s="193"/>
      <c r="M832" s="193"/>
      <c r="N832" s="193">
        <f>SUM(I832:M833)</f>
        <v>2838890</v>
      </c>
      <c r="O832" s="191"/>
      <c r="P832" s="50" t="s">
        <v>3733</v>
      </c>
      <c r="Q832" s="29" t="s">
        <v>82</v>
      </c>
      <c r="R832" s="167"/>
      <c r="S832" s="168"/>
      <c r="T832" s="50" t="s">
        <v>3714</v>
      </c>
      <c r="U832" s="30" t="s">
        <v>3734</v>
      </c>
      <c r="V832" s="176"/>
      <c r="W832" s="52"/>
      <c r="X832" s="207"/>
      <c r="Y832" s="207"/>
      <c r="Z832" s="207"/>
      <c r="AA832" s="207">
        <f>SUM(X832:Z833)</f>
        <v>0</v>
      </c>
      <c r="AB832" s="219"/>
    </row>
    <row r="833" spans="1:28" ht="18.600000000000001" thickBot="1">
      <c r="A833" s="250"/>
      <c r="B833" s="32" t="s">
        <v>3722</v>
      </c>
      <c r="C833" s="177"/>
      <c r="D833" s="180" t="s">
        <v>3735</v>
      </c>
      <c r="E833" s="214"/>
      <c r="F833" s="127" t="s">
        <v>3736</v>
      </c>
      <c r="G833" s="128">
        <v>17658</v>
      </c>
      <c r="H833" s="202"/>
      <c r="I833" s="216"/>
      <c r="J833" s="194"/>
      <c r="K833" s="194"/>
      <c r="L833" s="194"/>
      <c r="M833" s="194"/>
      <c r="N833" s="194"/>
      <c r="O833" s="192"/>
      <c r="P833" s="46" t="s">
        <v>3737</v>
      </c>
      <c r="Q833" s="33" t="s">
        <v>86</v>
      </c>
      <c r="R833" s="171"/>
      <c r="S833" s="172"/>
      <c r="T833" s="164"/>
      <c r="U833" s="35"/>
      <c r="V833" s="178"/>
      <c r="W833" s="46"/>
      <c r="X833" s="208"/>
      <c r="Y833" s="208"/>
      <c r="Z833" s="208"/>
      <c r="AA833" s="208"/>
      <c r="AB833" s="220"/>
    </row>
    <row r="834" spans="1:28" ht="18.600000000000001" thickTop="1">
      <c r="A834" s="249" t="s">
        <v>3738</v>
      </c>
      <c r="B834" s="121">
        <v>44896</v>
      </c>
      <c r="C834" s="166"/>
      <c r="D834" s="111" t="s">
        <v>3732</v>
      </c>
      <c r="E834" s="221"/>
      <c r="F834" s="124" t="s">
        <v>2657</v>
      </c>
      <c r="G834" s="117" t="s">
        <v>2300</v>
      </c>
      <c r="H834" s="201"/>
      <c r="I834" s="215">
        <v>820000</v>
      </c>
      <c r="J834" s="193"/>
      <c r="K834" s="193"/>
      <c r="L834" s="193"/>
      <c r="M834" s="193"/>
      <c r="N834" s="193">
        <f>SUM(I834:M835)</f>
        <v>820000</v>
      </c>
      <c r="O834" s="191"/>
      <c r="P834" s="50" t="s">
        <v>3739</v>
      </c>
      <c r="Q834" s="29" t="s">
        <v>82</v>
      </c>
      <c r="R834" s="167"/>
      <c r="S834" s="168"/>
      <c r="T834" s="137"/>
      <c r="U834" s="30"/>
      <c r="V834" s="176"/>
      <c r="W834" s="52"/>
      <c r="X834" s="207"/>
      <c r="Y834" s="207"/>
      <c r="Z834" s="207"/>
      <c r="AA834" s="207">
        <f>SUM(X834:Z835)</f>
        <v>0</v>
      </c>
      <c r="AB834" s="219"/>
    </row>
    <row r="835" spans="1:28" ht="18.600000000000001" thickBot="1">
      <c r="A835" s="250"/>
      <c r="B835" s="32" t="s">
        <v>3740</v>
      </c>
      <c r="C835" s="177"/>
      <c r="D835" s="31" t="s">
        <v>2409</v>
      </c>
      <c r="E835" s="214"/>
      <c r="F835" s="127" t="s">
        <v>3741</v>
      </c>
      <c r="G835" s="128"/>
      <c r="H835" s="202"/>
      <c r="I835" s="216"/>
      <c r="J835" s="194"/>
      <c r="K835" s="194"/>
      <c r="L835" s="194"/>
      <c r="M835" s="194"/>
      <c r="N835" s="194"/>
      <c r="O835" s="192"/>
      <c r="P835" s="46" t="s">
        <v>3742</v>
      </c>
      <c r="Q835" s="33" t="s">
        <v>86</v>
      </c>
      <c r="R835" s="171"/>
      <c r="S835" s="172"/>
      <c r="T835" s="164"/>
      <c r="U835" s="35" t="s">
        <v>2575</v>
      </c>
      <c r="V835" s="178"/>
      <c r="W835" s="46"/>
      <c r="X835" s="208"/>
      <c r="Y835" s="208"/>
      <c r="Z835" s="208"/>
      <c r="AA835" s="208"/>
      <c r="AB835" s="220"/>
    </row>
    <row r="836" spans="1:28" ht="18.600000000000001" thickTop="1">
      <c r="A836" s="249" t="s">
        <v>3743</v>
      </c>
      <c r="B836" s="121">
        <v>44896</v>
      </c>
      <c r="C836" s="166"/>
      <c r="D836" s="111" t="s">
        <v>3744</v>
      </c>
      <c r="E836" s="221"/>
      <c r="F836" s="124" t="s">
        <v>3745</v>
      </c>
      <c r="G836" s="117" t="s">
        <v>1962</v>
      </c>
      <c r="H836" s="201"/>
      <c r="I836" s="215">
        <v>2000000</v>
      </c>
      <c r="J836" s="193"/>
      <c r="K836" s="193"/>
      <c r="L836" s="193"/>
      <c r="M836" s="193"/>
      <c r="N836" s="193">
        <f>SUM(I836:M837)</f>
        <v>2000000</v>
      </c>
      <c r="O836" s="191"/>
      <c r="P836" s="50" t="s">
        <v>3746</v>
      </c>
      <c r="Q836" s="29" t="s">
        <v>82</v>
      </c>
      <c r="R836" s="167"/>
      <c r="S836" s="168"/>
      <c r="T836" s="137"/>
      <c r="U836" s="30"/>
      <c r="V836" s="176"/>
      <c r="W836" s="52"/>
      <c r="X836" s="207"/>
      <c r="Y836" s="207"/>
      <c r="Z836" s="207"/>
      <c r="AA836" s="207">
        <f>SUM(X836:Z837)</f>
        <v>0</v>
      </c>
      <c r="AB836" s="219"/>
    </row>
    <row r="837" spans="1:28" ht="18.600000000000001" thickBot="1">
      <c r="A837" s="250"/>
      <c r="B837" s="32" t="s">
        <v>3747</v>
      </c>
      <c r="C837" s="177"/>
      <c r="D837" s="126"/>
      <c r="E837" s="214"/>
      <c r="F837" s="127" t="s">
        <v>3748</v>
      </c>
      <c r="G837" s="128"/>
      <c r="H837" s="202"/>
      <c r="I837" s="216"/>
      <c r="J837" s="194"/>
      <c r="K837" s="194"/>
      <c r="L837" s="194"/>
      <c r="M837" s="194"/>
      <c r="N837" s="194"/>
      <c r="O837" s="192"/>
      <c r="P837" s="46" t="s">
        <v>3749</v>
      </c>
      <c r="Q837" s="33" t="s">
        <v>86</v>
      </c>
      <c r="R837" s="171"/>
      <c r="S837" s="172"/>
      <c r="T837" s="164"/>
      <c r="U837" s="35" t="s">
        <v>2681</v>
      </c>
      <c r="V837" s="178"/>
      <c r="W837" s="46"/>
      <c r="X837" s="208"/>
      <c r="Y837" s="208"/>
      <c r="Z837" s="208"/>
      <c r="AA837" s="208"/>
      <c r="AB837" s="220"/>
    </row>
    <row r="838" spans="1:28" ht="18.600000000000001" thickTop="1">
      <c r="A838" s="249" t="s">
        <v>3750</v>
      </c>
      <c r="B838" s="121">
        <v>44918</v>
      </c>
      <c r="C838" s="166"/>
      <c r="D838" s="111" t="s">
        <v>3751</v>
      </c>
      <c r="E838" s="213" t="s">
        <v>282</v>
      </c>
      <c r="F838" s="124" t="s">
        <v>3752</v>
      </c>
      <c r="G838" s="117" t="s">
        <v>3470</v>
      </c>
      <c r="H838" s="201"/>
      <c r="I838" s="215">
        <v>1700000</v>
      </c>
      <c r="J838" s="193"/>
      <c r="K838" s="193"/>
      <c r="L838" s="193"/>
      <c r="M838" s="193"/>
      <c r="N838" s="193">
        <f>SUM(I838:M839)</f>
        <v>1700000</v>
      </c>
      <c r="O838" s="191"/>
      <c r="P838" s="50" t="s">
        <v>3753</v>
      </c>
      <c r="Q838" s="29" t="s">
        <v>82</v>
      </c>
      <c r="R838" s="167"/>
      <c r="S838" s="168"/>
      <c r="T838" s="137"/>
      <c r="U838" s="30"/>
      <c r="V838" s="176"/>
      <c r="W838" s="52"/>
      <c r="X838" s="207"/>
      <c r="Y838" s="207"/>
      <c r="Z838" s="207"/>
      <c r="AA838" s="207">
        <f>SUM(X838:Z839)</f>
        <v>0</v>
      </c>
      <c r="AB838" s="219"/>
    </row>
    <row r="839" spans="1:28" ht="18.600000000000001" thickBot="1">
      <c r="A839" s="250"/>
      <c r="B839" s="32" t="s">
        <v>3754</v>
      </c>
      <c r="C839" s="177"/>
      <c r="D839" s="31" t="s">
        <v>2168</v>
      </c>
      <c r="E839" s="214"/>
      <c r="F839" s="127" t="s">
        <v>3755</v>
      </c>
      <c r="G839" s="128"/>
      <c r="H839" s="202"/>
      <c r="I839" s="216"/>
      <c r="J839" s="194"/>
      <c r="K839" s="194"/>
      <c r="L839" s="194"/>
      <c r="M839" s="194"/>
      <c r="N839" s="194"/>
      <c r="O839" s="192"/>
      <c r="P839" s="46" t="s">
        <v>3756</v>
      </c>
      <c r="Q839" s="33" t="s">
        <v>86</v>
      </c>
      <c r="R839" s="171"/>
      <c r="S839" s="172"/>
      <c r="T839" s="164"/>
      <c r="U839" s="35"/>
      <c r="V839" s="178"/>
      <c r="W839" s="46"/>
      <c r="X839" s="208"/>
      <c r="Y839" s="208"/>
      <c r="Z839" s="208"/>
      <c r="AA839" s="208"/>
      <c r="AB839" s="220"/>
    </row>
    <row r="840" spans="1:28" ht="18.600000000000001" thickTop="1">
      <c r="A840" s="249" t="s">
        <v>3757</v>
      </c>
      <c r="B840" s="121">
        <v>44925</v>
      </c>
      <c r="C840" s="166"/>
      <c r="D840" s="111" t="s">
        <v>3727</v>
      </c>
      <c r="E840" s="221"/>
      <c r="F840" s="124" t="s">
        <v>3758</v>
      </c>
      <c r="G840" s="117" t="s">
        <v>2406</v>
      </c>
      <c r="H840" s="201"/>
      <c r="I840" s="215">
        <v>5000000</v>
      </c>
      <c r="J840" s="193"/>
      <c r="K840" s="193"/>
      <c r="L840" s="193"/>
      <c r="M840" s="193"/>
      <c r="N840" s="193">
        <f>SUM(I840:M841)</f>
        <v>5000000</v>
      </c>
      <c r="O840" s="191"/>
      <c r="P840" s="50" t="s">
        <v>3759</v>
      </c>
      <c r="Q840" s="29" t="s">
        <v>82</v>
      </c>
      <c r="R840" s="167"/>
      <c r="S840" s="168"/>
      <c r="T840" s="137"/>
      <c r="U840" s="30"/>
      <c r="V840" s="176"/>
      <c r="W840" s="52"/>
      <c r="X840" s="207"/>
      <c r="Y840" s="207"/>
      <c r="Z840" s="207"/>
      <c r="AA840" s="207">
        <f>SUM(X840:Z841)</f>
        <v>0</v>
      </c>
      <c r="AB840" s="219"/>
    </row>
    <row r="841" spans="1:28" ht="18.600000000000001" thickBot="1">
      <c r="A841" s="250"/>
      <c r="B841" s="32" t="s">
        <v>3760</v>
      </c>
      <c r="C841" s="177"/>
      <c r="D841" s="31" t="s">
        <v>1849</v>
      </c>
      <c r="E841" s="214"/>
      <c r="F841" s="127" t="s">
        <v>3761</v>
      </c>
      <c r="G841" s="128"/>
      <c r="H841" s="202"/>
      <c r="I841" s="216"/>
      <c r="J841" s="194"/>
      <c r="K841" s="194"/>
      <c r="L841" s="194"/>
      <c r="M841" s="194"/>
      <c r="N841" s="194"/>
      <c r="O841" s="192"/>
      <c r="P841" s="46" t="s">
        <v>3762</v>
      </c>
      <c r="Q841" s="33" t="s">
        <v>86</v>
      </c>
      <c r="R841" s="171"/>
      <c r="S841" s="172"/>
      <c r="T841" s="164"/>
      <c r="U841" s="35" t="s">
        <v>1767</v>
      </c>
      <c r="V841" s="178"/>
      <c r="W841" s="46"/>
      <c r="X841" s="208"/>
      <c r="Y841" s="208"/>
      <c r="Z841" s="208"/>
      <c r="AA841" s="208"/>
      <c r="AB841" s="220"/>
    </row>
    <row r="842" spans="1:28" ht="18.600000000000001" thickTop="1">
      <c r="A842" s="249" t="s">
        <v>3763</v>
      </c>
      <c r="B842" s="121">
        <v>45004</v>
      </c>
      <c r="C842" s="166"/>
      <c r="D842" s="111" t="s">
        <v>3727</v>
      </c>
      <c r="E842" s="221"/>
      <c r="F842" s="124" t="s">
        <v>3764</v>
      </c>
      <c r="G842" s="117" t="s">
        <v>2296</v>
      </c>
      <c r="H842" s="201"/>
      <c r="I842" s="215">
        <v>3200000</v>
      </c>
      <c r="J842" s="193"/>
      <c r="K842" s="193"/>
      <c r="L842" s="193"/>
      <c r="M842" s="193"/>
      <c r="N842" s="193">
        <f>SUM(I842:M843)</f>
        <v>3200000</v>
      </c>
      <c r="O842" s="191"/>
      <c r="P842" s="50" t="s">
        <v>3765</v>
      </c>
      <c r="Q842" s="29" t="s">
        <v>82</v>
      </c>
      <c r="R842" s="167"/>
      <c r="S842" s="168"/>
      <c r="T842" s="137"/>
      <c r="U842" s="30"/>
      <c r="V842" s="176"/>
      <c r="W842" s="52"/>
      <c r="X842" s="207"/>
      <c r="Y842" s="207"/>
      <c r="Z842" s="207"/>
      <c r="AA842" s="207">
        <f>SUM(X842:Z843)</f>
        <v>0</v>
      </c>
      <c r="AB842" s="219"/>
    </row>
    <row r="843" spans="1:28" ht="18.600000000000001" thickBot="1">
      <c r="A843" s="250"/>
      <c r="B843" s="32" t="s">
        <v>3766</v>
      </c>
      <c r="C843" s="177"/>
      <c r="D843" s="31" t="s">
        <v>1849</v>
      </c>
      <c r="E843" s="214"/>
      <c r="F843" s="127" t="s">
        <v>3767</v>
      </c>
      <c r="G843" s="128"/>
      <c r="H843" s="202"/>
      <c r="I843" s="216"/>
      <c r="J843" s="194"/>
      <c r="K843" s="194"/>
      <c r="L843" s="194"/>
      <c r="M843" s="194"/>
      <c r="N843" s="194"/>
      <c r="O843" s="192"/>
      <c r="P843" s="46" t="s">
        <v>3768</v>
      </c>
      <c r="Q843" s="33" t="s">
        <v>86</v>
      </c>
      <c r="R843" s="171"/>
      <c r="S843" s="172"/>
      <c r="T843" s="164"/>
      <c r="U843" s="35" t="s">
        <v>2011</v>
      </c>
      <c r="V843" s="178"/>
      <c r="W843" s="46"/>
      <c r="X843" s="208"/>
      <c r="Y843" s="208"/>
      <c r="Z843" s="208"/>
      <c r="AA843" s="208"/>
      <c r="AB843" s="220"/>
    </row>
    <row r="844" spans="1:28" ht="18.600000000000001" thickTop="1">
      <c r="A844" s="249" t="s">
        <v>3769</v>
      </c>
      <c r="B844" s="121">
        <v>45147</v>
      </c>
      <c r="C844" s="166"/>
      <c r="D844" s="111" t="s">
        <v>3770</v>
      </c>
      <c r="E844" s="221"/>
      <c r="F844" s="124" t="s">
        <v>3771</v>
      </c>
      <c r="G844" s="117" t="s">
        <v>3106</v>
      </c>
      <c r="H844" s="201"/>
      <c r="I844" s="215">
        <v>2500000</v>
      </c>
      <c r="J844" s="193"/>
      <c r="K844" s="193"/>
      <c r="L844" s="193"/>
      <c r="M844" s="193"/>
      <c r="N844" s="193">
        <f>SUM(I844:M845)</f>
        <v>2500000</v>
      </c>
      <c r="O844" s="191"/>
      <c r="P844" s="50" t="s">
        <v>3772</v>
      </c>
      <c r="Q844" s="29" t="s">
        <v>82</v>
      </c>
      <c r="R844" s="167"/>
      <c r="S844" s="168"/>
      <c r="T844" s="137"/>
      <c r="U844" s="30"/>
      <c r="V844" s="176"/>
      <c r="W844" s="52"/>
      <c r="X844" s="207"/>
      <c r="Y844" s="207"/>
      <c r="Z844" s="207"/>
      <c r="AA844" s="207">
        <f>SUM(X844:Z845)</f>
        <v>0</v>
      </c>
      <c r="AB844" s="219"/>
    </row>
    <row r="845" spans="1:28" ht="18.600000000000001" thickBot="1">
      <c r="A845" s="250"/>
      <c r="B845" s="32" t="s">
        <v>3773</v>
      </c>
      <c r="C845" s="177"/>
      <c r="D845" s="126"/>
      <c r="E845" s="214"/>
      <c r="F845" s="127" t="s">
        <v>3774</v>
      </c>
      <c r="G845" s="128"/>
      <c r="H845" s="202"/>
      <c r="I845" s="216"/>
      <c r="J845" s="194"/>
      <c r="K845" s="194"/>
      <c r="L845" s="194"/>
      <c r="M845" s="194"/>
      <c r="N845" s="194"/>
      <c r="O845" s="192"/>
      <c r="P845" s="46" t="s">
        <v>3775</v>
      </c>
      <c r="Q845" s="33" t="s">
        <v>86</v>
      </c>
      <c r="R845" s="171"/>
      <c r="S845" s="172"/>
      <c r="T845" s="164"/>
      <c r="U845" s="35" t="s">
        <v>3776</v>
      </c>
      <c r="V845" s="178"/>
      <c r="W845" s="46"/>
      <c r="X845" s="208"/>
      <c r="Y845" s="208"/>
      <c r="Z845" s="208"/>
      <c r="AA845" s="208"/>
      <c r="AB845" s="220"/>
    </row>
    <row r="846" spans="1:28" ht="18.600000000000001" thickTop="1">
      <c r="A846" s="249" t="s">
        <v>3777</v>
      </c>
      <c r="B846" s="121">
        <v>43220</v>
      </c>
      <c r="C846" s="166"/>
      <c r="D846" s="123" t="s">
        <v>3577</v>
      </c>
      <c r="E846" s="213"/>
      <c r="F846" s="124" t="s">
        <v>3778</v>
      </c>
      <c r="G846" s="125" t="s">
        <v>1484</v>
      </c>
      <c r="H846" s="201"/>
      <c r="I846" s="215">
        <v>1112790</v>
      </c>
      <c r="J846" s="193"/>
      <c r="K846" s="193"/>
      <c r="L846" s="193"/>
      <c r="M846" s="193"/>
      <c r="N846" s="217">
        <f>SUM(I846:M847)</f>
        <v>1112790</v>
      </c>
      <c r="O846" s="191"/>
      <c r="P846" s="53" t="s">
        <v>3779</v>
      </c>
      <c r="Q846" s="29" t="s">
        <v>82</v>
      </c>
      <c r="R846" s="167"/>
      <c r="S846" s="181"/>
      <c r="T846" s="50" t="s">
        <v>3780</v>
      </c>
      <c r="U846" s="30"/>
      <c r="V846" s="169"/>
      <c r="W846" s="52"/>
      <c r="X846" s="207"/>
      <c r="Y846" s="207"/>
      <c r="Z846" s="207"/>
      <c r="AA846" s="209">
        <f>SUM(X846:Z847)</f>
        <v>0</v>
      </c>
      <c r="AB846" s="211"/>
    </row>
    <row r="847" spans="1:28" ht="18.600000000000001" thickBot="1">
      <c r="A847" s="250"/>
      <c r="B847" s="126" t="s">
        <v>3781</v>
      </c>
      <c r="C847" s="170"/>
      <c r="D847" s="31" t="s">
        <v>3782</v>
      </c>
      <c r="E847" s="214"/>
      <c r="F847" s="127" t="s">
        <v>3783</v>
      </c>
      <c r="G847" s="128">
        <v>42386</v>
      </c>
      <c r="H847" s="202"/>
      <c r="I847" s="216"/>
      <c r="J847" s="194"/>
      <c r="K847" s="194"/>
      <c r="L847" s="194"/>
      <c r="M847" s="194"/>
      <c r="N847" s="218"/>
      <c r="O847" s="192"/>
      <c r="P847" s="126" t="s">
        <v>3784</v>
      </c>
      <c r="Q847" s="33" t="s">
        <v>86</v>
      </c>
      <c r="R847" s="171"/>
      <c r="S847" s="44" t="s">
        <v>3785</v>
      </c>
      <c r="T847" s="46" t="s">
        <v>3786</v>
      </c>
      <c r="U847" s="35"/>
      <c r="V847" s="173"/>
      <c r="W847" s="46"/>
      <c r="X847" s="208"/>
      <c r="Y847" s="208"/>
      <c r="Z847" s="208"/>
      <c r="AA847" s="210"/>
      <c r="AB847" s="212"/>
    </row>
    <row r="848" spans="1:28" ht="18.600000000000001" thickTop="1">
      <c r="A848" s="249" t="s">
        <v>3787</v>
      </c>
      <c r="B848" s="26">
        <v>45568</v>
      </c>
      <c r="C848" s="36">
        <v>2079</v>
      </c>
      <c r="D848" s="28" t="s">
        <v>2828</v>
      </c>
      <c r="E848" s="199"/>
      <c r="F848" s="54" t="s">
        <v>3788</v>
      </c>
      <c r="G848" s="37" t="s">
        <v>2778</v>
      </c>
      <c r="H848" s="201">
        <v>4</v>
      </c>
      <c r="I848" s="193">
        <v>777000</v>
      </c>
      <c r="J848" s="193">
        <f>I848*0.1</f>
        <v>77700</v>
      </c>
      <c r="K848" s="193">
        <v>0</v>
      </c>
      <c r="L848" s="193">
        <v>8680</v>
      </c>
      <c r="M848" s="193">
        <v>13750</v>
      </c>
      <c r="N848" s="193">
        <f>SUM(I848:M849)</f>
        <v>877130</v>
      </c>
      <c r="O848" s="191"/>
      <c r="P848" s="147" t="s">
        <v>3789</v>
      </c>
      <c r="Q848" s="29" t="s">
        <v>82</v>
      </c>
      <c r="R848" s="81"/>
      <c r="S848" s="48" t="s">
        <v>3161</v>
      </c>
      <c r="T848" s="50"/>
      <c r="U848" s="30"/>
      <c r="V848" s="58"/>
      <c r="W848" s="52"/>
      <c r="X848" s="193"/>
      <c r="Y848" s="206">
        <f>X848*0.1</f>
        <v>0</v>
      </c>
      <c r="Z848" s="193"/>
      <c r="AA848" s="193">
        <f>SUM(X848:Z848)</f>
        <v>0</v>
      </c>
      <c r="AB848" s="195"/>
    </row>
    <row r="849" spans="1:28" ht="18.600000000000001" thickBot="1">
      <c r="A849" s="250"/>
      <c r="B849" s="31" t="s">
        <v>3790</v>
      </c>
      <c r="C849" s="31">
        <v>2592</v>
      </c>
      <c r="D849" s="32" t="s">
        <v>2346</v>
      </c>
      <c r="E849" s="200"/>
      <c r="F849" s="43" t="s">
        <v>3791</v>
      </c>
      <c r="G849" s="38">
        <v>53030</v>
      </c>
      <c r="H849" s="202"/>
      <c r="I849" s="194"/>
      <c r="J849" s="194"/>
      <c r="K849" s="194"/>
      <c r="L849" s="194"/>
      <c r="M849" s="194"/>
      <c r="N849" s="194"/>
      <c r="O849" s="192"/>
      <c r="P849" s="148" t="s">
        <v>3792</v>
      </c>
      <c r="Q849" s="33" t="s">
        <v>86</v>
      </c>
      <c r="R849" s="34" t="s">
        <v>2996</v>
      </c>
      <c r="S849" s="44" t="s">
        <v>3793</v>
      </c>
      <c r="T849" s="46" t="s">
        <v>3447</v>
      </c>
      <c r="U849" s="35"/>
      <c r="V849" s="56"/>
      <c r="W849" s="46"/>
      <c r="X849" s="194"/>
      <c r="Y849" s="194"/>
      <c r="Z849" s="194"/>
      <c r="AA849" s="194"/>
      <c r="AB849" s="196"/>
    </row>
    <row r="850" spans="1:28" ht="18.600000000000001" thickTop="1">
      <c r="A850" s="249" t="s">
        <v>3801</v>
      </c>
      <c r="B850" s="26">
        <v>45569</v>
      </c>
      <c r="C850" s="36">
        <v>1126</v>
      </c>
      <c r="D850" s="28" t="s">
        <v>2069</v>
      </c>
      <c r="E850" s="199"/>
      <c r="F850" s="54" t="s">
        <v>3802</v>
      </c>
      <c r="G850" s="37" t="s">
        <v>3803</v>
      </c>
      <c r="H850" s="201">
        <v>4</v>
      </c>
      <c r="I850" s="193">
        <v>1265000</v>
      </c>
      <c r="J850" s="193">
        <f>I850*0.1</f>
        <v>126500</v>
      </c>
      <c r="K850" s="193">
        <v>18040</v>
      </c>
      <c r="L850" s="193">
        <v>17990</v>
      </c>
      <c r="M850" s="193">
        <v>13200</v>
      </c>
      <c r="N850" s="193">
        <f>SUM(I850:M851)</f>
        <v>1440730</v>
      </c>
      <c r="O850" s="191"/>
      <c r="P850" s="147" t="s">
        <v>3804</v>
      </c>
      <c r="Q850" s="29" t="s">
        <v>82</v>
      </c>
      <c r="R850" s="81"/>
      <c r="S850" s="48"/>
      <c r="T850" s="50"/>
      <c r="U850" s="30"/>
      <c r="V850" s="58"/>
      <c r="W850" s="52"/>
      <c r="X850" s="193"/>
      <c r="Y850" s="206">
        <f>X850*0.1</f>
        <v>0</v>
      </c>
      <c r="Z850" s="193"/>
      <c r="AA850" s="193">
        <f>SUM(X850:Z850)</f>
        <v>0</v>
      </c>
      <c r="AB850" s="195"/>
    </row>
    <row r="851" spans="1:28" ht="18.600000000000001" thickBot="1">
      <c r="A851" s="250"/>
      <c r="B851" s="31" t="s">
        <v>2108</v>
      </c>
      <c r="C851" s="31">
        <v>88089</v>
      </c>
      <c r="D851" s="32" t="s">
        <v>1849</v>
      </c>
      <c r="E851" s="200"/>
      <c r="F851" s="43" t="s">
        <v>3805</v>
      </c>
      <c r="G851" s="38">
        <v>46597</v>
      </c>
      <c r="H851" s="202"/>
      <c r="I851" s="194"/>
      <c r="J851" s="194"/>
      <c r="K851" s="194"/>
      <c r="L851" s="194"/>
      <c r="M851" s="194"/>
      <c r="N851" s="194"/>
      <c r="O851" s="192"/>
      <c r="P851" s="148" t="s">
        <v>3806</v>
      </c>
      <c r="Q851" s="33" t="s">
        <v>86</v>
      </c>
      <c r="R851" s="34" t="s">
        <v>3807</v>
      </c>
      <c r="S851" s="44" t="s">
        <v>2607</v>
      </c>
      <c r="T851" s="46"/>
      <c r="U851" s="142" t="s">
        <v>122</v>
      </c>
      <c r="V851" s="56"/>
      <c r="W851" s="46"/>
      <c r="X851" s="194"/>
      <c r="Y851" s="194"/>
      <c r="Z851" s="194"/>
      <c r="AA851" s="194"/>
      <c r="AB851" s="196"/>
    </row>
    <row r="852" spans="1:28" ht="18.600000000000001" thickTop="1">
      <c r="A852" s="249" t="s">
        <v>3816</v>
      </c>
      <c r="B852" s="26">
        <v>45572</v>
      </c>
      <c r="C852" s="36"/>
      <c r="D852" s="28" t="s">
        <v>1855</v>
      </c>
      <c r="E852" s="199"/>
      <c r="F852" s="54" t="s">
        <v>3817</v>
      </c>
      <c r="G852" s="37" t="s">
        <v>3818</v>
      </c>
      <c r="H852" s="201">
        <v>4.5</v>
      </c>
      <c r="I852" s="193">
        <v>1964000</v>
      </c>
      <c r="J852" s="193">
        <f>I852*0.1</f>
        <v>196400</v>
      </c>
      <c r="K852" s="193">
        <v>15730</v>
      </c>
      <c r="L852" s="193">
        <v>17600</v>
      </c>
      <c r="M852" s="193">
        <v>15950</v>
      </c>
      <c r="N852" s="193">
        <f>SUM(I852:M853)</f>
        <v>2209680</v>
      </c>
      <c r="O852" s="191"/>
      <c r="P852" s="147" t="s">
        <v>3819</v>
      </c>
      <c r="Q852" s="29" t="s">
        <v>82</v>
      </c>
      <c r="R852" s="81"/>
      <c r="S852" s="48"/>
      <c r="T852" s="50"/>
      <c r="U852" s="30" t="s">
        <v>3820</v>
      </c>
      <c r="V852" s="58"/>
      <c r="W852" s="52"/>
      <c r="X852" s="193"/>
      <c r="Y852" s="206">
        <f>X852*0.1</f>
        <v>0</v>
      </c>
      <c r="Z852" s="193"/>
      <c r="AA852" s="193">
        <f>SUM(X852:Z852)</f>
        <v>0</v>
      </c>
      <c r="AB852" s="195"/>
    </row>
    <row r="853" spans="1:28" ht="18.600000000000001" thickBot="1">
      <c r="A853" s="250"/>
      <c r="B853" s="31" t="s">
        <v>3821</v>
      </c>
      <c r="C853" s="31">
        <v>60123</v>
      </c>
      <c r="D853" s="32" t="s">
        <v>2537</v>
      </c>
      <c r="E853" s="200"/>
      <c r="F853" s="43" t="s">
        <v>3822</v>
      </c>
      <c r="G853" s="38">
        <v>19077</v>
      </c>
      <c r="H853" s="202"/>
      <c r="I853" s="194"/>
      <c r="J853" s="194"/>
      <c r="K853" s="194"/>
      <c r="L853" s="194"/>
      <c r="M853" s="194"/>
      <c r="N853" s="194"/>
      <c r="O853" s="192"/>
      <c r="P853" s="148" t="s">
        <v>3401</v>
      </c>
      <c r="Q853" s="33" t="s">
        <v>86</v>
      </c>
      <c r="R853" s="34" t="s">
        <v>3823</v>
      </c>
      <c r="S853" s="44" t="s">
        <v>3824</v>
      </c>
      <c r="T853" s="46"/>
      <c r="U853" s="35"/>
      <c r="V853" s="56"/>
      <c r="W853" s="46"/>
      <c r="X853" s="194"/>
      <c r="Y853" s="194"/>
      <c r="Z853" s="194"/>
      <c r="AA853" s="194"/>
      <c r="AB853" s="196"/>
    </row>
    <row r="854" spans="1:28" ht="18.600000000000001" thickTop="1">
      <c r="A854" s="249" t="s">
        <v>3835</v>
      </c>
      <c r="B854" s="26">
        <v>45575</v>
      </c>
      <c r="C854" s="36">
        <v>1487</v>
      </c>
      <c r="D854" s="28" t="s">
        <v>2526</v>
      </c>
      <c r="E854" s="199"/>
      <c r="F854" s="54" t="s">
        <v>3058</v>
      </c>
      <c r="G854" s="37" t="s">
        <v>3836</v>
      </c>
      <c r="H854" s="201">
        <v>4.5</v>
      </c>
      <c r="I854" s="193">
        <v>1650000</v>
      </c>
      <c r="J854" s="193">
        <f>I854*0.1</f>
        <v>165000</v>
      </c>
      <c r="K854" s="193">
        <v>18040</v>
      </c>
      <c r="L854" s="193">
        <v>17600</v>
      </c>
      <c r="M854" s="193">
        <v>24200</v>
      </c>
      <c r="N854" s="193">
        <f>SUM(I854:M855)</f>
        <v>1874840</v>
      </c>
      <c r="O854" s="191"/>
      <c r="P854" s="147" t="s">
        <v>3837</v>
      </c>
      <c r="Q854" s="29" t="s">
        <v>82</v>
      </c>
      <c r="R854" s="81"/>
      <c r="S854" s="48"/>
      <c r="T854" s="50"/>
      <c r="U854" s="30" t="s">
        <v>3838</v>
      </c>
      <c r="V854" s="58"/>
      <c r="W854" s="52"/>
      <c r="X854" s="193"/>
      <c r="Y854" s="206">
        <f>X854*0.1</f>
        <v>0</v>
      </c>
      <c r="Z854" s="193"/>
      <c r="AA854" s="193">
        <f>SUM(X854:Z854)</f>
        <v>0</v>
      </c>
      <c r="AB854" s="195"/>
    </row>
    <row r="855" spans="1:28" ht="18.600000000000001" thickBot="1">
      <c r="A855" s="250"/>
      <c r="B855" s="31" t="s">
        <v>1858</v>
      </c>
      <c r="C855" s="31">
        <v>76245</v>
      </c>
      <c r="D855" s="32" t="s">
        <v>1832</v>
      </c>
      <c r="E855" s="200"/>
      <c r="F855" s="43" t="s">
        <v>3839</v>
      </c>
      <c r="G855" s="38">
        <v>46225</v>
      </c>
      <c r="H855" s="202"/>
      <c r="I855" s="194"/>
      <c r="J855" s="194"/>
      <c r="K855" s="194"/>
      <c r="L855" s="194"/>
      <c r="M855" s="194"/>
      <c r="N855" s="194"/>
      <c r="O855" s="192"/>
      <c r="P855" s="148" t="s">
        <v>3367</v>
      </c>
      <c r="Q855" s="33" t="s">
        <v>86</v>
      </c>
      <c r="R855" s="34" t="s">
        <v>1909</v>
      </c>
      <c r="S855" s="44" t="s">
        <v>96</v>
      </c>
      <c r="T855" s="46"/>
      <c r="U855" s="35"/>
      <c r="V855" s="56"/>
      <c r="W855" s="46"/>
      <c r="X855" s="194"/>
      <c r="Y855" s="194"/>
      <c r="Z855" s="194"/>
      <c r="AA855" s="194"/>
      <c r="AB855" s="196"/>
    </row>
    <row r="856" spans="1:28" ht="18.600000000000001" thickTop="1">
      <c r="A856" s="249" t="s">
        <v>3856</v>
      </c>
      <c r="B856" s="26">
        <v>45584</v>
      </c>
      <c r="C856" s="36">
        <v>1223</v>
      </c>
      <c r="D856" s="28" t="s">
        <v>2507</v>
      </c>
      <c r="E856" s="199"/>
      <c r="F856" s="54" t="s">
        <v>3857</v>
      </c>
      <c r="G856" s="37" t="s">
        <v>3858</v>
      </c>
      <c r="H856" s="201">
        <v>4</v>
      </c>
      <c r="I856" s="193">
        <v>1125000</v>
      </c>
      <c r="J856" s="193">
        <f>I856*0.1</f>
        <v>112500</v>
      </c>
      <c r="K856" s="193">
        <v>18040</v>
      </c>
      <c r="L856" s="193">
        <v>22640</v>
      </c>
      <c r="M856" s="193">
        <v>13200</v>
      </c>
      <c r="N856" s="193">
        <f>SUM(I856:M857)</f>
        <v>1291380</v>
      </c>
      <c r="O856" s="191"/>
      <c r="P856" s="147" t="s">
        <v>3859</v>
      </c>
      <c r="Q856" s="29" t="s">
        <v>82</v>
      </c>
      <c r="R856" s="81"/>
      <c r="S856" s="48" t="s">
        <v>1494</v>
      </c>
      <c r="T856" s="50"/>
      <c r="U856" s="30"/>
      <c r="V856" s="58"/>
      <c r="W856" s="52"/>
      <c r="X856" s="193"/>
      <c r="Y856" s="206">
        <f>X856*0.1</f>
        <v>0</v>
      </c>
      <c r="Z856" s="193"/>
      <c r="AA856" s="193">
        <f>SUM(X856:Z856)</f>
        <v>0</v>
      </c>
      <c r="AB856" s="195"/>
    </row>
    <row r="857" spans="1:28" ht="18.600000000000001" thickBot="1">
      <c r="A857" s="250"/>
      <c r="B857" s="31" t="s">
        <v>521</v>
      </c>
      <c r="C857" s="31">
        <v>82362</v>
      </c>
      <c r="D857" s="32" t="s">
        <v>2537</v>
      </c>
      <c r="E857" s="200"/>
      <c r="F857" s="43" t="s">
        <v>3860</v>
      </c>
      <c r="G857" s="38">
        <v>44049</v>
      </c>
      <c r="H857" s="202"/>
      <c r="I857" s="194"/>
      <c r="J857" s="194"/>
      <c r="K857" s="194"/>
      <c r="L857" s="194"/>
      <c r="M857" s="194"/>
      <c r="N857" s="194"/>
      <c r="O857" s="192"/>
      <c r="P857" s="148" t="s">
        <v>3861</v>
      </c>
      <c r="Q857" s="33" t="s">
        <v>86</v>
      </c>
      <c r="R857" s="34" t="s">
        <v>3862</v>
      </c>
      <c r="S857" s="44" t="s">
        <v>3863</v>
      </c>
      <c r="T857" s="46"/>
      <c r="U857" s="142" t="s">
        <v>1100</v>
      </c>
      <c r="V857" s="56"/>
      <c r="W857" s="46"/>
      <c r="X857" s="194"/>
      <c r="Y857" s="194"/>
      <c r="Z857" s="194"/>
      <c r="AA857" s="194"/>
      <c r="AB857" s="196"/>
    </row>
    <row r="858" spans="1:28" ht="18.600000000000001" thickTop="1">
      <c r="A858" s="249" t="s">
        <v>3864</v>
      </c>
      <c r="B858" s="26">
        <v>45585</v>
      </c>
      <c r="C858" s="36"/>
      <c r="D858" s="28" t="s">
        <v>3865</v>
      </c>
      <c r="E858" s="199"/>
      <c r="F858" s="54" t="s">
        <v>3866</v>
      </c>
      <c r="G858" s="37" t="s">
        <v>2559</v>
      </c>
      <c r="H858" s="201"/>
      <c r="I858" s="193">
        <v>3150000</v>
      </c>
      <c r="J858" s="193">
        <v>0</v>
      </c>
      <c r="K858" s="193">
        <v>0</v>
      </c>
      <c r="L858" s="193">
        <v>0</v>
      </c>
      <c r="M858" s="193">
        <v>0</v>
      </c>
      <c r="N858" s="193">
        <f>SUM(I858:M859)</f>
        <v>3150000</v>
      </c>
      <c r="O858" s="191"/>
      <c r="P858" s="147" t="s">
        <v>3867</v>
      </c>
      <c r="Q858" s="29" t="s">
        <v>82</v>
      </c>
      <c r="R858" s="81"/>
      <c r="S858" s="48"/>
      <c r="T858" s="50"/>
      <c r="U858" s="30"/>
      <c r="V858" s="58"/>
      <c r="W858" s="52"/>
      <c r="X858" s="193"/>
      <c r="Y858" s="206">
        <f>X858*0.1</f>
        <v>0</v>
      </c>
      <c r="Z858" s="193"/>
      <c r="AA858" s="193">
        <f>SUM(X858:Z858)</f>
        <v>0</v>
      </c>
      <c r="AB858" s="195"/>
    </row>
    <row r="859" spans="1:28" ht="18.600000000000001" thickBot="1">
      <c r="A859" s="250"/>
      <c r="B859" s="31" t="s">
        <v>3868</v>
      </c>
      <c r="C859" s="31"/>
      <c r="D859" s="32" t="s">
        <v>1849</v>
      </c>
      <c r="E859" s="200"/>
      <c r="F859" s="43" t="s">
        <v>3869</v>
      </c>
      <c r="G859" s="38">
        <v>30922</v>
      </c>
      <c r="H859" s="202"/>
      <c r="I859" s="194"/>
      <c r="J859" s="194"/>
      <c r="K859" s="194"/>
      <c r="L859" s="194"/>
      <c r="M859" s="194"/>
      <c r="N859" s="194"/>
      <c r="O859" s="192"/>
      <c r="P859" s="148" t="s">
        <v>3426</v>
      </c>
      <c r="Q859" s="33" t="s">
        <v>86</v>
      </c>
      <c r="R859" s="34" t="s">
        <v>3870</v>
      </c>
      <c r="S859" s="44" t="s">
        <v>96</v>
      </c>
      <c r="T859" s="46"/>
      <c r="U859" s="142" t="s">
        <v>1100</v>
      </c>
      <c r="V859" s="56"/>
      <c r="W859" s="46"/>
      <c r="X859" s="194"/>
      <c r="Y859" s="194"/>
      <c r="Z859" s="194"/>
      <c r="AA859" s="194"/>
      <c r="AB859" s="196"/>
    </row>
    <row r="860" spans="1:28" ht="18.600000000000001" thickTop="1">
      <c r="A860" s="249" t="s">
        <v>3879</v>
      </c>
      <c r="B860" s="26">
        <v>45586</v>
      </c>
      <c r="C860" s="36">
        <v>2016</v>
      </c>
      <c r="D860" s="28" t="s">
        <v>2079</v>
      </c>
      <c r="E860" s="199"/>
      <c r="F860" s="54" t="s">
        <v>3880</v>
      </c>
      <c r="G860" s="37"/>
      <c r="H860" s="201">
        <v>4.5</v>
      </c>
      <c r="I860" s="193">
        <v>2350000</v>
      </c>
      <c r="J860" s="193">
        <v>235000</v>
      </c>
      <c r="K860" s="193">
        <v>0</v>
      </c>
      <c r="L860" s="193">
        <v>22280</v>
      </c>
      <c r="M860" s="193">
        <v>11000</v>
      </c>
      <c r="N860" s="193">
        <f>SUM(I860:M861)</f>
        <v>2618280</v>
      </c>
      <c r="O860" s="191"/>
      <c r="P860" s="147" t="s">
        <v>3881</v>
      </c>
      <c r="Q860" s="29" t="s">
        <v>82</v>
      </c>
      <c r="R860" s="81"/>
      <c r="S860" s="48"/>
      <c r="T860" s="50"/>
      <c r="U860" s="30"/>
      <c r="V860" s="58"/>
      <c r="W860" s="52"/>
      <c r="X860" s="193"/>
      <c r="Y860" s="206">
        <f>X860*0.1</f>
        <v>0</v>
      </c>
      <c r="Z860" s="193"/>
      <c r="AA860" s="193">
        <f>SUM(X860:Z860)</f>
        <v>0</v>
      </c>
      <c r="AB860" s="195"/>
    </row>
    <row r="861" spans="1:28" ht="18.600000000000001" thickBot="1">
      <c r="A861" s="250"/>
      <c r="B861" s="31" t="s">
        <v>189</v>
      </c>
      <c r="C861" s="31">
        <v>32032</v>
      </c>
      <c r="D861" s="32" t="s">
        <v>1849</v>
      </c>
      <c r="E861" s="200"/>
      <c r="F861" s="43" t="s">
        <v>3882</v>
      </c>
      <c r="G861" s="38">
        <v>48204</v>
      </c>
      <c r="H861" s="202"/>
      <c r="I861" s="194"/>
      <c r="J861" s="194"/>
      <c r="K861" s="194"/>
      <c r="L861" s="194"/>
      <c r="M861" s="194"/>
      <c r="N861" s="194"/>
      <c r="O861" s="192"/>
      <c r="P861" s="148" t="s">
        <v>3127</v>
      </c>
      <c r="Q861" s="33" t="s">
        <v>86</v>
      </c>
      <c r="R861" s="34" t="s">
        <v>3883</v>
      </c>
      <c r="S861" s="44" t="s">
        <v>2237</v>
      </c>
      <c r="T861" s="46"/>
      <c r="U861" s="35"/>
      <c r="V861" s="56"/>
      <c r="W861" s="46"/>
      <c r="X861" s="194"/>
      <c r="Y861" s="194"/>
      <c r="Z861" s="194"/>
      <c r="AA861" s="194"/>
      <c r="AB861" s="196"/>
    </row>
    <row r="862" spans="1:28" ht="18.600000000000001" thickTop="1">
      <c r="A862" s="249" t="s">
        <v>3884</v>
      </c>
      <c r="B862" s="26">
        <v>45587</v>
      </c>
      <c r="C862" s="36">
        <v>1865</v>
      </c>
      <c r="D862" s="28" t="s">
        <v>2700</v>
      </c>
      <c r="E862" s="199"/>
      <c r="F862" s="54" t="s">
        <v>3885</v>
      </c>
      <c r="G862" s="37"/>
      <c r="H862" s="201">
        <v>4.5</v>
      </c>
      <c r="I862" s="193">
        <v>1820000</v>
      </c>
      <c r="J862" s="193">
        <f>I862*0.1</f>
        <v>182000</v>
      </c>
      <c r="K862" s="193">
        <v>0</v>
      </c>
      <c r="L862" s="193">
        <v>19090</v>
      </c>
      <c r="M862" s="193">
        <v>14850</v>
      </c>
      <c r="N862" s="193">
        <f>SUM(I862:M863)</f>
        <v>2035940</v>
      </c>
      <c r="O862" s="191"/>
      <c r="P862" s="147" t="s">
        <v>3886</v>
      </c>
      <c r="Q862" s="29" t="s">
        <v>82</v>
      </c>
      <c r="R862" s="81"/>
      <c r="S862" s="48"/>
      <c r="T862" s="50"/>
      <c r="U862" s="30"/>
      <c r="V862" s="58"/>
      <c r="W862" s="52"/>
      <c r="X862" s="193"/>
      <c r="Y862" s="206">
        <f>X862*0.1</f>
        <v>0</v>
      </c>
      <c r="Z862" s="193"/>
      <c r="AA862" s="193">
        <f>SUM(X862:Z862)</f>
        <v>0</v>
      </c>
      <c r="AB862" s="195"/>
    </row>
    <row r="863" spans="1:28" ht="18.600000000000001" thickBot="1">
      <c r="A863" s="250"/>
      <c r="B863" s="31" t="s">
        <v>2450</v>
      </c>
      <c r="C863" s="31">
        <v>5029</v>
      </c>
      <c r="D863" s="32" t="s">
        <v>1097</v>
      </c>
      <c r="E863" s="200"/>
      <c r="F863" s="43" t="s">
        <v>3887</v>
      </c>
      <c r="G863" s="38">
        <v>33685</v>
      </c>
      <c r="H863" s="202"/>
      <c r="I863" s="194"/>
      <c r="J863" s="194"/>
      <c r="K863" s="194"/>
      <c r="L863" s="194"/>
      <c r="M863" s="194"/>
      <c r="N863" s="194"/>
      <c r="O863" s="192"/>
      <c r="P863" s="148" t="s">
        <v>3888</v>
      </c>
      <c r="Q863" s="33" t="s">
        <v>86</v>
      </c>
      <c r="R863" s="34" t="s">
        <v>3883</v>
      </c>
      <c r="S863" s="44" t="s">
        <v>3889</v>
      </c>
      <c r="T863" s="46"/>
      <c r="U863" s="35"/>
      <c r="V863" s="56"/>
      <c r="W863" s="46"/>
      <c r="X863" s="194"/>
      <c r="Y863" s="194"/>
      <c r="Z863" s="194"/>
      <c r="AA863" s="194"/>
      <c r="AB863" s="196"/>
    </row>
    <row r="864" spans="1:28" ht="18.600000000000001" thickTop="1">
      <c r="A864" s="249" t="s">
        <v>3897</v>
      </c>
      <c r="B864" s="26">
        <v>45590</v>
      </c>
      <c r="C864" s="36">
        <v>2058</v>
      </c>
      <c r="D864" s="28" t="s">
        <v>1855</v>
      </c>
      <c r="E864" s="199"/>
      <c r="F864" s="54" t="s">
        <v>3058</v>
      </c>
      <c r="G864" s="37" t="s">
        <v>2869</v>
      </c>
      <c r="H864" s="201">
        <v>4.5</v>
      </c>
      <c r="I864" s="193">
        <v>1790000</v>
      </c>
      <c r="J864" s="193">
        <f>I864*0.1</f>
        <v>179000</v>
      </c>
      <c r="K864" s="193">
        <v>18040</v>
      </c>
      <c r="L864" s="193">
        <v>17600</v>
      </c>
      <c r="M864" s="193">
        <v>24200</v>
      </c>
      <c r="N864" s="193">
        <f>SUM(I864:M865)</f>
        <v>2028840</v>
      </c>
      <c r="O864" s="191"/>
      <c r="P864" s="147" t="s">
        <v>3898</v>
      </c>
      <c r="Q864" s="29" t="s">
        <v>82</v>
      </c>
      <c r="R864" s="81"/>
      <c r="S864" s="48" t="s">
        <v>3899</v>
      </c>
      <c r="T864" s="50"/>
      <c r="U864" s="30" t="s">
        <v>3900</v>
      </c>
      <c r="V864" s="58"/>
      <c r="W864" s="52"/>
      <c r="X864" s="193"/>
      <c r="Y864" s="206">
        <f>X864*0.1</f>
        <v>0</v>
      </c>
      <c r="Z864" s="193"/>
      <c r="AA864" s="193">
        <f>SUM(X864:Z864)</f>
        <v>0</v>
      </c>
      <c r="AB864" s="195"/>
    </row>
    <row r="865" spans="1:28" ht="18.600000000000001" thickBot="1">
      <c r="A865" s="250"/>
      <c r="B865" s="31" t="s">
        <v>1797</v>
      </c>
      <c r="C865" s="31">
        <v>58686</v>
      </c>
      <c r="D865" s="32" t="s">
        <v>1097</v>
      </c>
      <c r="E865" s="200"/>
      <c r="F865" s="43" t="s">
        <v>3901</v>
      </c>
      <c r="G865" s="38">
        <v>36230</v>
      </c>
      <c r="H865" s="202"/>
      <c r="I865" s="194"/>
      <c r="J865" s="194"/>
      <c r="K865" s="194"/>
      <c r="L865" s="194"/>
      <c r="M865" s="194"/>
      <c r="N865" s="194"/>
      <c r="O865" s="192"/>
      <c r="P865" s="148" t="s">
        <v>3902</v>
      </c>
      <c r="Q865" s="33" t="s">
        <v>86</v>
      </c>
      <c r="R865" s="34" t="s">
        <v>3855</v>
      </c>
      <c r="S865" s="44" t="s">
        <v>96</v>
      </c>
      <c r="T865" s="46"/>
      <c r="U865" s="35"/>
      <c r="V865" s="56"/>
      <c r="W865" s="46"/>
      <c r="X865" s="194"/>
      <c r="Y865" s="194"/>
      <c r="Z865" s="194"/>
      <c r="AA865" s="194"/>
      <c r="AB865" s="196"/>
    </row>
    <row r="866" spans="1:28" ht="18.600000000000001" thickTop="1">
      <c r="A866" s="249" t="s">
        <v>3911</v>
      </c>
      <c r="B866" s="26">
        <v>45591</v>
      </c>
      <c r="C866" s="36">
        <v>1467</v>
      </c>
      <c r="D866" s="28" t="s">
        <v>3912</v>
      </c>
      <c r="E866" s="199"/>
      <c r="F866" s="54" t="s">
        <v>3913</v>
      </c>
      <c r="G866" s="37"/>
      <c r="H866" s="201">
        <v>4</v>
      </c>
      <c r="I866" s="193">
        <v>1340000</v>
      </c>
      <c r="J866" s="193">
        <f>I866*0.1</f>
        <v>134000</v>
      </c>
      <c r="K866" s="193">
        <v>0</v>
      </c>
      <c r="L866" s="193">
        <v>19440</v>
      </c>
      <c r="M866" s="193">
        <v>13200</v>
      </c>
      <c r="N866" s="193">
        <f>SUM(I866:M867)</f>
        <v>1506640</v>
      </c>
      <c r="O866" s="191"/>
      <c r="P866" s="147" t="s">
        <v>3914</v>
      </c>
      <c r="Q866" s="29" t="s">
        <v>82</v>
      </c>
      <c r="R866" s="81"/>
      <c r="S866" s="48"/>
      <c r="T866" s="50"/>
      <c r="U866" s="30"/>
      <c r="V866" s="58"/>
      <c r="W866" s="52"/>
      <c r="X866" s="193"/>
      <c r="Y866" s="206">
        <f>X866*0.1</f>
        <v>0</v>
      </c>
      <c r="Z866" s="193"/>
      <c r="AA866" s="193">
        <f>SUM(X866:Z866)</f>
        <v>0</v>
      </c>
      <c r="AB866" s="195"/>
    </row>
    <row r="867" spans="1:28" ht="18.600000000000001" thickBot="1">
      <c r="A867" s="250"/>
      <c r="B867" s="31" t="s">
        <v>1810</v>
      </c>
      <c r="C867" s="31">
        <v>83200</v>
      </c>
      <c r="D867" s="32" t="s">
        <v>1895</v>
      </c>
      <c r="E867" s="200"/>
      <c r="F867" s="43" t="s">
        <v>3915</v>
      </c>
      <c r="G867" s="38">
        <v>52925</v>
      </c>
      <c r="H867" s="202"/>
      <c r="I867" s="194"/>
      <c r="J867" s="194"/>
      <c r="K867" s="194"/>
      <c r="L867" s="194"/>
      <c r="M867" s="194"/>
      <c r="N867" s="194"/>
      <c r="O867" s="192"/>
      <c r="P867" s="148" t="s">
        <v>2295</v>
      </c>
      <c r="Q867" s="33" t="s">
        <v>86</v>
      </c>
      <c r="R867" s="34" t="s">
        <v>3855</v>
      </c>
      <c r="S867" s="44" t="s">
        <v>3916</v>
      </c>
      <c r="T867" s="46"/>
      <c r="U867" s="35"/>
      <c r="V867" s="56"/>
      <c r="W867" s="46"/>
      <c r="X867" s="194"/>
      <c r="Y867" s="194"/>
      <c r="Z867" s="194"/>
      <c r="AA867" s="194"/>
      <c r="AB867" s="196"/>
    </row>
    <row r="868" spans="1:28" ht="18.600000000000001" thickTop="1">
      <c r="A868" s="249" t="s">
        <v>3917</v>
      </c>
      <c r="B868" s="26">
        <v>45594</v>
      </c>
      <c r="C868" s="36">
        <v>1866</v>
      </c>
      <c r="D868" s="28" t="s">
        <v>3918</v>
      </c>
      <c r="E868" s="199"/>
      <c r="F868" s="54" t="s">
        <v>3919</v>
      </c>
      <c r="G868" s="37"/>
      <c r="H868" s="201">
        <v>4.5</v>
      </c>
      <c r="I868" s="193">
        <v>2478000</v>
      </c>
      <c r="J868" s="193">
        <f>I868*0.1</f>
        <v>247800</v>
      </c>
      <c r="K868" s="193">
        <v>0</v>
      </c>
      <c r="L868" s="193">
        <v>17930</v>
      </c>
      <c r="M868" s="193">
        <v>14850</v>
      </c>
      <c r="N868" s="193">
        <f>SUM(I868:M869)</f>
        <v>2758580</v>
      </c>
      <c r="O868" s="191"/>
      <c r="P868" s="147" t="s">
        <v>3920</v>
      </c>
      <c r="Q868" s="29" t="s">
        <v>82</v>
      </c>
      <c r="R868" s="81"/>
      <c r="S868" s="48" t="s">
        <v>1596</v>
      </c>
      <c r="T868" s="50"/>
      <c r="U868" s="30"/>
      <c r="V868" s="58"/>
      <c r="W868" s="52"/>
      <c r="X868" s="193"/>
      <c r="Y868" s="206">
        <f>X868*0.1</f>
        <v>0</v>
      </c>
      <c r="Z868" s="193"/>
      <c r="AA868" s="193">
        <f>SUM(X868:Z868)</f>
        <v>0</v>
      </c>
      <c r="AB868" s="195"/>
    </row>
    <row r="869" spans="1:28" ht="18.600000000000001" thickBot="1">
      <c r="A869" s="250"/>
      <c r="B869" s="31" t="s">
        <v>2450</v>
      </c>
      <c r="C869" s="31">
        <v>32045</v>
      </c>
      <c r="D869" s="32" t="s">
        <v>1832</v>
      </c>
      <c r="E869" s="200"/>
      <c r="F869" s="43" t="s">
        <v>3921</v>
      </c>
      <c r="G869" s="38">
        <v>33291</v>
      </c>
      <c r="H869" s="202"/>
      <c r="I869" s="194"/>
      <c r="J869" s="194"/>
      <c r="K869" s="194"/>
      <c r="L869" s="194"/>
      <c r="M869" s="194"/>
      <c r="N869" s="194"/>
      <c r="O869" s="192"/>
      <c r="P869" s="148" t="s">
        <v>3922</v>
      </c>
      <c r="Q869" s="33" t="s">
        <v>86</v>
      </c>
      <c r="R869" s="34" t="s">
        <v>3923</v>
      </c>
      <c r="S869" s="44" t="s">
        <v>3924</v>
      </c>
      <c r="T869" s="46"/>
      <c r="U869" s="35"/>
      <c r="V869" s="56"/>
      <c r="W869" s="46"/>
      <c r="X869" s="194"/>
      <c r="Y869" s="194"/>
      <c r="Z869" s="194"/>
      <c r="AA869" s="194"/>
      <c r="AB869" s="196"/>
    </row>
    <row r="870" spans="1:28" ht="18.600000000000001" thickTop="1">
      <c r="A870" s="249" t="s">
        <v>3925</v>
      </c>
      <c r="B870" s="26">
        <v>45596</v>
      </c>
      <c r="C870" s="36">
        <v>1255</v>
      </c>
      <c r="D870" s="28" t="s">
        <v>1978</v>
      </c>
      <c r="E870" s="199"/>
      <c r="F870" s="54" t="s">
        <v>3926</v>
      </c>
      <c r="G870" s="37" t="s">
        <v>2906</v>
      </c>
      <c r="H870" s="201">
        <v>3.5</v>
      </c>
      <c r="I870" s="193">
        <v>765000</v>
      </c>
      <c r="J870" s="193">
        <f>I870*0.1</f>
        <v>76500</v>
      </c>
      <c r="K870" s="193">
        <v>18040</v>
      </c>
      <c r="L870" s="193">
        <v>20680</v>
      </c>
      <c r="M870" s="193">
        <v>13200</v>
      </c>
      <c r="N870" s="193">
        <f>SUM(I870:M871)</f>
        <v>893420</v>
      </c>
      <c r="O870" s="191"/>
      <c r="P870" s="147" t="s">
        <v>3927</v>
      </c>
      <c r="Q870" s="29" t="s">
        <v>82</v>
      </c>
      <c r="R870" s="81"/>
      <c r="S870" s="48" t="s">
        <v>1494</v>
      </c>
      <c r="T870" s="50"/>
      <c r="U870" s="30"/>
      <c r="V870" s="58"/>
      <c r="W870" s="52"/>
      <c r="X870" s="193"/>
      <c r="Y870" s="206">
        <f>X870*0.1</f>
        <v>0</v>
      </c>
      <c r="Z870" s="193"/>
      <c r="AA870" s="193">
        <f>SUM(X870:Z870)</f>
        <v>0</v>
      </c>
      <c r="AB870" s="195"/>
    </row>
    <row r="871" spans="1:28" ht="18.600000000000001" thickBot="1">
      <c r="A871" s="250"/>
      <c r="B871" s="31" t="s">
        <v>2017</v>
      </c>
      <c r="C871" s="31">
        <v>92</v>
      </c>
      <c r="D871" s="32" t="s">
        <v>2537</v>
      </c>
      <c r="E871" s="200"/>
      <c r="F871" s="43" t="s">
        <v>3928</v>
      </c>
      <c r="G871" s="38">
        <v>40515</v>
      </c>
      <c r="H871" s="202"/>
      <c r="I871" s="194"/>
      <c r="J871" s="194"/>
      <c r="K871" s="194"/>
      <c r="L871" s="194"/>
      <c r="M871" s="194"/>
      <c r="N871" s="194"/>
      <c r="O871" s="192"/>
      <c r="P871" s="148" t="s">
        <v>2144</v>
      </c>
      <c r="Q871" s="33" t="s">
        <v>86</v>
      </c>
      <c r="R871" s="34" t="s">
        <v>3929</v>
      </c>
      <c r="S871" s="44" t="s">
        <v>96</v>
      </c>
      <c r="T871" s="46"/>
      <c r="U871" s="142" t="s">
        <v>1100</v>
      </c>
      <c r="V871" s="56"/>
      <c r="W871" s="46"/>
      <c r="X871" s="194"/>
      <c r="Y871" s="194"/>
      <c r="Z871" s="194"/>
      <c r="AA871" s="194"/>
      <c r="AB871" s="196"/>
    </row>
    <row r="872" spans="1:28" ht="18.600000000000001" thickTop="1">
      <c r="A872" s="249" t="s">
        <v>3930</v>
      </c>
      <c r="B872" s="26">
        <v>45597</v>
      </c>
      <c r="C872" s="36">
        <v>2059</v>
      </c>
      <c r="D872" s="28" t="s">
        <v>1901</v>
      </c>
      <c r="E872" s="199"/>
      <c r="F872" s="54" t="s">
        <v>3931</v>
      </c>
      <c r="G872" s="37" t="s">
        <v>3932</v>
      </c>
      <c r="H872" s="201">
        <v>4</v>
      </c>
      <c r="I872" s="193">
        <v>2030000</v>
      </c>
      <c r="J872" s="193">
        <f>I872*0.1</f>
        <v>203000</v>
      </c>
      <c r="K872" s="193">
        <f>13100+1310</f>
        <v>14410</v>
      </c>
      <c r="L872" s="193">
        <v>13210</v>
      </c>
      <c r="M872" s="193">
        <v>13200</v>
      </c>
      <c r="N872" s="193">
        <f>SUM(I872:M873)</f>
        <v>2273820</v>
      </c>
      <c r="O872" s="191"/>
      <c r="P872" s="147" t="s">
        <v>3933</v>
      </c>
      <c r="Q872" s="29" t="s">
        <v>82</v>
      </c>
      <c r="R872" s="81"/>
      <c r="S872" s="48" t="s">
        <v>3934</v>
      </c>
      <c r="T872" s="50"/>
      <c r="U872" s="30" t="s">
        <v>3935</v>
      </c>
      <c r="V872" s="58"/>
      <c r="W872" s="52"/>
      <c r="X872" s="193"/>
      <c r="Y872" s="206">
        <f>X872*0.1</f>
        <v>0</v>
      </c>
      <c r="Z872" s="193"/>
      <c r="AA872" s="193">
        <f>SUM(X872:Z872)</f>
        <v>0</v>
      </c>
      <c r="AB872" s="195"/>
    </row>
    <row r="873" spans="1:28" ht="18.600000000000001" thickBot="1">
      <c r="A873" s="250"/>
      <c r="B873" s="31" t="s">
        <v>1797</v>
      </c>
      <c r="C873" s="31">
        <v>58286</v>
      </c>
      <c r="D873" s="32" t="s">
        <v>1849</v>
      </c>
      <c r="E873" s="200"/>
      <c r="F873" s="43" t="s">
        <v>3936</v>
      </c>
      <c r="G873" s="38">
        <v>44386</v>
      </c>
      <c r="H873" s="202"/>
      <c r="I873" s="194"/>
      <c r="J873" s="194"/>
      <c r="K873" s="194"/>
      <c r="L873" s="194"/>
      <c r="M873" s="194"/>
      <c r="N873" s="194"/>
      <c r="O873" s="192"/>
      <c r="P873" s="148" t="s">
        <v>3937</v>
      </c>
      <c r="Q873" s="33" t="s">
        <v>86</v>
      </c>
      <c r="R873" s="34" t="s">
        <v>3929</v>
      </c>
      <c r="S873" s="44" t="s">
        <v>3938</v>
      </c>
      <c r="T873" s="46"/>
      <c r="U873" s="35"/>
      <c r="V873" s="56"/>
      <c r="W873" s="46"/>
      <c r="X873" s="194"/>
      <c r="Y873" s="194"/>
      <c r="Z873" s="194"/>
      <c r="AA873" s="194"/>
      <c r="AB873" s="196"/>
    </row>
    <row r="874" spans="1:28" ht="18.600000000000001" thickTop="1">
      <c r="A874" s="249" t="s">
        <v>3939</v>
      </c>
      <c r="B874" s="26">
        <v>45611</v>
      </c>
      <c r="C874" s="36">
        <v>2061</v>
      </c>
      <c r="D874" s="28" t="s">
        <v>2112</v>
      </c>
      <c r="E874" s="199"/>
      <c r="F874" s="54" t="s">
        <v>3940</v>
      </c>
      <c r="G874" s="37" t="s">
        <v>2906</v>
      </c>
      <c r="H874" s="201">
        <v>4</v>
      </c>
      <c r="I874" s="193">
        <v>1400000</v>
      </c>
      <c r="J874" s="193">
        <f>I874*0.1</f>
        <v>140000</v>
      </c>
      <c r="K874" s="193">
        <v>14410</v>
      </c>
      <c r="L874" s="193">
        <v>13210</v>
      </c>
      <c r="M874" s="193">
        <v>13200</v>
      </c>
      <c r="N874" s="193">
        <f>SUM(I874:M875)</f>
        <v>1580820</v>
      </c>
      <c r="O874" s="191"/>
      <c r="P874" s="147" t="s">
        <v>3941</v>
      </c>
      <c r="Q874" s="29" t="s">
        <v>82</v>
      </c>
      <c r="R874" s="81"/>
      <c r="S874" s="48" t="s">
        <v>1494</v>
      </c>
      <c r="T874" s="50"/>
      <c r="U874" s="30" t="s">
        <v>3942</v>
      </c>
      <c r="V874" s="58"/>
      <c r="W874" s="52"/>
      <c r="X874" s="193"/>
      <c r="Y874" s="206">
        <f>X874*0.1</f>
        <v>0</v>
      </c>
      <c r="Z874" s="193"/>
      <c r="AA874" s="193">
        <f>SUM(X874:Z874)</f>
        <v>0</v>
      </c>
      <c r="AB874" s="195"/>
    </row>
    <row r="875" spans="1:28" ht="18.600000000000001" thickBot="1">
      <c r="A875" s="250"/>
      <c r="B875" s="31" t="s">
        <v>1797</v>
      </c>
      <c r="C875" s="31">
        <v>58466</v>
      </c>
      <c r="D875" s="32" t="s">
        <v>1849</v>
      </c>
      <c r="E875" s="200"/>
      <c r="F875" s="43" t="s">
        <v>3943</v>
      </c>
      <c r="G875" s="38">
        <v>57791</v>
      </c>
      <c r="H875" s="202"/>
      <c r="I875" s="194"/>
      <c r="J875" s="194"/>
      <c r="K875" s="194"/>
      <c r="L875" s="194"/>
      <c r="M875" s="194"/>
      <c r="N875" s="194"/>
      <c r="O875" s="192"/>
      <c r="P875" s="148" t="s">
        <v>3944</v>
      </c>
      <c r="Q875" s="33" t="s">
        <v>86</v>
      </c>
      <c r="R875" s="34" t="s">
        <v>3026</v>
      </c>
      <c r="S875" s="44" t="s">
        <v>96</v>
      </c>
      <c r="T875" s="46"/>
      <c r="U875" s="35"/>
      <c r="V875" s="56"/>
      <c r="W875" s="46"/>
      <c r="X875" s="194"/>
      <c r="Y875" s="194"/>
      <c r="Z875" s="194"/>
      <c r="AA875" s="194"/>
      <c r="AB875" s="196"/>
    </row>
    <row r="876" spans="1:28" ht="18.600000000000001" thickTop="1">
      <c r="A876" s="249" t="s">
        <v>3945</v>
      </c>
      <c r="B876" s="26">
        <v>45611</v>
      </c>
      <c r="C876" s="36">
        <v>1132</v>
      </c>
      <c r="D876" s="28" t="s">
        <v>3177</v>
      </c>
      <c r="E876" s="199"/>
      <c r="F876" s="54" t="s">
        <v>1844</v>
      </c>
      <c r="G876" s="37" t="s">
        <v>2869</v>
      </c>
      <c r="H876" s="201">
        <v>4.5</v>
      </c>
      <c r="I876" s="193">
        <v>2150000</v>
      </c>
      <c r="J876" s="193">
        <f>I876*0.1</f>
        <v>215000</v>
      </c>
      <c r="K876" s="193">
        <v>13200</v>
      </c>
      <c r="L876" s="193">
        <v>17600</v>
      </c>
      <c r="M876" s="193">
        <v>24200</v>
      </c>
      <c r="N876" s="193">
        <f>SUM(I876:M877)</f>
        <v>2420000</v>
      </c>
      <c r="O876" s="191"/>
      <c r="P876" s="147" t="s">
        <v>3946</v>
      </c>
      <c r="Q876" s="29" t="s">
        <v>82</v>
      </c>
      <c r="R876" s="81"/>
      <c r="S876" s="48" t="s">
        <v>1533</v>
      </c>
      <c r="T876" s="50"/>
      <c r="U876" s="30" t="s">
        <v>3947</v>
      </c>
      <c r="V876" s="58"/>
      <c r="W876" s="52"/>
      <c r="X876" s="193"/>
      <c r="Y876" s="206">
        <f>X876*0.1</f>
        <v>0</v>
      </c>
      <c r="Z876" s="193"/>
      <c r="AA876" s="193">
        <f>SUM(X876:Z876)</f>
        <v>0</v>
      </c>
      <c r="AB876" s="195"/>
    </row>
    <row r="877" spans="1:28" ht="18.600000000000001" thickBot="1">
      <c r="A877" s="250"/>
      <c r="B877" s="31" t="s">
        <v>2108</v>
      </c>
      <c r="C877" s="31">
        <v>80054</v>
      </c>
      <c r="D877" s="32" t="s">
        <v>244</v>
      </c>
      <c r="E877" s="200"/>
      <c r="F877" s="43" t="s">
        <v>3948</v>
      </c>
      <c r="G877" s="38">
        <v>22270</v>
      </c>
      <c r="H877" s="202"/>
      <c r="I877" s="194"/>
      <c r="J877" s="194"/>
      <c r="K877" s="194"/>
      <c r="L877" s="194"/>
      <c r="M877" s="194"/>
      <c r="N877" s="194"/>
      <c r="O877" s="192"/>
      <c r="P877" s="148" t="s">
        <v>1851</v>
      </c>
      <c r="Q877" s="33" t="s">
        <v>86</v>
      </c>
      <c r="R877" s="34" t="s">
        <v>3026</v>
      </c>
      <c r="S877" s="44" t="s">
        <v>3949</v>
      </c>
      <c r="T877" s="46"/>
      <c r="U877" s="35"/>
      <c r="V877" s="56"/>
      <c r="W877" s="46"/>
      <c r="X877" s="194"/>
      <c r="Y877" s="194"/>
      <c r="Z877" s="194"/>
      <c r="AA877" s="194"/>
      <c r="AB877" s="196"/>
    </row>
    <row r="878" spans="1:28" ht="18.600000000000001" thickTop="1">
      <c r="A878" s="249" t="s">
        <v>3950</v>
      </c>
      <c r="B878" s="26">
        <v>45612</v>
      </c>
      <c r="C878" s="36">
        <v>1470</v>
      </c>
      <c r="D878" s="28" t="s">
        <v>2455</v>
      </c>
      <c r="E878" s="199"/>
      <c r="F878" s="54" t="s">
        <v>3951</v>
      </c>
      <c r="G878" s="37"/>
      <c r="H878" s="201">
        <v>4.5</v>
      </c>
      <c r="I878" s="193">
        <v>2390000</v>
      </c>
      <c r="J878" s="193">
        <f>I878*0.1</f>
        <v>239000</v>
      </c>
      <c r="K878" s="193">
        <v>0</v>
      </c>
      <c r="L878" s="193">
        <v>21300</v>
      </c>
      <c r="M878" s="193">
        <v>24200</v>
      </c>
      <c r="N878" s="193">
        <f>SUM(I878:M879)</f>
        <v>2674500</v>
      </c>
      <c r="O878" s="191"/>
      <c r="P878" s="147" t="s">
        <v>3952</v>
      </c>
      <c r="Q878" s="29" t="s">
        <v>82</v>
      </c>
      <c r="R878" s="81"/>
      <c r="S878" s="48" t="s">
        <v>1494</v>
      </c>
      <c r="T878" s="50"/>
      <c r="U878" s="30"/>
      <c r="V878" s="58"/>
      <c r="W878" s="52"/>
      <c r="X878" s="193"/>
      <c r="Y878" s="206">
        <f>X878*0.1</f>
        <v>0</v>
      </c>
      <c r="Z878" s="193"/>
      <c r="AA878" s="193">
        <f>SUM(X878:Z878)</f>
        <v>0</v>
      </c>
      <c r="AB878" s="195"/>
    </row>
    <row r="879" spans="1:28" ht="18.600000000000001" thickBot="1">
      <c r="A879" s="250"/>
      <c r="B879" s="31" t="s">
        <v>1810</v>
      </c>
      <c r="C879" s="31">
        <v>83043</v>
      </c>
      <c r="D879" s="32" t="s">
        <v>1849</v>
      </c>
      <c r="E879" s="200"/>
      <c r="F879" s="43" t="s">
        <v>3953</v>
      </c>
      <c r="G879" s="38">
        <v>39755</v>
      </c>
      <c r="H879" s="202"/>
      <c r="I879" s="194"/>
      <c r="J879" s="194"/>
      <c r="K879" s="194"/>
      <c r="L879" s="194"/>
      <c r="M879" s="194"/>
      <c r="N879" s="194"/>
      <c r="O879" s="192"/>
      <c r="P879" s="148" t="s">
        <v>3954</v>
      </c>
      <c r="Q879" s="33" t="s">
        <v>86</v>
      </c>
      <c r="R879" s="34" t="s">
        <v>3026</v>
      </c>
      <c r="S879" s="44" t="s">
        <v>96</v>
      </c>
      <c r="T879" s="46"/>
      <c r="U879" s="35"/>
      <c r="V879" s="56"/>
      <c r="W879" s="46"/>
      <c r="X879" s="194"/>
      <c r="Y879" s="194"/>
      <c r="Z879" s="194"/>
      <c r="AA879" s="194"/>
      <c r="AB879" s="196"/>
    </row>
    <row r="880" spans="1:28" ht="18.600000000000001" thickTop="1">
      <c r="A880" s="249" t="s">
        <v>3975</v>
      </c>
      <c r="B880" s="26">
        <v>45626</v>
      </c>
      <c r="C880" s="36">
        <v>1394</v>
      </c>
      <c r="D880" s="28" t="s">
        <v>3405</v>
      </c>
      <c r="E880" s="199"/>
      <c r="F880" s="54" t="s">
        <v>3976</v>
      </c>
      <c r="G880" s="37"/>
      <c r="H880" s="201">
        <v>4.5</v>
      </c>
      <c r="I880" s="193">
        <v>2325000</v>
      </c>
      <c r="J880" s="193">
        <f>I880*0.1</f>
        <v>232500</v>
      </c>
      <c r="K880" s="193">
        <v>0</v>
      </c>
      <c r="L880" s="193">
        <v>16240</v>
      </c>
      <c r="M880" s="193">
        <v>13200</v>
      </c>
      <c r="N880" s="193">
        <f>SUM(I880:M881)</f>
        <v>2586940</v>
      </c>
      <c r="O880" s="191"/>
      <c r="P880" s="147" t="s">
        <v>3977</v>
      </c>
      <c r="Q880" s="29" t="s">
        <v>82</v>
      </c>
      <c r="R880" s="81"/>
      <c r="S880" s="48" t="s">
        <v>940</v>
      </c>
      <c r="T880" s="50"/>
      <c r="U880" s="30"/>
      <c r="V880" s="58"/>
      <c r="W880" s="52"/>
      <c r="X880" s="193"/>
      <c r="Y880" s="206">
        <f>X880*0.1</f>
        <v>0</v>
      </c>
      <c r="Z880" s="193"/>
      <c r="AA880" s="193">
        <f>SUM(X880:Z880)</f>
        <v>0</v>
      </c>
      <c r="AB880" s="195"/>
    </row>
    <row r="881" spans="1:28" ht="18.600000000000001" thickBot="1">
      <c r="A881" s="250"/>
      <c r="B881" s="31" t="s">
        <v>2053</v>
      </c>
      <c r="C881" s="31">
        <v>7182</v>
      </c>
      <c r="D881" s="32" t="s">
        <v>399</v>
      </c>
      <c r="E881" s="200"/>
      <c r="F881" s="43" t="s">
        <v>3978</v>
      </c>
      <c r="G881" s="38">
        <v>25321</v>
      </c>
      <c r="H881" s="202"/>
      <c r="I881" s="194"/>
      <c r="J881" s="194"/>
      <c r="K881" s="194"/>
      <c r="L881" s="194"/>
      <c r="M881" s="194"/>
      <c r="N881" s="194"/>
      <c r="O881" s="192"/>
      <c r="P881" s="148" t="s">
        <v>3979</v>
      </c>
      <c r="Q881" s="33" t="s">
        <v>86</v>
      </c>
      <c r="R881" s="34" t="s">
        <v>3980</v>
      </c>
      <c r="S881" s="44" t="s">
        <v>1872</v>
      </c>
      <c r="T881" s="46"/>
      <c r="U881" s="35"/>
      <c r="V881" s="56"/>
      <c r="W881" s="46"/>
      <c r="X881" s="194"/>
      <c r="Y881" s="194"/>
      <c r="Z881" s="194"/>
      <c r="AA881" s="194"/>
      <c r="AB881" s="196"/>
    </row>
    <row r="882" spans="1:28" ht="18.600000000000001" thickTop="1">
      <c r="A882" s="249" t="s">
        <v>3981</v>
      </c>
      <c r="B882" s="26">
        <v>45632</v>
      </c>
      <c r="C882" s="36">
        <v>2064</v>
      </c>
      <c r="D882" s="28" t="s">
        <v>3982</v>
      </c>
      <c r="E882" s="199"/>
      <c r="F882" s="183" t="s">
        <v>3983</v>
      </c>
      <c r="G882" s="37" t="s">
        <v>2906</v>
      </c>
      <c r="H882" s="201">
        <v>3.5</v>
      </c>
      <c r="I882" s="193">
        <v>950000</v>
      </c>
      <c r="J882" s="193">
        <f>I882*0.1</f>
        <v>95000</v>
      </c>
      <c r="K882" s="193">
        <v>18260</v>
      </c>
      <c r="L882" s="193">
        <v>21180</v>
      </c>
      <c r="M882" s="193">
        <v>24200</v>
      </c>
      <c r="N882" s="193">
        <f>SUM(I882:M883)</f>
        <v>1108640</v>
      </c>
      <c r="O882" s="191"/>
      <c r="P882" s="147" t="s">
        <v>3984</v>
      </c>
      <c r="Q882" s="29" t="s">
        <v>82</v>
      </c>
      <c r="R882" s="81"/>
      <c r="S882" s="48"/>
      <c r="T882" s="50"/>
      <c r="U882" s="30"/>
      <c r="V882" s="58"/>
      <c r="W882" s="52"/>
      <c r="X882" s="193"/>
      <c r="Y882" s="206">
        <f>X882*0.1</f>
        <v>0</v>
      </c>
      <c r="Z882" s="193"/>
      <c r="AA882" s="193">
        <f>SUM(X882:Z882)</f>
        <v>0</v>
      </c>
      <c r="AB882" s="195"/>
    </row>
    <row r="883" spans="1:28" ht="18.600000000000001" thickBot="1">
      <c r="A883" s="250"/>
      <c r="B883" s="31" t="s">
        <v>1797</v>
      </c>
      <c r="C883" s="31">
        <v>35182</v>
      </c>
      <c r="D883" s="32" t="s">
        <v>3985</v>
      </c>
      <c r="E883" s="200"/>
      <c r="F883" s="43" t="s">
        <v>3986</v>
      </c>
      <c r="G883" s="38">
        <v>43400</v>
      </c>
      <c r="H883" s="202"/>
      <c r="I883" s="194"/>
      <c r="J883" s="194"/>
      <c r="K883" s="194"/>
      <c r="L883" s="194"/>
      <c r="M883" s="194"/>
      <c r="N883" s="194"/>
      <c r="O883" s="192"/>
      <c r="P883" s="148" t="s">
        <v>3367</v>
      </c>
      <c r="Q883" s="33" t="s">
        <v>86</v>
      </c>
      <c r="R883" s="34" t="s">
        <v>3987</v>
      </c>
      <c r="S883" s="44" t="s">
        <v>3988</v>
      </c>
      <c r="T883" s="46"/>
      <c r="U883" s="35" t="s">
        <v>1100</v>
      </c>
      <c r="V883" s="56"/>
      <c r="W883" s="46"/>
      <c r="X883" s="194"/>
      <c r="Y883" s="194"/>
      <c r="Z883" s="194"/>
      <c r="AA883" s="194"/>
      <c r="AB883" s="196"/>
    </row>
    <row r="884" spans="1:28" ht="18.600000000000001" thickTop="1">
      <c r="A884" s="249" t="s">
        <v>3989</v>
      </c>
      <c r="B884" s="26">
        <v>45633</v>
      </c>
      <c r="C884" s="36">
        <v>1230</v>
      </c>
      <c r="D884" s="28" t="s">
        <v>2210</v>
      </c>
      <c r="E884" s="199"/>
      <c r="F884" s="54" t="s">
        <v>3990</v>
      </c>
      <c r="G884" s="37"/>
      <c r="H884" s="201">
        <v>4.5</v>
      </c>
      <c r="I884" s="193">
        <v>1635000</v>
      </c>
      <c r="J884" s="193">
        <f>I884*0.1</f>
        <v>163500</v>
      </c>
      <c r="K884" s="193">
        <v>0</v>
      </c>
      <c r="L884" s="193">
        <v>21300</v>
      </c>
      <c r="M884" s="193">
        <v>13200</v>
      </c>
      <c r="N884" s="193">
        <f>SUM(I884:M885)</f>
        <v>1833000</v>
      </c>
      <c r="O884" s="191"/>
      <c r="P884" s="147" t="s">
        <v>3991</v>
      </c>
      <c r="Q884" s="29" t="s">
        <v>82</v>
      </c>
      <c r="R884" s="81"/>
      <c r="S884" s="48" t="s">
        <v>1494</v>
      </c>
      <c r="T884" s="50"/>
      <c r="U884" s="30"/>
      <c r="V884" s="58"/>
      <c r="W884" s="52"/>
      <c r="X884" s="193"/>
      <c r="Y884" s="206">
        <f>X884*0.1</f>
        <v>0</v>
      </c>
      <c r="Z884" s="193"/>
      <c r="AA884" s="193">
        <f>SUM(X884:Z884)</f>
        <v>0</v>
      </c>
      <c r="AB884" s="195"/>
    </row>
    <row r="885" spans="1:28" ht="18.600000000000001" thickBot="1">
      <c r="A885" s="250"/>
      <c r="B885" s="31" t="s">
        <v>521</v>
      </c>
      <c r="C885" s="31">
        <v>82320</v>
      </c>
      <c r="D885" s="32" t="s">
        <v>244</v>
      </c>
      <c r="E885" s="200"/>
      <c r="F885" s="43" t="s">
        <v>3992</v>
      </c>
      <c r="G885" s="38">
        <v>40040</v>
      </c>
      <c r="H885" s="202"/>
      <c r="I885" s="194"/>
      <c r="J885" s="194"/>
      <c r="K885" s="194"/>
      <c r="L885" s="194"/>
      <c r="M885" s="194"/>
      <c r="N885" s="194"/>
      <c r="O885" s="192"/>
      <c r="P885" s="148" t="s">
        <v>3993</v>
      </c>
      <c r="Q885" s="33" t="s">
        <v>86</v>
      </c>
      <c r="R885" s="34" t="s">
        <v>2606</v>
      </c>
      <c r="S885" s="44" t="s">
        <v>96</v>
      </c>
      <c r="T885" s="46"/>
      <c r="U885" s="35"/>
      <c r="V885" s="56"/>
      <c r="W885" s="46"/>
      <c r="X885" s="194"/>
      <c r="Y885" s="194"/>
      <c r="Z885" s="194"/>
      <c r="AA885" s="194"/>
      <c r="AB885" s="196"/>
    </row>
    <row r="886" spans="1:28" ht="18.600000000000001" thickTop="1">
      <c r="A886" s="249" t="s">
        <v>3994</v>
      </c>
      <c r="B886" s="26">
        <v>45637</v>
      </c>
      <c r="C886" s="36">
        <v>1769</v>
      </c>
      <c r="D886" s="28" t="s">
        <v>1993</v>
      </c>
      <c r="E886" s="199"/>
      <c r="F886" s="54" t="s">
        <v>2657</v>
      </c>
      <c r="G886" s="37" t="s">
        <v>3995</v>
      </c>
      <c r="H886" s="201">
        <v>5</v>
      </c>
      <c r="I886" s="193">
        <v>2155000</v>
      </c>
      <c r="J886" s="193">
        <f>I886*0.1</f>
        <v>215500</v>
      </c>
      <c r="K886" s="193">
        <f>9800+980</f>
        <v>10780</v>
      </c>
      <c r="L886" s="193">
        <v>16240</v>
      </c>
      <c r="M886" s="193">
        <v>18150</v>
      </c>
      <c r="N886" s="193">
        <f>SUM(I886:M887)</f>
        <v>2415670</v>
      </c>
      <c r="O886" s="191"/>
      <c r="P886" s="147" t="s">
        <v>3996</v>
      </c>
      <c r="Q886" s="29" t="s">
        <v>82</v>
      </c>
      <c r="R886" s="81"/>
      <c r="S886" s="48" t="s">
        <v>3161</v>
      </c>
      <c r="T886" s="50"/>
      <c r="U886" s="30" t="s">
        <v>3997</v>
      </c>
      <c r="V886" s="58"/>
      <c r="W886" s="52"/>
      <c r="X886" s="193"/>
      <c r="Y886" s="206">
        <f>X886*0.1</f>
        <v>0</v>
      </c>
      <c r="Z886" s="193"/>
      <c r="AA886" s="193">
        <f>SUM(X886:Z886)</f>
        <v>0</v>
      </c>
      <c r="AB886" s="195"/>
    </row>
    <row r="887" spans="1:28" ht="18.600000000000001" thickBot="1">
      <c r="A887" s="250"/>
      <c r="B887" s="31" t="s">
        <v>2945</v>
      </c>
      <c r="C887" s="31">
        <v>38073</v>
      </c>
      <c r="D887" s="32" t="s">
        <v>1832</v>
      </c>
      <c r="E887" s="200"/>
      <c r="F887" s="43" t="s">
        <v>3998</v>
      </c>
      <c r="G887" s="38">
        <v>39007</v>
      </c>
      <c r="H887" s="202"/>
      <c r="I887" s="194"/>
      <c r="J887" s="194"/>
      <c r="K887" s="194"/>
      <c r="L887" s="194"/>
      <c r="M887" s="194"/>
      <c r="N887" s="194"/>
      <c r="O887" s="192"/>
      <c r="P887" s="148" t="s">
        <v>3999</v>
      </c>
      <c r="Q887" s="33" t="s">
        <v>86</v>
      </c>
      <c r="R887" s="34" t="s">
        <v>4000</v>
      </c>
      <c r="S887" s="44" t="s">
        <v>3070</v>
      </c>
      <c r="T887" s="46"/>
      <c r="U887" s="35"/>
      <c r="V887" s="56"/>
      <c r="W887" s="46"/>
      <c r="X887" s="194"/>
      <c r="Y887" s="194"/>
      <c r="Z887" s="194"/>
      <c r="AA887" s="194"/>
      <c r="AB887" s="196"/>
    </row>
    <row r="888" spans="1:28" ht="18.600000000000001" thickTop="1">
      <c r="A888" s="249" t="s">
        <v>4001</v>
      </c>
      <c r="B888" s="26">
        <v>45638</v>
      </c>
      <c r="C888" s="36">
        <v>1261</v>
      </c>
      <c r="D888" s="28" t="s">
        <v>2455</v>
      </c>
      <c r="E888" s="199"/>
      <c r="F888" s="54" t="s">
        <v>4002</v>
      </c>
      <c r="G888" s="37"/>
      <c r="H888" s="201">
        <v>4</v>
      </c>
      <c r="I888" s="193">
        <v>1390000</v>
      </c>
      <c r="J888" s="193">
        <f>I888*0.1</f>
        <v>139000</v>
      </c>
      <c r="K888" s="193">
        <v>0</v>
      </c>
      <c r="L888" s="193">
        <v>22640</v>
      </c>
      <c r="M888" s="193">
        <v>13200</v>
      </c>
      <c r="N888" s="193">
        <f>SUM(I888:M889)</f>
        <v>1564840</v>
      </c>
      <c r="O888" s="191"/>
      <c r="P888" s="147" t="s">
        <v>4003</v>
      </c>
      <c r="Q888" s="29" t="s">
        <v>82</v>
      </c>
      <c r="R888" s="81"/>
      <c r="S888" s="48"/>
      <c r="T888" s="50"/>
      <c r="U888" s="30"/>
      <c r="V888" s="58"/>
      <c r="W888" s="52"/>
      <c r="X888" s="193"/>
      <c r="Y888" s="206">
        <f>X888*0.1</f>
        <v>0</v>
      </c>
      <c r="Z888" s="193"/>
      <c r="AA888" s="193">
        <f>SUM(X888:Z888)</f>
        <v>0</v>
      </c>
      <c r="AB888" s="195"/>
    </row>
    <row r="889" spans="1:28" ht="18.600000000000001" thickBot="1">
      <c r="A889" s="250"/>
      <c r="B889" s="31" t="s">
        <v>2017</v>
      </c>
      <c r="C889" s="31">
        <v>143</v>
      </c>
      <c r="D889" s="32" t="s">
        <v>95</v>
      </c>
      <c r="E889" s="200"/>
      <c r="F889" s="43" t="s">
        <v>4004</v>
      </c>
      <c r="G889" s="38">
        <v>47031</v>
      </c>
      <c r="H889" s="202"/>
      <c r="I889" s="194"/>
      <c r="J889" s="194"/>
      <c r="K889" s="194"/>
      <c r="L889" s="194"/>
      <c r="M889" s="194"/>
      <c r="N889" s="194"/>
      <c r="O889" s="192"/>
      <c r="P889" s="148" t="s">
        <v>4005</v>
      </c>
      <c r="Q889" s="33" t="s">
        <v>86</v>
      </c>
      <c r="R889" s="34" t="s">
        <v>4000</v>
      </c>
      <c r="S889" s="44"/>
      <c r="T889" s="46"/>
      <c r="U889" s="35"/>
      <c r="V889" s="56"/>
      <c r="W889" s="46"/>
      <c r="X889" s="194"/>
      <c r="Y889" s="194"/>
      <c r="Z889" s="194"/>
      <c r="AA889" s="194"/>
      <c r="AB889" s="196"/>
    </row>
    <row r="890" spans="1:28" ht="18.600000000000001" thickTop="1">
      <c r="A890" s="249" t="s">
        <v>4006</v>
      </c>
      <c r="B890" s="26">
        <v>45638</v>
      </c>
      <c r="C890" s="36">
        <v>2089</v>
      </c>
      <c r="D890" s="28" t="s">
        <v>4007</v>
      </c>
      <c r="E890" s="199" t="s">
        <v>282</v>
      </c>
      <c r="F890" s="54" t="s">
        <v>4008</v>
      </c>
      <c r="G890" s="37" t="s">
        <v>4009</v>
      </c>
      <c r="H890" s="201">
        <v>4.5</v>
      </c>
      <c r="I890" s="193">
        <v>2283000</v>
      </c>
      <c r="J890" s="193">
        <f>I890*0.1</f>
        <v>228300</v>
      </c>
      <c r="K890" s="193">
        <v>7600</v>
      </c>
      <c r="L890" s="193">
        <v>16720</v>
      </c>
      <c r="M890" s="193">
        <v>13200</v>
      </c>
      <c r="N890" s="193">
        <f>SUM(I890:M891)</f>
        <v>2548820</v>
      </c>
      <c r="O890" s="191"/>
      <c r="P890" s="147" t="s">
        <v>4010</v>
      </c>
      <c r="Q890" s="29" t="s">
        <v>82</v>
      </c>
      <c r="R890" s="81"/>
      <c r="S890" s="48" t="s">
        <v>940</v>
      </c>
      <c r="T890" s="50"/>
      <c r="U890" s="30" t="s">
        <v>4011</v>
      </c>
      <c r="V890" s="58"/>
      <c r="W890" s="52"/>
      <c r="X890" s="193"/>
      <c r="Y890" s="206">
        <f>X890*0.1</f>
        <v>0</v>
      </c>
      <c r="Z890" s="193"/>
      <c r="AA890" s="193">
        <f>SUM(X890:Z890)</f>
        <v>0</v>
      </c>
      <c r="AB890" s="195"/>
    </row>
    <row r="891" spans="1:28" ht="18.600000000000001" thickBot="1">
      <c r="A891" s="250"/>
      <c r="B891" s="31" t="s">
        <v>4012</v>
      </c>
      <c r="C891" s="31">
        <v>3022</v>
      </c>
      <c r="D891" s="32" t="s">
        <v>2537</v>
      </c>
      <c r="E891" s="200"/>
      <c r="F891" s="43" t="s">
        <v>4013</v>
      </c>
      <c r="G891" s="38">
        <v>23205</v>
      </c>
      <c r="H891" s="202"/>
      <c r="I891" s="194"/>
      <c r="J891" s="194"/>
      <c r="K891" s="194"/>
      <c r="L891" s="194"/>
      <c r="M891" s="194"/>
      <c r="N891" s="194"/>
      <c r="O891" s="192"/>
      <c r="P891" s="148" t="s">
        <v>4014</v>
      </c>
      <c r="Q891" s="33" t="s">
        <v>86</v>
      </c>
      <c r="R891" s="34" t="s">
        <v>4000</v>
      </c>
      <c r="S891" s="44" t="s">
        <v>287</v>
      </c>
      <c r="T891" s="46"/>
      <c r="U891" s="35"/>
      <c r="V891" s="56"/>
      <c r="W891" s="46"/>
      <c r="X891" s="194"/>
      <c r="Y891" s="194"/>
      <c r="Z891" s="194"/>
      <c r="AA891" s="194"/>
      <c r="AB891" s="196"/>
    </row>
    <row r="892" spans="1:28" ht="18.600000000000001" thickTop="1">
      <c r="A892" s="249" t="s">
        <v>4015</v>
      </c>
      <c r="B892" s="26">
        <v>45639</v>
      </c>
      <c r="C892" s="36">
        <v>2065</v>
      </c>
      <c r="D892" s="28" t="s">
        <v>4016</v>
      </c>
      <c r="E892" s="199"/>
      <c r="F892" s="54" t="s">
        <v>4017</v>
      </c>
      <c r="G892" s="37" t="s">
        <v>4018</v>
      </c>
      <c r="H892" s="201">
        <v>4</v>
      </c>
      <c r="I892" s="193">
        <v>2240000</v>
      </c>
      <c r="J892" s="193">
        <f>I892*0.1</f>
        <v>224000</v>
      </c>
      <c r="K892" s="193">
        <f>25300+2530</f>
        <v>27830</v>
      </c>
      <c r="L892" s="193">
        <v>22270</v>
      </c>
      <c r="M892" s="193">
        <v>13200</v>
      </c>
      <c r="N892" s="193">
        <f>SUM(I892:M893)</f>
        <v>2527300</v>
      </c>
      <c r="O892" s="191"/>
      <c r="P892" s="147" t="s">
        <v>4019</v>
      </c>
      <c r="Q892" s="29" t="s">
        <v>82</v>
      </c>
      <c r="R892" s="81"/>
      <c r="S892" s="48" t="s">
        <v>4020</v>
      </c>
      <c r="T892" s="50"/>
      <c r="U892" s="30"/>
      <c r="V892" s="58"/>
      <c r="W892" s="52"/>
      <c r="X892" s="193"/>
      <c r="Y892" s="206">
        <f>X892*0.1</f>
        <v>0</v>
      </c>
      <c r="Z892" s="193"/>
      <c r="AA892" s="193">
        <f>SUM(X892:Z892)</f>
        <v>0</v>
      </c>
      <c r="AB892" s="195"/>
    </row>
    <row r="893" spans="1:28" ht="18.600000000000001" thickBot="1">
      <c r="A893" s="250"/>
      <c r="B893" s="31" t="s">
        <v>1797</v>
      </c>
      <c r="C893" s="31">
        <v>35138</v>
      </c>
      <c r="D893" s="32" t="s">
        <v>399</v>
      </c>
      <c r="E893" s="200"/>
      <c r="F893" s="43" t="s">
        <v>4021</v>
      </c>
      <c r="G893" s="38">
        <v>53501</v>
      </c>
      <c r="H893" s="202"/>
      <c r="I893" s="194"/>
      <c r="J893" s="194"/>
      <c r="K893" s="194"/>
      <c r="L893" s="194"/>
      <c r="M893" s="194"/>
      <c r="N893" s="194"/>
      <c r="O893" s="192"/>
      <c r="P893" s="148" t="s">
        <v>4022</v>
      </c>
      <c r="Q893" s="33" t="s">
        <v>86</v>
      </c>
      <c r="R893" s="34" t="s">
        <v>4023</v>
      </c>
      <c r="S893" s="44" t="s">
        <v>4024</v>
      </c>
      <c r="T893" s="46"/>
      <c r="U893" s="35"/>
      <c r="V893" s="56"/>
      <c r="W893" s="46"/>
      <c r="X893" s="194"/>
      <c r="Y893" s="194"/>
      <c r="Z893" s="194"/>
      <c r="AA893" s="194"/>
      <c r="AB893" s="196"/>
    </row>
    <row r="894" spans="1:28" ht="18.600000000000001" thickTop="1">
      <c r="A894" s="249" t="s">
        <v>4025</v>
      </c>
      <c r="B894" s="26">
        <v>45644</v>
      </c>
      <c r="C894" s="36">
        <v>2286</v>
      </c>
      <c r="D894" s="28" t="s">
        <v>4026</v>
      </c>
      <c r="E894" s="199"/>
      <c r="F894" s="54" t="s">
        <v>4027</v>
      </c>
      <c r="G894" s="37" t="s">
        <v>3291</v>
      </c>
      <c r="H894" s="201">
        <v>4.5</v>
      </c>
      <c r="I894" s="193">
        <v>1380000</v>
      </c>
      <c r="J894" s="193">
        <f>I894*0.1</f>
        <v>138000</v>
      </c>
      <c r="K894" s="193">
        <v>10780</v>
      </c>
      <c r="L894" s="193">
        <v>20170</v>
      </c>
      <c r="M894" s="193">
        <v>17600</v>
      </c>
      <c r="N894" s="193">
        <f>SUM(I894:M895)</f>
        <v>1566550</v>
      </c>
      <c r="O894" s="191"/>
      <c r="P894" s="147" t="s">
        <v>4028</v>
      </c>
      <c r="Q894" s="29" t="s">
        <v>82</v>
      </c>
      <c r="R894" s="81"/>
      <c r="S894" s="48" t="s">
        <v>1494</v>
      </c>
      <c r="T894" s="50"/>
      <c r="U894" s="30" t="s">
        <v>4029</v>
      </c>
      <c r="V894" s="58"/>
      <c r="W894" s="52"/>
      <c r="X894" s="193"/>
      <c r="Y894" s="206">
        <f>X894*0.1</f>
        <v>0</v>
      </c>
      <c r="Z894" s="193"/>
      <c r="AA894" s="193">
        <f>SUM(X894:Z894)</f>
        <v>0</v>
      </c>
      <c r="AB894" s="195"/>
    </row>
    <row r="895" spans="1:28" ht="18.600000000000001" thickBot="1">
      <c r="A895" s="250"/>
      <c r="B895" s="31" t="s">
        <v>3958</v>
      </c>
      <c r="C895" s="31">
        <v>50256</v>
      </c>
      <c r="D895" s="32" t="s">
        <v>1097</v>
      </c>
      <c r="E895" s="200"/>
      <c r="F895" s="43" t="s">
        <v>4030</v>
      </c>
      <c r="G895" s="38">
        <v>39180</v>
      </c>
      <c r="H895" s="202"/>
      <c r="I895" s="194"/>
      <c r="J895" s="194"/>
      <c r="K895" s="194"/>
      <c r="L895" s="194"/>
      <c r="M895" s="194"/>
      <c r="N895" s="194"/>
      <c r="O895" s="192"/>
      <c r="P895" s="148" t="s">
        <v>2667</v>
      </c>
      <c r="Q895" s="33" t="s">
        <v>86</v>
      </c>
      <c r="R895" s="34" t="s">
        <v>2085</v>
      </c>
      <c r="S895" s="44" t="s">
        <v>96</v>
      </c>
      <c r="T895" s="46"/>
      <c r="U895" s="35" t="s">
        <v>103</v>
      </c>
      <c r="V895" s="56"/>
      <c r="W895" s="46"/>
      <c r="X895" s="194"/>
      <c r="Y895" s="194"/>
      <c r="Z895" s="194"/>
      <c r="AA895" s="194"/>
      <c r="AB895" s="196"/>
    </row>
    <row r="896" spans="1:28" ht="18.600000000000001" thickTop="1">
      <c r="A896" s="249" t="s">
        <v>4031</v>
      </c>
      <c r="B896" s="26">
        <v>45647</v>
      </c>
      <c r="C896" s="36">
        <v>1475</v>
      </c>
      <c r="D896" s="28" t="s">
        <v>2810</v>
      </c>
      <c r="E896" s="199"/>
      <c r="F896" s="54" t="s">
        <v>3388</v>
      </c>
      <c r="G896" s="37"/>
      <c r="H896" s="201">
        <v>4.5</v>
      </c>
      <c r="I896" s="193">
        <v>1864000</v>
      </c>
      <c r="J896" s="193">
        <f>I896*0.1</f>
        <v>186400</v>
      </c>
      <c r="K896" s="193">
        <v>0</v>
      </c>
      <c r="L896" s="193">
        <v>16240</v>
      </c>
      <c r="M896" s="193">
        <v>13200</v>
      </c>
      <c r="N896" s="193">
        <f>SUM(I896:M897)</f>
        <v>2079840</v>
      </c>
      <c r="O896" s="191"/>
      <c r="P896" s="147" t="s">
        <v>4032</v>
      </c>
      <c r="Q896" s="29" t="s">
        <v>82</v>
      </c>
      <c r="R896" s="81"/>
      <c r="S896" s="48" t="s">
        <v>872</v>
      </c>
      <c r="T896" s="50"/>
      <c r="U896" s="30"/>
      <c r="V896" s="58"/>
      <c r="W896" s="52"/>
      <c r="X896" s="193"/>
      <c r="Y896" s="206">
        <f>X896*0.1</f>
        <v>0</v>
      </c>
      <c r="Z896" s="193"/>
      <c r="AA896" s="193">
        <f>SUM(X896:Z896)</f>
        <v>0</v>
      </c>
      <c r="AB896" s="195"/>
    </row>
    <row r="897" spans="1:28" ht="18.600000000000001" thickBot="1">
      <c r="A897" s="250"/>
      <c r="B897" s="31" t="s">
        <v>1810</v>
      </c>
      <c r="C897" s="31">
        <v>83073</v>
      </c>
      <c r="D897" s="32" t="s">
        <v>2946</v>
      </c>
      <c r="E897" s="200"/>
      <c r="F897" s="43" t="s">
        <v>4033</v>
      </c>
      <c r="G897" s="38">
        <v>52528</v>
      </c>
      <c r="H897" s="202"/>
      <c r="I897" s="194"/>
      <c r="J897" s="194"/>
      <c r="K897" s="194"/>
      <c r="L897" s="194"/>
      <c r="M897" s="194"/>
      <c r="N897" s="194"/>
      <c r="O897" s="192"/>
      <c r="P897" s="148" t="s">
        <v>4034</v>
      </c>
      <c r="Q897" s="33" t="s">
        <v>86</v>
      </c>
      <c r="R897" s="34" t="s">
        <v>4035</v>
      </c>
      <c r="S897" s="44" t="s">
        <v>4036</v>
      </c>
      <c r="T897" s="46"/>
      <c r="U897" s="35"/>
      <c r="V897" s="56"/>
      <c r="W897" s="46"/>
      <c r="X897" s="194"/>
      <c r="Y897" s="194"/>
      <c r="Z897" s="194"/>
      <c r="AA897" s="194"/>
      <c r="AB897" s="196"/>
    </row>
    <row r="898" spans="1:28" ht="18.600000000000001" thickTop="1">
      <c r="A898" s="249" t="s">
        <v>4044</v>
      </c>
      <c r="B898" s="26">
        <v>45649</v>
      </c>
      <c r="C898" s="36">
        <v>2025</v>
      </c>
      <c r="D898" s="28" t="s">
        <v>1993</v>
      </c>
      <c r="E898" s="199"/>
      <c r="F898" s="54" t="s">
        <v>4045</v>
      </c>
      <c r="G898" s="37" t="s">
        <v>3932</v>
      </c>
      <c r="H898" s="201">
        <v>4</v>
      </c>
      <c r="I898" s="193">
        <v>2200000</v>
      </c>
      <c r="J898" s="193">
        <f>I898*0.1</f>
        <v>220000</v>
      </c>
      <c r="K898" s="193">
        <f>9800+980</f>
        <v>10780</v>
      </c>
      <c r="L898" s="193">
        <v>19090</v>
      </c>
      <c r="M898" s="193">
        <v>11000</v>
      </c>
      <c r="N898" s="193">
        <f>SUM(I898:M899)</f>
        <v>2460870</v>
      </c>
      <c r="O898" s="191"/>
      <c r="P898" s="147" t="s">
        <v>4046</v>
      </c>
      <c r="Q898" s="29" t="s">
        <v>82</v>
      </c>
      <c r="R898" s="81"/>
      <c r="S898" s="48"/>
      <c r="T898" s="184"/>
      <c r="U898" s="30" t="s">
        <v>4047</v>
      </c>
      <c r="V898" s="58"/>
      <c r="W898" s="52"/>
      <c r="X898" s="193"/>
      <c r="Y898" s="206">
        <f>X898*0.1</f>
        <v>0</v>
      </c>
      <c r="Z898" s="193"/>
      <c r="AA898" s="193">
        <f>SUM(X898:Z898)</f>
        <v>0</v>
      </c>
      <c r="AB898" s="195"/>
    </row>
    <row r="899" spans="1:28" ht="18.600000000000001" thickBot="1">
      <c r="A899" s="250"/>
      <c r="B899" s="31" t="s">
        <v>189</v>
      </c>
      <c r="C899" s="31">
        <v>34503</v>
      </c>
      <c r="D899" s="32" t="s">
        <v>2537</v>
      </c>
      <c r="E899" s="200"/>
      <c r="F899" s="43" t="s">
        <v>4048</v>
      </c>
      <c r="G899" s="38">
        <v>10929</v>
      </c>
      <c r="H899" s="202"/>
      <c r="I899" s="194"/>
      <c r="J899" s="194"/>
      <c r="K899" s="194"/>
      <c r="L899" s="194"/>
      <c r="M899" s="194"/>
      <c r="N899" s="194"/>
      <c r="O899" s="192"/>
      <c r="P899" s="148" t="s">
        <v>4049</v>
      </c>
      <c r="Q899" s="33" t="s">
        <v>86</v>
      </c>
      <c r="R899" s="34" t="s">
        <v>3363</v>
      </c>
      <c r="S899" s="44" t="s">
        <v>4050</v>
      </c>
      <c r="T899" s="46" t="s">
        <v>4051</v>
      </c>
      <c r="U899" s="35"/>
      <c r="V899" s="56"/>
      <c r="W899" s="46"/>
      <c r="X899" s="194"/>
      <c r="Y899" s="194"/>
      <c r="Z899" s="194"/>
      <c r="AA899" s="194"/>
      <c r="AB899" s="196"/>
    </row>
    <row r="900" spans="1:28" ht="18.600000000000001" thickTop="1">
      <c r="A900" s="249" t="s">
        <v>4052</v>
      </c>
      <c r="B900" s="26">
        <v>45670</v>
      </c>
      <c r="C900" s="36"/>
      <c r="D900" s="28" t="s">
        <v>2147</v>
      </c>
      <c r="E900" s="199"/>
      <c r="F900" s="54" t="s">
        <v>3469</v>
      </c>
      <c r="G900" s="37" t="s">
        <v>4053</v>
      </c>
      <c r="H900" s="201">
        <v>3.5</v>
      </c>
      <c r="I900" s="193">
        <v>730000</v>
      </c>
      <c r="J900" s="193">
        <f>I900*0.1</f>
        <v>73000</v>
      </c>
      <c r="K900" s="193">
        <v>6270</v>
      </c>
      <c r="L900" s="193">
        <v>18960</v>
      </c>
      <c r="M900" s="193">
        <v>14850</v>
      </c>
      <c r="N900" s="193">
        <f>SUM(I900:M901)</f>
        <v>843080</v>
      </c>
      <c r="O900" s="191"/>
      <c r="P900" s="147" t="s">
        <v>4054</v>
      </c>
      <c r="Q900" s="29" t="s">
        <v>82</v>
      </c>
      <c r="R900" s="81"/>
      <c r="S900" s="48"/>
      <c r="T900" s="50"/>
      <c r="U900" s="30" t="s">
        <v>4055</v>
      </c>
      <c r="V900" s="58"/>
      <c r="W900" s="52"/>
      <c r="X900" s="193"/>
      <c r="Y900" s="206">
        <f>X900*0.1</f>
        <v>0</v>
      </c>
      <c r="Z900" s="193"/>
      <c r="AA900" s="193">
        <f>SUM(X900:Z900)</f>
        <v>0</v>
      </c>
      <c r="AB900" s="195"/>
    </row>
    <row r="901" spans="1:28" ht="18.600000000000001" thickBot="1">
      <c r="A901" s="250"/>
      <c r="B901" s="31" t="s">
        <v>3196</v>
      </c>
      <c r="C901" s="31">
        <v>70402</v>
      </c>
      <c r="D901" s="32" t="s">
        <v>1097</v>
      </c>
      <c r="E901" s="200"/>
      <c r="F901" s="43" t="s">
        <v>4056</v>
      </c>
      <c r="G901" s="38">
        <v>48887</v>
      </c>
      <c r="H901" s="202"/>
      <c r="I901" s="194"/>
      <c r="J901" s="194"/>
      <c r="K901" s="194"/>
      <c r="L901" s="194"/>
      <c r="M901" s="194"/>
      <c r="N901" s="194"/>
      <c r="O901" s="192"/>
      <c r="P901" s="148" t="s">
        <v>4057</v>
      </c>
      <c r="Q901" s="33" t="s">
        <v>86</v>
      </c>
      <c r="R901" s="34" t="s">
        <v>2654</v>
      </c>
      <c r="S901" s="44" t="s">
        <v>4058</v>
      </c>
      <c r="T901" s="46"/>
      <c r="U901" s="35"/>
      <c r="V901" s="56"/>
      <c r="W901" s="46"/>
      <c r="X901" s="194"/>
      <c r="Y901" s="194"/>
      <c r="Z901" s="194"/>
      <c r="AA901" s="194"/>
      <c r="AB901" s="196"/>
    </row>
    <row r="902" spans="1:28" ht="18.600000000000001" thickTop="1">
      <c r="A902" s="249" t="s">
        <v>4068</v>
      </c>
      <c r="B902" s="26">
        <v>45671</v>
      </c>
      <c r="C902" s="36">
        <v>1028</v>
      </c>
      <c r="D902" s="28" t="s">
        <v>106</v>
      </c>
      <c r="E902" s="199"/>
      <c r="F902" s="54" t="s">
        <v>4069</v>
      </c>
      <c r="G902" s="37" t="s">
        <v>3295</v>
      </c>
      <c r="H902" s="201">
        <v>4</v>
      </c>
      <c r="I902" s="193">
        <v>1900000</v>
      </c>
      <c r="J902" s="193">
        <f>I902*0.1</f>
        <v>190000</v>
      </c>
      <c r="K902" s="193">
        <f>6500+650</f>
        <v>7150</v>
      </c>
      <c r="L902" s="193">
        <v>13210</v>
      </c>
      <c r="M902" s="193">
        <v>24200</v>
      </c>
      <c r="N902" s="193">
        <f>SUM(I902:M903)</f>
        <v>2134560</v>
      </c>
      <c r="O902" s="191"/>
      <c r="P902" s="147" t="s">
        <v>4070</v>
      </c>
      <c r="Q902" s="29" t="s">
        <v>82</v>
      </c>
      <c r="R902" s="81"/>
      <c r="S902" s="48" t="s">
        <v>4071</v>
      </c>
      <c r="T902" s="50"/>
      <c r="U902" s="30" t="s">
        <v>4072</v>
      </c>
      <c r="V902" s="58"/>
      <c r="W902" s="52"/>
      <c r="X902" s="193"/>
      <c r="Y902" s="206">
        <f>X902*0.1</f>
        <v>0</v>
      </c>
      <c r="Z902" s="193"/>
      <c r="AA902" s="193">
        <f>SUM(X902:Z902)</f>
        <v>0</v>
      </c>
      <c r="AB902" s="195"/>
    </row>
    <row r="903" spans="1:28" ht="18.600000000000001" thickBot="1">
      <c r="A903" s="250"/>
      <c r="B903" s="31" t="s">
        <v>1848</v>
      </c>
      <c r="C903" s="31">
        <v>90160</v>
      </c>
      <c r="D903" s="32" t="s">
        <v>244</v>
      </c>
      <c r="E903" s="200"/>
      <c r="F903" s="43" t="s">
        <v>4073</v>
      </c>
      <c r="G903" s="38">
        <v>42295</v>
      </c>
      <c r="H903" s="202"/>
      <c r="I903" s="194"/>
      <c r="J903" s="194"/>
      <c r="K903" s="194"/>
      <c r="L903" s="194"/>
      <c r="M903" s="194"/>
      <c r="N903" s="194"/>
      <c r="O903" s="192"/>
      <c r="P903" s="148" t="s">
        <v>2144</v>
      </c>
      <c r="Q903" s="33" t="s">
        <v>86</v>
      </c>
      <c r="R903" s="34" t="s">
        <v>2100</v>
      </c>
      <c r="S903" s="44" t="s">
        <v>96</v>
      </c>
      <c r="T903" s="46"/>
      <c r="U903" s="35"/>
      <c r="V903" s="56"/>
      <c r="W903" s="46"/>
      <c r="X903" s="194"/>
      <c r="Y903" s="194"/>
      <c r="Z903" s="194"/>
      <c r="AA903" s="194"/>
      <c r="AB903" s="196"/>
    </row>
    <row r="904" spans="1:28" ht="18.600000000000001" thickTop="1">
      <c r="A904" s="249" t="s">
        <v>4074</v>
      </c>
      <c r="B904" s="26">
        <v>45681</v>
      </c>
      <c r="C904" s="36"/>
      <c r="D904" s="28" t="s">
        <v>2677</v>
      </c>
      <c r="E904" s="199"/>
      <c r="F904" s="54" t="s">
        <v>3406</v>
      </c>
      <c r="G904" s="37" t="s">
        <v>4075</v>
      </c>
      <c r="H904" s="201">
        <v>4</v>
      </c>
      <c r="I904" s="193">
        <f>3982000/1.1</f>
        <v>3619999.9999999995</v>
      </c>
      <c r="J904" s="193">
        <f>I904*0.1</f>
        <v>362000</v>
      </c>
      <c r="K904" s="193">
        <v>3600</v>
      </c>
      <c r="L904" s="193">
        <v>14900</v>
      </c>
      <c r="M904" s="193">
        <v>154550</v>
      </c>
      <c r="N904" s="193">
        <f>SUM(I904:M905)</f>
        <v>4155049.9999999995</v>
      </c>
      <c r="O904" s="191"/>
      <c r="P904" s="147" t="s">
        <v>4076</v>
      </c>
      <c r="Q904" s="29" t="s">
        <v>82</v>
      </c>
      <c r="R904" s="81"/>
      <c r="S904" s="48" t="s">
        <v>940</v>
      </c>
      <c r="T904" s="50"/>
      <c r="U904" s="30" t="s">
        <v>4077</v>
      </c>
      <c r="V904" s="58"/>
      <c r="W904" s="52"/>
      <c r="X904" s="193"/>
      <c r="Y904" s="206">
        <f>X904*0.1</f>
        <v>0</v>
      </c>
      <c r="Z904" s="193"/>
      <c r="AA904" s="193">
        <f>SUM(X904:Z904)</f>
        <v>0</v>
      </c>
      <c r="AB904" s="195"/>
    </row>
    <row r="905" spans="1:28" ht="18.600000000000001" thickBot="1">
      <c r="A905" s="250"/>
      <c r="B905" s="31" t="s">
        <v>1985</v>
      </c>
      <c r="C905" s="31" t="s">
        <v>4078</v>
      </c>
      <c r="D905" s="32" t="s">
        <v>399</v>
      </c>
      <c r="E905" s="200"/>
      <c r="F905" s="43" t="s">
        <v>4079</v>
      </c>
      <c r="G905" s="38">
        <v>35326</v>
      </c>
      <c r="H905" s="202"/>
      <c r="I905" s="194"/>
      <c r="J905" s="194"/>
      <c r="K905" s="194"/>
      <c r="L905" s="194"/>
      <c r="M905" s="194"/>
      <c r="N905" s="194"/>
      <c r="O905" s="192"/>
      <c r="P905" s="148" t="s">
        <v>4080</v>
      </c>
      <c r="Q905" s="33" t="s">
        <v>86</v>
      </c>
      <c r="R905" s="34" t="s">
        <v>2161</v>
      </c>
      <c r="S905" s="44" t="s">
        <v>4081</v>
      </c>
      <c r="T905" s="46"/>
      <c r="U905" s="35"/>
      <c r="V905" s="56"/>
      <c r="W905" s="46"/>
      <c r="X905" s="194"/>
      <c r="Y905" s="194"/>
      <c r="Z905" s="194"/>
      <c r="AA905" s="194"/>
      <c r="AB905" s="196"/>
    </row>
    <row r="906" spans="1:28" ht="18.600000000000001" thickTop="1">
      <c r="A906" s="249" t="s">
        <v>4082</v>
      </c>
      <c r="B906" s="26">
        <v>45681</v>
      </c>
      <c r="C906" s="36">
        <v>1354</v>
      </c>
      <c r="D906" s="28" t="s">
        <v>2828</v>
      </c>
      <c r="E906" s="199"/>
      <c r="F906" s="54" t="s">
        <v>4083</v>
      </c>
      <c r="G906" s="37"/>
      <c r="H906" s="201">
        <v>4</v>
      </c>
      <c r="I906" s="193">
        <v>1240000</v>
      </c>
      <c r="J906" s="193">
        <f>I906*0.1</f>
        <v>124000</v>
      </c>
      <c r="K906" s="193">
        <v>0</v>
      </c>
      <c r="L906" s="193">
        <v>22240</v>
      </c>
      <c r="M906" s="193">
        <v>19800</v>
      </c>
      <c r="N906" s="193">
        <f>SUM(I906:M907)</f>
        <v>1406040</v>
      </c>
      <c r="O906" s="191"/>
      <c r="P906" s="147" t="s">
        <v>4084</v>
      </c>
      <c r="Q906" s="29" t="s">
        <v>82</v>
      </c>
      <c r="R906" s="81"/>
      <c r="S906" s="48"/>
      <c r="T906" s="50"/>
      <c r="U906" s="30"/>
      <c r="V906" s="58"/>
      <c r="W906" s="52"/>
      <c r="X906" s="193"/>
      <c r="Y906" s="206">
        <f>X906*0.1</f>
        <v>0</v>
      </c>
      <c r="Z906" s="193"/>
      <c r="AA906" s="193">
        <f>SUM(X906:Z906)</f>
        <v>0</v>
      </c>
      <c r="AB906" s="195"/>
    </row>
    <row r="907" spans="1:28" ht="18.600000000000001" thickBot="1">
      <c r="A907" s="250"/>
      <c r="B907" s="31" t="s">
        <v>3039</v>
      </c>
      <c r="C907" s="31">
        <v>7062</v>
      </c>
      <c r="D907" s="32" t="s">
        <v>1832</v>
      </c>
      <c r="E907" s="200"/>
      <c r="F907" s="43" t="s">
        <v>4085</v>
      </c>
      <c r="G907" s="38">
        <v>37824</v>
      </c>
      <c r="H907" s="202"/>
      <c r="I907" s="194"/>
      <c r="J907" s="194"/>
      <c r="K907" s="194"/>
      <c r="L907" s="194"/>
      <c r="M907" s="194"/>
      <c r="N907" s="194"/>
      <c r="O907" s="192"/>
      <c r="P907" s="148" t="s">
        <v>4086</v>
      </c>
      <c r="Q907" s="33" t="s">
        <v>86</v>
      </c>
      <c r="R907" s="34" t="s">
        <v>4087</v>
      </c>
      <c r="S907" s="44" t="s">
        <v>4088</v>
      </c>
      <c r="T907" s="46"/>
      <c r="U907" s="35"/>
      <c r="V907" s="56"/>
      <c r="W907" s="46"/>
      <c r="X907" s="194"/>
      <c r="Y907" s="194"/>
      <c r="Z907" s="194"/>
      <c r="AA907" s="194"/>
      <c r="AB907" s="196"/>
    </row>
    <row r="908" spans="1:28" ht="18.600000000000001" thickTop="1">
      <c r="A908" s="249" t="s">
        <v>4112</v>
      </c>
      <c r="B908" s="26">
        <v>45689</v>
      </c>
      <c r="C908" s="36">
        <v>1237</v>
      </c>
      <c r="D908" s="28" t="s">
        <v>1258</v>
      </c>
      <c r="E908" s="199"/>
      <c r="F908" s="54" t="s">
        <v>4113</v>
      </c>
      <c r="G908" s="37"/>
      <c r="H908" s="201">
        <v>4.5</v>
      </c>
      <c r="I908" s="193">
        <v>3160000</v>
      </c>
      <c r="J908" s="193">
        <f>I908*0.1</f>
        <v>316000</v>
      </c>
      <c r="K908" s="193">
        <v>0</v>
      </c>
      <c r="L908" s="193">
        <v>18170</v>
      </c>
      <c r="M908" s="193">
        <v>13200</v>
      </c>
      <c r="N908" s="193">
        <f>SUM(I908:M909)</f>
        <v>3507370</v>
      </c>
      <c r="O908" s="191"/>
      <c r="P908" s="147" t="s">
        <v>4114</v>
      </c>
      <c r="Q908" s="29" t="s">
        <v>82</v>
      </c>
      <c r="R908" s="81"/>
      <c r="S908" s="48" t="s">
        <v>1540</v>
      </c>
      <c r="T908" s="50"/>
      <c r="U908" s="30"/>
      <c r="V908" s="58"/>
      <c r="W908" s="52"/>
      <c r="X908" s="193"/>
      <c r="Y908" s="206">
        <f>X908*0.1</f>
        <v>0</v>
      </c>
      <c r="Z908" s="193"/>
      <c r="AA908" s="193">
        <f>SUM(X908:Z908)</f>
        <v>0</v>
      </c>
      <c r="AB908" s="195"/>
    </row>
    <row r="909" spans="1:28" ht="18.600000000000001" thickBot="1">
      <c r="A909" s="250"/>
      <c r="B909" s="31" t="s">
        <v>521</v>
      </c>
      <c r="C909" s="31">
        <v>82120</v>
      </c>
      <c r="D909" s="32" t="s">
        <v>2537</v>
      </c>
      <c r="E909" s="200"/>
      <c r="F909" s="43" t="s">
        <v>4115</v>
      </c>
      <c r="G909" s="38">
        <v>24299</v>
      </c>
      <c r="H909" s="202"/>
      <c r="I909" s="194"/>
      <c r="J909" s="194"/>
      <c r="K909" s="194"/>
      <c r="L909" s="194"/>
      <c r="M909" s="194"/>
      <c r="N909" s="194"/>
      <c r="O909" s="192"/>
      <c r="P909" s="148" t="s">
        <v>4116</v>
      </c>
      <c r="Q909" s="33" t="s">
        <v>86</v>
      </c>
      <c r="R909" s="34" t="s">
        <v>2136</v>
      </c>
      <c r="S909" s="44" t="s">
        <v>1872</v>
      </c>
      <c r="T909" s="46"/>
      <c r="U909" s="35"/>
      <c r="V909" s="56"/>
      <c r="W909" s="46"/>
      <c r="X909" s="194"/>
      <c r="Y909" s="194"/>
      <c r="Z909" s="194"/>
      <c r="AA909" s="194"/>
      <c r="AB909" s="196"/>
    </row>
    <row r="910" spans="1:28" ht="18.600000000000001" thickTop="1">
      <c r="A910" s="249" t="s">
        <v>4133</v>
      </c>
      <c r="B910" s="26">
        <v>45694</v>
      </c>
      <c r="C910" s="36">
        <v>1503</v>
      </c>
      <c r="D910" s="28" t="s">
        <v>4134</v>
      </c>
      <c r="E910" s="199"/>
      <c r="F910" s="54" t="s">
        <v>4135</v>
      </c>
      <c r="G910" s="37"/>
      <c r="H910" s="201">
        <v>4</v>
      </c>
      <c r="I910" s="193">
        <v>1790000</v>
      </c>
      <c r="J910" s="193">
        <f>I910*0.1</f>
        <v>179000</v>
      </c>
      <c r="K910" s="193">
        <v>0</v>
      </c>
      <c r="L910" s="193">
        <v>19540</v>
      </c>
      <c r="M910" s="193">
        <v>13200</v>
      </c>
      <c r="N910" s="193">
        <f>SUM(I910:M911)</f>
        <v>2001740</v>
      </c>
      <c r="O910" s="191"/>
      <c r="P910" s="147" t="s">
        <v>4136</v>
      </c>
      <c r="Q910" s="29" t="s">
        <v>82</v>
      </c>
      <c r="R910" s="81"/>
      <c r="S910" s="48" t="s">
        <v>1326</v>
      </c>
      <c r="T910" s="50"/>
      <c r="U910" s="30"/>
      <c r="V910" s="58"/>
      <c r="W910" s="52"/>
      <c r="X910" s="193"/>
      <c r="Y910" s="206">
        <f>X910*0.1</f>
        <v>0</v>
      </c>
      <c r="Z910" s="193"/>
      <c r="AA910" s="193">
        <f>SUM(X910:Z910)</f>
        <v>0</v>
      </c>
      <c r="AB910" s="195"/>
    </row>
    <row r="911" spans="1:28" ht="18.600000000000001" thickBot="1">
      <c r="A911" s="250"/>
      <c r="B911" s="31" t="s">
        <v>1858</v>
      </c>
      <c r="C911" s="31">
        <v>75573</v>
      </c>
      <c r="D911" s="32" t="s">
        <v>399</v>
      </c>
      <c r="E911" s="200"/>
      <c r="F911" s="43" t="s">
        <v>4137</v>
      </c>
      <c r="G911" s="38">
        <v>41132</v>
      </c>
      <c r="H911" s="202"/>
      <c r="I911" s="194"/>
      <c r="J911" s="194"/>
      <c r="K911" s="194"/>
      <c r="L911" s="194"/>
      <c r="M911" s="194"/>
      <c r="N911" s="194"/>
      <c r="O911" s="192"/>
      <c r="P911" s="148" t="s">
        <v>4138</v>
      </c>
      <c r="Q911" s="33" t="s">
        <v>86</v>
      </c>
      <c r="R911" s="34" t="s">
        <v>2136</v>
      </c>
      <c r="S911" s="44" t="s">
        <v>4139</v>
      </c>
      <c r="T911" s="46"/>
      <c r="U911" s="35"/>
      <c r="V911" s="56"/>
      <c r="W911" s="46"/>
      <c r="X911" s="194"/>
      <c r="Y911" s="194"/>
      <c r="Z911" s="194"/>
      <c r="AA911" s="194"/>
      <c r="AB911" s="196"/>
    </row>
    <row r="912" spans="1:28" ht="18.600000000000001" thickTop="1">
      <c r="A912" s="249" t="s">
        <v>4161</v>
      </c>
      <c r="B912" s="26">
        <v>45702</v>
      </c>
      <c r="C912" s="36">
        <v>2073</v>
      </c>
      <c r="D912" s="28" t="s">
        <v>2516</v>
      </c>
      <c r="E912" s="199"/>
      <c r="F912" s="54" t="s">
        <v>4162</v>
      </c>
      <c r="G912" s="37" t="s">
        <v>4163</v>
      </c>
      <c r="H912" s="201">
        <v>4</v>
      </c>
      <c r="I912" s="193">
        <v>845000</v>
      </c>
      <c r="J912" s="193">
        <f>I912*0.1</f>
        <v>84500</v>
      </c>
      <c r="K912" s="193">
        <v>0</v>
      </c>
      <c r="L912" s="193">
        <v>5340</v>
      </c>
      <c r="M912" s="193">
        <v>13200</v>
      </c>
      <c r="N912" s="193">
        <f>SUM(I912:M913)</f>
        <v>948040</v>
      </c>
      <c r="O912" s="191"/>
      <c r="P912" s="147" t="s">
        <v>4164</v>
      </c>
      <c r="Q912" s="29" t="s">
        <v>82</v>
      </c>
      <c r="R912" s="81"/>
      <c r="S912" s="48" t="s">
        <v>1540</v>
      </c>
      <c r="T912" s="50"/>
      <c r="U912" s="30" t="s">
        <v>4165</v>
      </c>
      <c r="V912" s="58"/>
      <c r="W912" s="52"/>
      <c r="X912" s="193"/>
      <c r="Y912" s="206">
        <f>X912*0.1</f>
        <v>0</v>
      </c>
      <c r="Z912" s="193"/>
      <c r="AA912" s="193">
        <f>SUM(X912:Z912)</f>
        <v>0</v>
      </c>
      <c r="AB912" s="195"/>
    </row>
    <row r="913" spans="1:28" ht="18.600000000000001" thickBot="1">
      <c r="A913" s="250"/>
      <c r="B913" s="31" t="s">
        <v>1797</v>
      </c>
      <c r="C913" s="31">
        <v>55488</v>
      </c>
      <c r="D913" s="32" t="s">
        <v>1832</v>
      </c>
      <c r="E913" s="200"/>
      <c r="F913" s="43" t="s">
        <v>4166</v>
      </c>
      <c r="G913" s="38">
        <v>59766</v>
      </c>
      <c r="H913" s="202"/>
      <c r="I913" s="194"/>
      <c r="J913" s="194"/>
      <c r="K913" s="194"/>
      <c r="L913" s="194"/>
      <c r="M913" s="194"/>
      <c r="N913" s="194"/>
      <c r="O913" s="192"/>
      <c r="P913" s="148" t="s">
        <v>3944</v>
      </c>
      <c r="Q913" s="33" t="s">
        <v>86</v>
      </c>
      <c r="R913" s="34" t="s">
        <v>2181</v>
      </c>
      <c r="S913" s="44" t="s">
        <v>4167</v>
      </c>
      <c r="T913" s="46" t="s">
        <v>4168</v>
      </c>
      <c r="U913" s="35"/>
      <c r="V913" s="56"/>
      <c r="W913" s="46"/>
      <c r="X913" s="194"/>
      <c r="Y913" s="194"/>
      <c r="Z913" s="194"/>
      <c r="AA913" s="194"/>
      <c r="AB913" s="196"/>
    </row>
    <row r="914" spans="1:28" ht="18.600000000000001" thickTop="1">
      <c r="A914" s="249" t="s">
        <v>4202</v>
      </c>
      <c r="B914" s="26">
        <v>45715</v>
      </c>
      <c r="C914" s="36">
        <v>1506</v>
      </c>
      <c r="D914" s="28" t="s">
        <v>2507</v>
      </c>
      <c r="E914" s="199"/>
      <c r="F914" s="54" t="s">
        <v>4203</v>
      </c>
      <c r="G914" s="37"/>
      <c r="H914" s="201">
        <v>4</v>
      </c>
      <c r="I914" s="193">
        <v>1340000</v>
      </c>
      <c r="J914" s="193">
        <f>I914*0.1</f>
        <v>134000</v>
      </c>
      <c r="K914" s="193">
        <v>0</v>
      </c>
      <c r="L914" s="193">
        <v>21300</v>
      </c>
      <c r="M914" s="193">
        <v>13200</v>
      </c>
      <c r="N914" s="193">
        <f>SUM(I914:M915)</f>
        <v>1508500</v>
      </c>
      <c r="O914" s="191"/>
      <c r="P914" s="147" t="s">
        <v>4204</v>
      </c>
      <c r="Q914" s="29" t="s">
        <v>82</v>
      </c>
      <c r="R914" s="81"/>
      <c r="S914" s="48" t="s">
        <v>4205</v>
      </c>
      <c r="T914" s="50"/>
      <c r="U914" s="30"/>
      <c r="V914" s="58"/>
      <c r="W914" s="52"/>
      <c r="X914" s="193"/>
      <c r="Y914" s="193">
        <f>X914*0.1</f>
        <v>0</v>
      </c>
      <c r="Z914" s="193"/>
      <c r="AA914" s="193">
        <f>SUM(X914:Z914)</f>
        <v>0</v>
      </c>
      <c r="AB914" s="195"/>
    </row>
    <row r="915" spans="1:28" ht="18.600000000000001" thickBot="1">
      <c r="A915" s="250"/>
      <c r="B915" s="31" t="s">
        <v>1858</v>
      </c>
      <c r="C915" s="31">
        <v>79076</v>
      </c>
      <c r="D915" s="32" t="s">
        <v>244</v>
      </c>
      <c r="E915" s="200"/>
      <c r="F915" s="43" t="s">
        <v>4206</v>
      </c>
      <c r="G915" s="38">
        <v>39393</v>
      </c>
      <c r="H915" s="202"/>
      <c r="I915" s="194"/>
      <c r="J915" s="194"/>
      <c r="K915" s="194"/>
      <c r="L915" s="194"/>
      <c r="M915" s="194"/>
      <c r="N915" s="194"/>
      <c r="O915" s="192"/>
      <c r="P915" s="148" t="s">
        <v>3944</v>
      </c>
      <c r="Q915" s="33" t="s">
        <v>86</v>
      </c>
      <c r="R915" s="34" t="s">
        <v>3429</v>
      </c>
      <c r="S915" s="44" t="s">
        <v>96</v>
      </c>
      <c r="T915" s="46"/>
      <c r="U915" s="35"/>
      <c r="V915" s="56"/>
      <c r="W915" s="46"/>
      <c r="X915" s="194"/>
      <c r="Y915" s="194"/>
      <c r="Z915" s="194"/>
      <c r="AA915" s="194"/>
      <c r="AB915" s="196"/>
    </row>
    <row r="916" spans="1:28" ht="18.600000000000001" thickTop="1">
      <c r="A916" s="249" t="s">
        <v>4224</v>
      </c>
      <c r="B916" s="26">
        <v>45716</v>
      </c>
      <c r="C916" s="36">
        <v>2075</v>
      </c>
      <c r="D916" s="28" t="s">
        <v>2220</v>
      </c>
      <c r="E916" s="199"/>
      <c r="F916" s="54" t="s">
        <v>3931</v>
      </c>
      <c r="G916" s="37" t="s">
        <v>4225</v>
      </c>
      <c r="H916" s="201">
        <v>4.5</v>
      </c>
      <c r="I916" s="193">
        <v>1920000</v>
      </c>
      <c r="J916" s="193">
        <f>I916*0.1</f>
        <v>192000</v>
      </c>
      <c r="K916" s="193">
        <f>3200+320</f>
        <v>3520</v>
      </c>
      <c r="L916" s="193">
        <v>13210</v>
      </c>
      <c r="M916" s="193">
        <v>13200</v>
      </c>
      <c r="N916" s="193">
        <f>SUM(I916:M917)</f>
        <v>2141930</v>
      </c>
      <c r="O916" s="191"/>
      <c r="P916" s="147" t="s">
        <v>4226</v>
      </c>
      <c r="Q916" s="29" t="s">
        <v>82</v>
      </c>
      <c r="R916" s="81"/>
      <c r="S916" s="48" t="s">
        <v>1666</v>
      </c>
      <c r="T916" s="50"/>
      <c r="U916" s="30" t="s">
        <v>4227</v>
      </c>
      <c r="V916" s="58"/>
      <c r="W916" s="52"/>
      <c r="X916" s="193"/>
      <c r="Y916" s="206">
        <f>X916*0.1</f>
        <v>0</v>
      </c>
      <c r="Z916" s="193"/>
      <c r="AA916" s="193">
        <f>SUM(X916:Z916)</f>
        <v>0</v>
      </c>
      <c r="AB916" s="195"/>
    </row>
    <row r="917" spans="1:28" ht="18.600000000000001" thickBot="1">
      <c r="A917" s="250"/>
      <c r="B917" s="31" t="s">
        <v>1797</v>
      </c>
      <c r="C917" s="31">
        <v>35427</v>
      </c>
      <c r="D917" s="32" t="s">
        <v>1097</v>
      </c>
      <c r="E917" s="200"/>
      <c r="F917" s="43" t="s">
        <v>4228</v>
      </c>
      <c r="G917" s="38">
        <v>30596</v>
      </c>
      <c r="H917" s="202"/>
      <c r="I917" s="194"/>
      <c r="J917" s="194"/>
      <c r="K917" s="194"/>
      <c r="L917" s="194"/>
      <c r="M917" s="194"/>
      <c r="N917" s="194"/>
      <c r="O917" s="192"/>
      <c r="P917" s="148" t="s">
        <v>4229</v>
      </c>
      <c r="Q917" s="33" t="s">
        <v>86</v>
      </c>
      <c r="R917" s="34" t="s">
        <v>3086</v>
      </c>
      <c r="S917" s="44" t="s">
        <v>4230</v>
      </c>
      <c r="T917" s="46" t="s">
        <v>4231</v>
      </c>
      <c r="U917" s="35"/>
      <c r="V917" s="56"/>
      <c r="W917" s="46"/>
      <c r="X917" s="194"/>
      <c r="Y917" s="194"/>
      <c r="Z917" s="194"/>
      <c r="AA917" s="194"/>
      <c r="AB917" s="196"/>
    </row>
    <row r="918" spans="1:28" ht="18.600000000000001" thickTop="1">
      <c r="A918" s="249" t="s">
        <v>4238</v>
      </c>
      <c r="B918" s="26">
        <v>45725</v>
      </c>
      <c r="C918" s="36"/>
      <c r="D918" s="28" t="s">
        <v>4239</v>
      </c>
      <c r="E918" s="199"/>
      <c r="F918" s="54" t="s">
        <v>4240</v>
      </c>
      <c r="G918" s="37" t="s">
        <v>3295</v>
      </c>
      <c r="H918" s="201"/>
      <c r="I918" s="193">
        <v>0</v>
      </c>
      <c r="J918" s="193">
        <f>I918*0.1</f>
        <v>0</v>
      </c>
      <c r="K918" s="193">
        <v>0</v>
      </c>
      <c r="L918" s="193">
        <v>0</v>
      </c>
      <c r="M918" s="193">
        <v>0</v>
      </c>
      <c r="N918" s="193">
        <f>SUM(I918:M919)</f>
        <v>0</v>
      </c>
      <c r="O918" s="191"/>
      <c r="P918" s="147" t="s">
        <v>4241</v>
      </c>
      <c r="Q918" s="29" t="s">
        <v>82</v>
      </c>
      <c r="R918" s="81"/>
      <c r="S918" s="48"/>
      <c r="T918" s="50"/>
      <c r="U918" s="30"/>
      <c r="V918" s="58"/>
      <c r="W918" s="52"/>
      <c r="X918" s="193"/>
      <c r="Y918" s="206">
        <f>X918*0.1</f>
        <v>0</v>
      </c>
      <c r="Z918" s="193"/>
      <c r="AA918" s="193">
        <f>SUM(X918:Z918)</f>
        <v>0</v>
      </c>
      <c r="AB918" s="195"/>
    </row>
    <row r="919" spans="1:28" ht="18.600000000000001" thickBot="1">
      <c r="A919" s="250"/>
      <c r="B919" s="31" t="s">
        <v>4242</v>
      </c>
      <c r="C919" s="31"/>
      <c r="D919" s="32"/>
      <c r="E919" s="200"/>
      <c r="F919" s="43" t="s">
        <v>4243</v>
      </c>
      <c r="G919" s="38"/>
      <c r="H919" s="202"/>
      <c r="I919" s="194"/>
      <c r="J919" s="194"/>
      <c r="K919" s="194"/>
      <c r="L919" s="194"/>
      <c r="M919" s="194"/>
      <c r="N919" s="194"/>
      <c r="O919" s="192"/>
      <c r="P919" s="148" t="s">
        <v>4244</v>
      </c>
      <c r="Q919" s="33" t="s">
        <v>86</v>
      </c>
      <c r="R919" s="34" t="s">
        <v>3483</v>
      </c>
      <c r="S919" s="44" t="s">
        <v>4245</v>
      </c>
      <c r="T919" s="46"/>
      <c r="U919" s="35" t="s">
        <v>1100</v>
      </c>
      <c r="V919" s="56"/>
      <c r="W919" s="46"/>
      <c r="X919" s="194"/>
      <c r="Y919" s="194"/>
      <c r="Z919" s="194"/>
      <c r="AA919" s="194"/>
      <c r="AB919" s="196"/>
    </row>
    <row r="920" spans="1:28" ht="18.600000000000001" thickTop="1">
      <c r="A920" s="249" t="s">
        <v>4246</v>
      </c>
      <c r="B920" s="26">
        <v>45727</v>
      </c>
      <c r="C920" s="36">
        <v>1036</v>
      </c>
      <c r="D920" s="28" t="s">
        <v>2229</v>
      </c>
      <c r="E920" s="199"/>
      <c r="F920" s="54" t="s">
        <v>4247</v>
      </c>
      <c r="G920" s="37" t="s">
        <v>4248</v>
      </c>
      <c r="H920" s="201">
        <v>4.5</v>
      </c>
      <c r="I920" s="193">
        <v>2090000</v>
      </c>
      <c r="J920" s="193">
        <f>I920*0.1</f>
        <v>209000</v>
      </c>
      <c r="K920" s="193">
        <v>39500</v>
      </c>
      <c r="L920" s="193">
        <v>15240</v>
      </c>
      <c r="M920" s="193">
        <v>13200</v>
      </c>
      <c r="N920" s="193">
        <f>SUM(I920:M921)</f>
        <v>2366940</v>
      </c>
      <c r="O920" s="191"/>
      <c r="P920" s="147" t="s">
        <v>4249</v>
      </c>
      <c r="Q920" s="29" t="s">
        <v>82</v>
      </c>
      <c r="R920" s="81"/>
      <c r="S920" s="48" t="s">
        <v>4071</v>
      </c>
      <c r="T920" s="50"/>
      <c r="U920" s="30"/>
      <c r="V920" s="58"/>
      <c r="W920" s="52"/>
      <c r="X920" s="193"/>
      <c r="Y920" s="206">
        <f>X920*0.1</f>
        <v>0</v>
      </c>
      <c r="Z920" s="193"/>
      <c r="AA920" s="193">
        <f>SUM(X920:Z920)</f>
        <v>0</v>
      </c>
      <c r="AB920" s="195"/>
    </row>
    <row r="921" spans="1:28" ht="18.600000000000001" thickBot="1">
      <c r="A921" s="250"/>
      <c r="B921" s="31" t="s">
        <v>1848</v>
      </c>
      <c r="C921" s="31">
        <v>90096</v>
      </c>
      <c r="D921" s="32" t="s">
        <v>244</v>
      </c>
      <c r="E921" s="200"/>
      <c r="F921" s="43" t="s">
        <v>4250</v>
      </c>
      <c r="G921" s="38">
        <v>48655</v>
      </c>
      <c r="H921" s="202"/>
      <c r="I921" s="194"/>
      <c r="J921" s="194"/>
      <c r="K921" s="194"/>
      <c r="L921" s="194"/>
      <c r="M921" s="194"/>
      <c r="N921" s="194"/>
      <c r="O921" s="192"/>
      <c r="P921" s="148" t="s">
        <v>4251</v>
      </c>
      <c r="Q921" s="33" t="s">
        <v>86</v>
      </c>
      <c r="R921" s="34" t="s">
        <v>4252</v>
      </c>
      <c r="S921" s="44" t="s">
        <v>3369</v>
      </c>
      <c r="T921" s="46"/>
      <c r="U921" s="35" t="s">
        <v>1100</v>
      </c>
      <c r="V921" s="56"/>
      <c r="W921" s="46"/>
      <c r="X921" s="194"/>
      <c r="Y921" s="194"/>
      <c r="Z921" s="194"/>
      <c r="AA921" s="194"/>
      <c r="AB921" s="196"/>
    </row>
    <row r="922" spans="1:28" ht="18.600000000000001" thickTop="1">
      <c r="A922" s="249" t="s">
        <v>4269</v>
      </c>
      <c r="B922" s="26">
        <v>45745</v>
      </c>
      <c r="C922" s="36"/>
      <c r="D922" s="28" t="s">
        <v>4270</v>
      </c>
      <c r="E922" s="199"/>
      <c r="F922" s="54" t="s">
        <v>4271</v>
      </c>
      <c r="G922" s="37" t="s">
        <v>4061</v>
      </c>
      <c r="H922" s="201"/>
      <c r="I922" s="193">
        <v>167500</v>
      </c>
      <c r="J922" s="193">
        <v>0</v>
      </c>
      <c r="K922" s="193">
        <v>0</v>
      </c>
      <c r="L922" s="193">
        <v>0</v>
      </c>
      <c r="M922" s="193">
        <v>0</v>
      </c>
      <c r="N922" s="193">
        <f>SUM(I922:M923)</f>
        <v>167500</v>
      </c>
      <c r="O922" s="191"/>
      <c r="P922" s="147" t="s">
        <v>4272</v>
      </c>
      <c r="Q922" s="29" t="s">
        <v>82</v>
      </c>
      <c r="R922" s="81"/>
      <c r="S922" s="48"/>
      <c r="T922" s="50"/>
      <c r="U922" s="30"/>
      <c r="V922" s="58"/>
      <c r="W922" s="52"/>
      <c r="X922" s="193"/>
      <c r="Y922" s="206">
        <f>X922*0.1</f>
        <v>0</v>
      </c>
      <c r="Z922" s="193"/>
      <c r="AA922" s="193">
        <f>SUM(X922:Z922)</f>
        <v>0</v>
      </c>
      <c r="AB922" s="195"/>
    </row>
    <row r="923" spans="1:28" ht="18.600000000000001" thickBot="1">
      <c r="A923" s="250"/>
      <c r="B923" s="31" t="s">
        <v>4273</v>
      </c>
      <c r="C923" s="31"/>
      <c r="D923" s="32"/>
      <c r="E923" s="200"/>
      <c r="F923" s="43" t="s">
        <v>4274</v>
      </c>
      <c r="G923" s="38">
        <v>87801</v>
      </c>
      <c r="H923" s="202"/>
      <c r="I923" s="194"/>
      <c r="J923" s="194"/>
      <c r="K923" s="194"/>
      <c r="L923" s="194"/>
      <c r="M923" s="194"/>
      <c r="N923" s="194"/>
      <c r="O923" s="192"/>
      <c r="P923" s="148" t="s">
        <v>4275</v>
      </c>
      <c r="Q923" s="33" t="s">
        <v>86</v>
      </c>
      <c r="R923" s="34" t="s">
        <v>3116</v>
      </c>
      <c r="S923" s="44"/>
      <c r="T923" s="46"/>
      <c r="U923" s="185" t="s">
        <v>1100</v>
      </c>
      <c r="V923" s="56"/>
      <c r="W923" s="46"/>
      <c r="X923" s="194"/>
      <c r="Y923" s="194"/>
      <c r="Z923" s="194"/>
      <c r="AA923" s="194"/>
      <c r="AB923" s="196"/>
    </row>
    <row r="924" spans="1:28" ht="18.600000000000001" thickTop="1">
      <c r="A924" s="249" t="s">
        <v>4288</v>
      </c>
      <c r="B924" s="26">
        <v>45752</v>
      </c>
      <c r="C924" s="36"/>
      <c r="D924" s="28" t="s">
        <v>4289</v>
      </c>
      <c r="E924" s="199"/>
      <c r="F924" s="54" t="s">
        <v>4290</v>
      </c>
      <c r="G924" s="37" t="s">
        <v>3271</v>
      </c>
      <c r="H924" s="201"/>
      <c r="I924" s="193">
        <v>2300000</v>
      </c>
      <c r="J924" s="193">
        <v>0</v>
      </c>
      <c r="K924" s="193">
        <v>0</v>
      </c>
      <c r="L924" s="193">
        <v>0</v>
      </c>
      <c r="M924" s="193">
        <v>0</v>
      </c>
      <c r="N924" s="193">
        <f>SUM(I924:M925)</f>
        <v>2300000</v>
      </c>
      <c r="O924" s="191"/>
      <c r="P924" s="147" t="s">
        <v>4291</v>
      </c>
      <c r="Q924" s="29" t="s">
        <v>82</v>
      </c>
      <c r="R924" s="81"/>
      <c r="S924" s="48"/>
      <c r="T924" s="50"/>
      <c r="U924" s="30"/>
      <c r="V924" s="58"/>
      <c r="W924" s="52"/>
      <c r="X924" s="193"/>
      <c r="Y924" s="206">
        <f>X924*0.1</f>
        <v>0</v>
      </c>
      <c r="Z924" s="193"/>
      <c r="AA924" s="193">
        <f>SUM(X924:Z924)</f>
        <v>0</v>
      </c>
      <c r="AB924" s="195"/>
    </row>
    <row r="925" spans="1:28" ht="18.600000000000001" thickBot="1">
      <c r="A925" s="250"/>
      <c r="B925" s="31" t="s">
        <v>4292</v>
      </c>
      <c r="C925" s="31"/>
      <c r="D925" s="32"/>
      <c r="E925" s="200"/>
      <c r="F925" s="43" t="s">
        <v>4293</v>
      </c>
      <c r="G925" s="38">
        <v>52000</v>
      </c>
      <c r="H925" s="202"/>
      <c r="I925" s="194"/>
      <c r="J925" s="194"/>
      <c r="K925" s="194"/>
      <c r="L925" s="194"/>
      <c r="M925" s="194"/>
      <c r="N925" s="194"/>
      <c r="O925" s="192"/>
      <c r="P925" s="148" t="s">
        <v>4294</v>
      </c>
      <c r="Q925" s="33" t="s">
        <v>86</v>
      </c>
      <c r="R925" s="34" t="s">
        <v>1819</v>
      </c>
      <c r="S925" s="44" t="s">
        <v>1919</v>
      </c>
      <c r="T925" s="46"/>
      <c r="U925" s="35"/>
      <c r="V925" s="56"/>
      <c r="W925" s="46"/>
      <c r="X925" s="194"/>
      <c r="Y925" s="194"/>
      <c r="Z925" s="194"/>
      <c r="AA925" s="194"/>
      <c r="AB925" s="196"/>
    </row>
    <row r="926" spans="1:28" ht="18.600000000000001" thickTop="1">
      <c r="A926" s="249" t="s">
        <v>4295</v>
      </c>
      <c r="B926" s="26">
        <v>45755</v>
      </c>
      <c r="C926" s="36">
        <v>1040</v>
      </c>
      <c r="D926" s="28" t="s">
        <v>2700</v>
      </c>
      <c r="E926" s="199"/>
      <c r="F926" s="54" t="s">
        <v>4296</v>
      </c>
      <c r="G926" s="37"/>
      <c r="H926" s="201">
        <v>4</v>
      </c>
      <c r="I926" s="193">
        <v>1220000</v>
      </c>
      <c r="J926" s="193">
        <f>I926*0.1</f>
        <v>122000</v>
      </c>
      <c r="K926" s="193">
        <v>0</v>
      </c>
      <c r="L926" s="193">
        <v>10890</v>
      </c>
      <c r="M926" s="193">
        <v>16500</v>
      </c>
      <c r="N926" s="193">
        <f>SUM(I926:M927)</f>
        <v>1369390</v>
      </c>
      <c r="O926" s="191"/>
      <c r="P926" s="147" t="s">
        <v>4297</v>
      </c>
      <c r="Q926" s="29" t="s">
        <v>82</v>
      </c>
      <c r="R926" s="81"/>
      <c r="S926" s="48" t="s">
        <v>1494</v>
      </c>
      <c r="T926" s="50"/>
      <c r="U926" s="30"/>
      <c r="V926" s="58"/>
      <c r="W926" s="52"/>
      <c r="X926" s="193"/>
      <c r="Y926" s="206">
        <f>X926*0.1</f>
        <v>0</v>
      </c>
      <c r="Z926" s="193"/>
      <c r="AA926" s="193">
        <f>SUM(X926:Z926)</f>
        <v>0</v>
      </c>
      <c r="AB926" s="195"/>
    </row>
    <row r="927" spans="1:28" ht="18.600000000000001" thickBot="1">
      <c r="A927" s="250"/>
      <c r="B927" s="31" t="s">
        <v>1848</v>
      </c>
      <c r="C927" s="31">
        <v>84101</v>
      </c>
      <c r="D927" s="32" t="s">
        <v>1097</v>
      </c>
      <c r="E927" s="200"/>
      <c r="F927" s="43" t="s">
        <v>4298</v>
      </c>
      <c r="G927" s="38">
        <v>36165</v>
      </c>
      <c r="H927" s="202"/>
      <c r="I927" s="194"/>
      <c r="J927" s="194"/>
      <c r="K927" s="194"/>
      <c r="L927" s="194"/>
      <c r="M927" s="194"/>
      <c r="N927" s="194"/>
      <c r="O927" s="192"/>
      <c r="P927" s="148" t="s">
        <v>4299</v>
      </c>
      <c r="Q927" s="33" t="s">
        <v>86</v>
      </c>
      <c r="R927" s="34" t="s">
        <v>2406</v>
      </c>
      <c r="S927" s="44" t="s">
        <v>96</v>
      </c>
      <c r="T927" s="46"/>
      <c r="U927" s="35"/>
      <c r="V927" s="56"/>
      <c r="W927" s="46"/>
      <c r="X927" s="194"/>
      <c r="Y927" s="194"/>
      <c r="Z927" s="194"/>
      <c r="AA927" s="194"/>
      <c r="AB927" s="196"/>
    </row>
    <row r="928" spans="1:28" ht="18.600000000000001" thickTop="1">
      <c r="A928" s="249" t="s">
        <v>4310</v>
      </c>
      <c r="B928" s="26">
        <v>45764</v>
      </c>
      <c r="C928" s="36">
        <v>1513</v>
      </c>
      <c r="D928" s="28" t="s">
        <v>94</v>
      </c>
      <c r="E928" s="199"/>
      <c r="F928" s="54" t="s">
        <v>4311</v>
      </c>
      <c r="G928" s="37" t="s">
        <v>4312</v>
      </c>
      <c r="H928" s="201">
        <v>4</v>
      </c>
      <c r="I928" s="193">
        <v>2070000</v>
      </c>
      <c r="J928" s="193">
        <f>I928*0.1</f>
        <v>207000</v>
      </c>
      <c r="K928" s="193">
        <v>39820</v>
      </c>
      <c r="L928" s="193">
        <v>13210</v>
      </c>
      <c r="M928" s="193">
        <v>16500</v>
      </c>
      <c r="N928" s="193">
        <f>SUM(I928:M929)</f>
        <v>2346530</v>
      </c>
      <c r="O928" s="191"/>
      <c r="P928" s="147" t="s">
        <v>4313</v>
      </c>
      <c r="Q928" s="29" t="s">
        <v>82</v>
      </c>
      <c r="R928" s="81"/>
      <c r="S928" s="48" t="s">
        <v>1666</v>
      </c>
      <c r="T928" s="50"/>
      <c r="U928" s="30" t="s">
        <v>4314</v>
      </c>
      <c r="V928" s="58"/>
      <c r="W928" s="52"/>
      <c r="X928" s="193"/>
      <c r="Y928" s="206">
        <f>X928*0.1</f>
        <v>0</v>
      </c>
      <c r="Z928" s="193"/>
      <c r="AA928" s="193">
        <f>SUM(X928:Z928)</f>
        <v>0</v>
      </c>
      <c r="AB928" s="195"/>
    </row>
    <row r="929" spans="1:28" ht="18.600000000000001" thickBot="1">
      <c r="A929" s="250"/>
      <c r="B929" s="31" t="s">
        <v>1858</v>
      </c>
      <c r="C929" s="31">
        <v>75592</v>
      </c>
      <c r="D929" s="32" t="s">
        <v>3269</v>
      </c>
      <c r="E929" s="200"/>
      <c r="F929" s="43" t="s">
        <v>4315</v>
      </c>
      <c r="G929" s="38">
        <v>25000</v>
      </c>
      <c r="H929" s="202"/>
      <c r="I929" s="194"/>
      <c r="J929" s="194"/>
      <c r="K929" s="194"/>
      <c r="L929" s="194"/>
      <c r="M929" s="194"/>
      <c r="N929" s="194"/>
      <c r="O929" s="192"/>
      <c r="P929" s="148" t="s">
        <v>4316</v>
      </c>
      <c r="Q929" s="33" t="s">
        <v>86</v>
      </c>
      <c r="R929" s="34" t="s">
        <v>4317</v>
      </c>
      <c r="S929" s="44" t="s">
        <v>1872</v>
      </c>
      <c r="T929" s="46"/>
      <c r="U929" s="35"/>
      <c r="V929" s="56"/>
      <c r="W929" s="46"/>
      <c r="X929" s="194"/>
      <c r="Y929" s="194"/>
      <c r="Z929" s="194"/>
      <c r="AA929" s="194"/>
      <c r="AB929" s="196"/>
    </row>
    <row r="930" spans="1:28" ht="18.600000000000001" thickTop="1">
      <c r="A930" s="249" t="s">
        <v>4327</v>
      </c>
      <c r="B930" s="26">
        <v>45776</v>
      </c>
      <c r="C930" s="36">
        <v>1891</v>
      </c>
      <c r="D930" s="28" t="s">
        <v>4026</v>
      </c>
      <c r="E930" s="199"/>
      <c r="F930" s="54" t="s">
        <v>4328</v>
      </c>
      <c r="G930" s="37"/>
      <c r="H930" s="201">
        <v>4.5</v>
      </c>
      <c r="I930" s="193">
        <v>2430000</v>
      </c>
      <c r="J930" s="193">
        <f>I930*0.1</f>
        <v>243000</v>
      </c>
      <c r="K930" s="193">
        <v>0</v>
      </c>
      <c r="L930" s="193">
        <v>18130</v>
      </c>
      <c r="M930" s="193">
        <v>14850</v>
      </c>
      <c r="N930" s="193">
        <f>SUM(I930:M931)</f>
        <v>2705980</v>
      </c>
      <c r="O930" s="191"/>
      <c r="P930" s="147" t="s">
        <v>4329</v>
      </c>
      <c r="Q930" s="29" t="s">
        <v>82</v>
      </c>
      <c r="R930" s="81"/>
      <c r="S930" s="48" t="s">
        <v>1279</v>
      </c>
      <c r="T930" s="50"/>
      <c r="U930" s="30"/>
      <c r="V930" s="58"/>
      <c r="W930" s="52"/>
      <c r="X930" s="193"/>
      <c r="Y930" s="206">
        <f>X930*0.1</f>
        <v>0</v>
      </c>
      <c r="Z930" s="193"/>
      <c r="AA930" s="193">
        <f>SUM(X930:Z930)</f>
        <v>0</v>
      </c>
      <c r="AB930" s="195"/>
    </row>
    <row r="931" spans="1:28" ht="18.600000000000001" thickBot="1">
      <c r="A931" s="250"/>
      <c r="B931" s="31" t="s">
        <v>2450</v>
      </c>
      <c r="C931" s="31">
        <v>32047</v>
      </c>
      <c r="D931" s="32" t="s">
        <v>244</v>
      </c>
      <c r="E931" s="200"/>
      <c r="F931" s="43" t="s">
        <v>4330</v>
      </c>
      <c r="G931" s="38">
        <v>34222</v>
      </c>
      <c r="H931" s="202"/>
      <c r="I931" s="194"/>
      <c r="J931" s="194"/>
      <c r="K931" s="194"/>
      <c r="L931" s="194"/>
      <c r="M931" s="194"/>
      <c r="N931" s="194"/>
      <c r="O931" s="192"/>
      <c r="P931" s="148" t="s">
        <v>4331</v>
      </c>
      <c r="Q931" s="33" t="s">
        <v>86</v>
      </c>
      <c r="R931" s="34" t="s">
        <v>2266</v>
      </c>
      <c r="S931" s="44" t="s">
        <v>96</v>
      </c>
      <c r="T931" s="46"/>
      <c r="U931" s="35"/>
      <c r="V931" s="56"/>
      <c r="W931" s="46"/>
      <c r="X931" s="194"/>
      <c r="Y931" s="194"/>
      <c r="Z931" s="194"/>
      <c r="AA931" s="194"/>
      <c r="AB931" s="196"/>
    </row>
    <row r="932" spans="1:28" ht="18.600000000000001" thickTop="1">
      <c r="A932" s="249" t="s">
        <v>4332</v>
      </c>
      <c r="B932" s="26">
        <v>45776</v>
      </c>
      <c r="C932" s="36"/>
      <c r="D932" s="28" t="s">
        <v>4333</v>
      </c>
      <c r="E932" s="199" t="s">
        <v>282</v>
      </c>
      <c r="F932" s="54" t="s">
        <v>2657</v>
      </c>
      <c r="G932" s="37" t="s">
        <v>4334</v>
      </c>
      <c r="H932" s="201"/>
      <c r="I932" s="193">
        <v>5811510</v>
      </c>
      <c r="J932" s="193">
        <v>0</v>
      </c>
      <c r="K932" s="193"/>
      <c r="L932" s="193"/>
      <c r="M932" s="193"/>
      <c r="N932" s="193">
        <f>SUM(I932:M933)</f>
        <v>5811510</v>
      </c>
      <c r="O932" s="191"/>
      <c r="P932" s="147"/>
      <c r="Q932" s="29" t="s">
        <v>82</v>
      </c>
      <c r="R932" s="81"/>
      <c r="S932" s="48"/>
      <c r="T932" s="50"/>
      <c r="U932" s="30" t="s">
        <v>4335</v>
      </c>
      <c r="V932" s="58"/>
      <c r="W932" s="52"/>
      <c r="X932" s="193"/>
      <c r="Y932" s="206">
        <f>X932*0.1</f>
        <v>0</v>
      </c>
      <c r="Z932" s="193"/>
      <c r="AA932" s="193">
        <f>SUM(X932:Z932)</f>
        <v>0</v>
      </c>
      <c r="AB932" s="195"/>
    </row>
    <row r="933" spans="1:28" ht="18.600000000000001" thickBot="1">
      <c r="A933" s="250"/>
      <c r="B933" s="31" t="s">
        <v>4336</v>
      </c>
      <c r="C933" s="31"/>
      <c r="D933" s="32" t="s">
        <v>244</v>
      </c>
      <c r="E933" s="200"/>
      <c r="F933" s="43" t="s">
        <v>4337</v>
      </c>
      <c r="G933" s="38"/>
      <c r="H933" s="202"/>
      <c r="I933" s="194"/>
      <c r="J933" s="194"/>
      <c r="K933" s="194"/>
      <c r="L933" s="194"/>
      <c r="M933" s="194"/>
      <c r="N933" s="194"/>
      <c r="O933" s="192"/>
      <c r="P933" s="148" t="s">
        <v>4338</v>
      </c>
      <c r="Q933" s="33" t="s">
        <v>86</v>
      </c>
      <c r="R933" s="34" t="s">
        <v>2250</v>
      </c>
      <c r="S933" s="44"/>
      <c r="T933" s="46"/>
      <c r="U933" s="35"/>
      <c r="V933" s="56"/>
      <c r="W933" s="46"/>
      <c r="X933" s="194"/>
      <c r="Y933" s="194"/>
      <c r="Z933" s="194"/>
      <c r="AA933" s="194"/>
      <c r="AB933" s="196"/>
    </row>
    <row r="934" spans="1:28" ht="18.600000000000001" thickTop="1">
      <c r="A934" s="249" t="s">
        <v>4348</v>
      </c>
      <c r="B934" s="26">
        <v>45787</v>
      </c>
      <c r="C934" s="36">
        <v>1672</v>
      </c>
      <c r="D934" s="28" t="s">
        <v>1865</v>
      </c>
      <c r="E934" s="199"/>
      <c r="F934" s="54" t="s">
        <v>4349</v>
      </c>
      <c r="G934" s="37" t="s">
        <v>4350</v>
      </c>
      <c r="H934" s="201">
        <v>4.5</v>
      </c>
      <c r="I934" s="193">
        <v>2095000</v>
      </c>
      <c r="J934" s="193">
        <f>I934*0.1</f>
        <v>209500</v>
      </c>
      <c r="K934" s="193">
        <v>60940</v>
      </c>
      <c r="L934" s="193">
        <v>17770</v>
      </c>
      <c r="M934" s="193">
        <v>14300</v>
      </c>
      <c r="N934" s="193">
        <f>SUM(I934:M935)</f>
        <v>2397510</v>
      </c>
      <c r="O934" s="191"/>
      <c r="P934" s="147" t="s">
        <v>4351</v>
      </c>
      <c r="Q934" s="29" t="s">
        <v>82</v>
      </c>
      <c r="R934" s="81"/>
      <c r="S934" s="48" t="s">
        <v>1494</v>
      </c>
      <c r="T934" s="50"/>
      <c r="U934" s="30"/>
      <c r="V934" s="58"/>
      <c r="W934" s="52"/>
      <c r="X934" s="193"/>
      <c r="Y934" s="206">
        <f>X934*0.1</f>
        <v>0</v>
      </c>
      <c r="Z934" s="193"/>
      <c r="AA934" s="193">
        <f>SUM(X934:Z934)</f>
        <v>0</v>
      </c>
      <c r="AB934" s="195"/>
    </row>
    <row r="935" spans="1:28" ht="18.600000000000001" thickBot="1">
      <c r="A935" s="250"/>
      <c r="B935" s="31" t="s">
        <v>2142</v>
      </c>
      <c r="C935" s="31">
        <v>619</v>
      </c>
      <c r="D935" s="32" t="s">
        <v>3226</v>
      </c>
      <c r="E935" s="200"/>
      <c r="F935" s="43" t="s">
        <v>4352</v>
      </c>
      <c r="G935" s="38">
        <v>48875</v>
      </c>
      <c r="H935" s="202"/>
      <c r="I935" s="194"/>
      <c r="J935" s="194"/>
      <c r="K935" s="194"/>
      <c r="L935" s="194"/>
      <c r="M935" s="194"/>
      <c r="N935" s="194"/>
      <c r="O935" s="192"/>
      <c r="P935" s="148" t="s">
        <v>2667</v>
      </c>
      <c r="Q935" s="33" t="s">
        <v>86</v>
      </c>
      <c r="R935" s="34" t="s">
        <v>4345</v>
      </c>
      <c r="S935" s="44" t="s">
        <v>4353</v>
      </c>
      <c r="T935" s="46"/>
      <c r="U935" s="35"/>
      <c r="V935" s="56"/>
      <c r="W935" s="46"/>
      <c r="X935" s="194"/>
      <c r="Y935" s="194"/>
      <c r="Z935" s="194"/>
      <c r="AA935" s="194"/>
      <c r="AB935" s="196"/>
    </row>
    <row r="936" spans="1:28" ht="18.600000000000001" thickTop="1">
      <c r="A936" s="249" t="s">
        <v>4361</v>
      </c>
      <c r="B936" s="26">
        <v>45794</v>
      </c>
      <c r="C936" s="36">
        <v>1494</v>
      </c>
      <c r="D936" s="28" t="s">
        <v>1960</v>
      </c>
      <c r="E936" s="199"/>
      <c r="F936" s="54" t="s">
        <v>4362</v>
      </c>
      <c r="G936" s="37"/>
      <c r="H936" s="201">
        <v>4.5</v>
      </c>
      <c r="I936" s="193">
        <v>1620000</v>
      </c>
      <c r="J936" s="193">
        <f>I936*0.1</f>
        <v>162000</v>
      </c>
      <c r="K936" s="193">
        <v>0</v>
      </c>
      <c r="L936" s="193">
        <v>17430</v>
      </c>
      <c r="M936" s="193">
        <v>16500</v>
      </c>
      <c r="N936" s="193">
        <f>SUM(I936:M937)</f>
        <v>1815930</v>
      </c>
      <c r="O936" s="191"/>
      <c r="P936" s="147" t="s">
        <v>4363</v>
      </c>
      <c r="Q936" s="29" t="s">
        <v>82</v>
      </c>
      <c r="R936" s="81"/>
      <c r="S936" s="48" t="s">
        <v>1494</v>
      </c>
      <c r="T936" s="50"/>
      <c r="U936" s="30"/>
      <c r="V936" s="58"/>
      <c r="W936" s="52"/>
      <c r="X936" s="193"/>
      <c r="Y936" s="206">
        <f>X936*0.1</f>
        <v>0</v>
      </c>
      <c r="Z936" s="193"/>
      <c r="AA936" s="193">
        <f>SUM(X936:Z936)</f>
        <v>0</v>
      </c>
      <c r="AB936" s="195"/>
    </row>
    <row r="937" spans="1:28" ht="18.600000000000001" thickBot="1">
      <c r="A937" s="250"/>
      <c r="B937" s="31" t="s">
        <v>1810</v>
      </c>
      <c r="C937" s="31">
        <v>83057</v>
      </c>
      <c r="D937" s="32" t="s">
        <v>399</v>
      </c>
      <c r="E937" s="200"/>
      <c r="F937" s="43" t="s">
        <v>4364</v>
      </c>
      <c r="G937" s="38">
        <v>49827</v>
      </c>
      <c r="H937" s="202"/>
      <c r="I937" s="194"/>
      <c r="J937" s="194"/>
      <c r="K937" s="194"/>
      <c r="L937" s="194"/>
      <c r="M937" s="194"/>
      <c r="N937" s="194"/>
      <c r="O937" s="192"/>
      <c r="P937" s="148" t="s">
        <v>4365</v>
      </c>
      <c r="Q937" s="33" t="s">
        <v>86</v>
      </c>
      <c r="R937" s="34" t="s">
        <v>4366</v>
      </c>
      <c r="S937" s="44" t="s">
        <v>96</v>
      </c>
      <c r="T937" s="46"/>
      <c r="U937" s="35"/>
      <c r="V937" s="56"/>
      <c r="W937" s="46"/>
      <c r="X937" s="194"/>
      <c r="Y937" s="194"/>
      <c r="Z937" s="194"/>
      <c r="AA937" s="194"/>
      <c r="AB937" s="196"/>
    </row>
    <row r="938" spans="1:28" ht="18.600000000000001" thickTop="1">
      <c r="A938" s="249" t="s">
        <v>4384</v>
      </c>
      <c r="B938" s="26">
        <v>45803</v>
      </c>
      <c r="C938" s="36"/>
      <c r="D938" s="28" t="s">
        <v>4385</v>
      </c>
      <c r="E938" s="199"/>
      <c r="F938" s="54" t="s">
        <v>4386</v>
      </c>
      <c r="G938" s="37" t="s">
        <v>2906</v>
      </c>
      <c r="H938" s="201"/>
      <c r="I938" s="193">
        <v>0</v>
      </c>
      <c r="J938" s="193">
        <f>I938*0.1</f>
        <v>0</v>
      </c>
      <c r="K938" s="193">
        <v>0</v>
      </c>
      <c r="L938" s="193">
        <v>0</v>
      </c>
      <c r="M938" s="193">
        <v>0</v>
      </c>
      <c r="N938" s="193">
        <f>SUM(I938:M939)</f>
        <v>0</v>
      </c>
      <c r="O938" s="191"/>
      <c r="P938" s="147" t="s">
        <v>4387</v>
      </c>
      <c r="Q938" s="29" t="s">
        <v>82</v>
      </c>
      <c r="R938" s="81"/>
      <c r="S938" s="48"/>
      <c r="T938" s="50"/>
      <c r="U938" s="30"/>
      <c r="V938" s="58"/>
      <c r="W938" s="52"/>
      <c r="X938" s="193"/>
      <c r="Y938" s="206">
        <f>X938*0.1</f>
        <v>0</v>
      </c>
      <c r="Z938" s="193"/>
      <c r="AA938" s="193">
        <f>SUM(X938:Z938)</f>
        <v>0</v>
      </c>
      <c r="AB938" s="195"/>
    </row>
    <row r="939" spans="1:28" ht="18.600000000000001" thickBot="1">
      <c r="A939" s="250"/>
      <c r="B939" s="31" t="s">
        <v>4388</v>
      </c>
      <c r="C939" s="31"/>
      <c r="D939" s="32"/>
      <c r="E939" s="200"/>
      <c r="F939" s="43" t="s">
        <v>4389</v>
      </c>
      <c r="G939" s="38">
        <v>158256</v>
      </c>
      <c r="H939" s="202"/>
      <c r="I939" s="194"/>
      <c r="J939" s="194"/>
      <c r="K939" s="194"/>
      <c r="L939" s="194"/>
      <c r="M939" s="194"/>
      <c r="N939" s="194"/>
      <c r="O939" s="192"/>
      <c r="P939" s="148" t="s">
        <v>4390</v>
      </c>
      <c r="Q939" s="33" t="s">
        <v>86</v>
      </c>
      <c r="R939" s="34" t="s">
        <v>4391</v>
      </c>
      <c r="S939" s="44" t="s">
        <v>287</v>
      </c>
      <c r="T939" s="46"/>
      <c r="U939" s="35"/>
      <c r="V939" s="56"/>
      <c r="W939" s="46"/>
      <c r="X939" s="194"/>
      <c r="Y939" s="194"/>
      <c r="Z939" s="194"/>
      <c r="AA939" s="194"/>
      <c r="AB939" s="196"/>
    </row>
    <row r="940" spans="1:28" ht="18.600000000000001" thickTop="1">
      <c r="A940" s="249" t="s">
        <v>4392</v>
      </c>
      <c r="B940" s="26">
        <v>45804</v>
      </c>
      <c r="C940" s="36">
        <v>1046</v>
      </c>
      <c r="D940" s="28" t="s">
        <v>2247</v>
      </c>
      <c r="E940" s="199"/>
      <c r="F940" s="54" t="s">
        <v>4393</v>
      </c>
      <c r="G940" s="37" t="s">
        <v>4394</v>
      </c>
      <c r="H940" s="201">
        <v>4.5</v>
      </c>
      <c r="I940" s="193">
        <v>1950000</v>
      </c>
      <c r="J940" s="193">
        <f>I940*0.1</f>
        <v>195000</v>
      </c>
      <c r="K940" s="193">
        <f>28700+2870</f>
        <v>31570</v>
      </c>
      <c r="L940" s="193">
        <v>11740</v>
      </c>
      <c r="M940" s="193">
        <v>27500</v>
      </c>
      <c r="N940" s="193">
        <f>SUM(I940:M941)</f>
        <v>2215810</v>
      </c>
      <c r="O940" s="191"/>
      <c r="P940" s="147" t="s">
        <v>4395</v>
      </c>
      <c r="Q940" s="29" t="s">
        <v>82</v>
      </c>
      <c r="R940" s="81"/>
      <c r="S940" s="48" t="s">
        <v>1821</v>
      </c>
      <c r="T940" s="50"/>
      <c r="U940" s="30" t="s">
        <v>4396</v>
      </c>
      <c r="V940" s="58"/>
      <c r="W940" s="52"/>
      <c r="X940" s="193"/>
      <c r="Y940" s="193">
        <f>X940*0.1</f>
        <v>0</v>
      </c>
      <c r="Z940" s="193"/>
      <c r="AA940" s="193">
        <f>SUM(X940:Z940)</f>
        <v>0</v>
      </c>
      <c r="AB940" s="195"/>
    </row>
    <row r="941" spans="1:28" ht="18.600000000000001" thickBot="1">
      <c r="A941" s="250"/>
      <c r="B941" s="31" t="s">
        <v>1848</v>
      </c>
      <c r="C941" s="31">
        <v>84136</v>
      </c>
      <c r="D941" s="32" t="s">
        <v>2433</v>
      </c>
      <c r="E941" s="200"/>
      <c r="F941" s="43" t="s">
        <v>4397</v>
      </c>
      <c r="G941" s="38">
        <v>32873</v>
      </c>
      <c r="H941" s="202"/>
      <c r="I941" s="194"/>
      <c r="J941" s="194"/>
      <c r="K941" s="194"/>
      <c r="L941" s="194"/>
      <c r="M941" s="194"/>
      <c r="N941" s="194"/>
      <c r="O941" s="192"/>
      <c r="P941" s="148" t="s">
        <v>3095</v>
      </c>
      <c r="Q941" s="33" t="s">
        <v>86</v>
      </c>
      <c r="R941" s="34" t="s">
        <v>4398</v>
      </c>
      <c r="S941" s="44" t="s">
        <v>2358</v>
      </c>
      <c r="T941" s="46"/>
      <c r="U941" s="35"/>
      <c r="V941" s="56"/>
      <c r="W941" s="46"/>
      <c r="X941" s="194"/>
      <c r="Y941" s="194"/>
      <c r="Z941" s="194"/>
      <c r="AA941" s="194"/>
      <c r="AB941" s="196"/>
    </row>
    <row r="942" spans="1:28" ht="18.600000000000001" thickTop="1">
      <c r="A942" s="249" t="s">
        <v>4399</v>
      </c>
      <c r="B942" s="26">
        <v>45806</v>
      </c>
      <c r="C942" s="36">
        <v>1518</v>
      </c>
      <c r="D942" s="28" t="s">
        <v>2325</v>
      </c>
      <c r="E942" s="199"/>
      <c r="F942" s="54" t="s">
        <v>4400</v>
      </c>
      <c r="G942" s="37" t="s">
        <v>2834</v>
      </c>
      <c r="H942" s="201">
        <v>4.5</v>
      </c>
      <c r="I942" s="193">
        <v>2400000</v>
      </c>
      <c r="J942" s="193">
        <f>I942*0.1</f>
        <v>240000</v>
      </c>
      <c r="K942" s="193">
        <v>0</v>
      </c>
      <c r="L942" s="193">
        <v>21930</v>
      </c>
      <c r="M942" s="193">
        <v>27500</v>
      </c>
      <c r="N942" s="193">
        <f>SUM(I942:M943)</f>
        <v>2689430</v>
      </c>
      <c r="O942" s="191"/>
      <c r="P942" s="147" t="s">
        <v>4401</v>
      </c>
      <c r="Q942" s="29" t="s">
        <v>82</v>
      </c>
      <c r="R942" s="81"/>
      <c r="S942" s="48" t="s">
        <v>1494</v>
      </c>
      <c r="T942" s="50"/>
      <c r="U942" s="30"/>
      <c r="V942" s="58"/>
      <c r="W942" s="52"/>
      <c r="X942" s="193"/>
      <c r="Y942" s="193">
        <f>X942*0.1</f>
        <v>0</v>
      </c>
      <c r="Z942" s="193"/>
      <c r="AA942" s="193">
        <f>SUM(X942:Z942)</f>
        <v>0</v>
      </c>
      <c r="AB942" s="195"/>
    </row>
    <row r="943" spans="1:28" ht="18.600000000000001" thickBot="1">
      <c r="A943" s="250"/>
      <c r="B943" s="31" t="s">
        <v>1858</v>
      </c>
      <c r="C943" s="31">
        <v>75981</v>
      </c>
      <c r="D943" s="32" t="s">
        <v>95</v>
      </c>
      <c r="E943" s="200"/>
      <c r="F943" s="43" t="s">
        <v>4402</v>
      </c>
      <c r="G943" s="38">
        <v>36024</v>
      </c>
      <c r="H943" s="202"/>
      <c r="I943" s="194"/>
      <c r="J943" s="194"/>
      <c r="K943" s="194"/>
      <c r="L943" s="194"/>
      <c r="M943" s="194"/>
      <c r="N943" s="194"/>
      <c r="O943" s="192"/>
      <c r="P943" s="148" t="s">
        <v>4403</v>
      </c>
      <c r="Q943" s="33" t="s">
        <v>86</v>
      </c>
      <c r="R943" s="34" t="s">
        <v>2543</v>
      </c>
      <c r="S943" s="44" t="s">
        <v>96</v>
      </c>
      <c r="T943" s="46"/>
      <c r="U943" s="35"/>
      <c r="V943" s="56"/>
      <c r="W943" s="46"/>
      <c r="X943" s="194"/>
      <c r="Y943" s="194"/>
      <c r="Z943" s="194"/>
      <c r="AA943" s="194"/>
      <c r="AB943" s="196"/>
    </row>
    <row r="944" spans="1:28" ht="18.600000000000001" thickTop="1">
      <c r="A944" s="249" t="s">
        <v>4413</v>
      </c>
      <c r="B944" s="26">
        <v>45807</v>
      </c>
      <c r="C944" s="36">
        <v>2087</v>
      </c>
      <c r="D944" s="28" t="s">
        <v>106</v>
      </c>
      <c r="E944" s="199"/>
      <c r="F944" s="54" t="s">
        <v>3891</v>
      </c>
      <c r="G944" s="37"/>
      <c r="H944" s="201">
        <v>4.5</v>
      </c>
      <c r="I944" s="193">
        <v>1500000</v>
      </c>
      <c r="J944" s="193">
        <f>I944*0.1</f>
        <v>150000</v>
      </c>
      <c r="K944" s="193">
        <v>0</v>
      </c>
      <c r="L944" s="193">
        <v>13210</v>
      </c>
      <c r="M944" s="193">
        <v>16500</v>
      </c>
      <c r="N944" s="193">
        <f>SUM(I944:M945)</f>
        <v>1679710</v>
      </c>
      <c r="O944" s="191"/>
      <c r="P944" s="147" t="s">
        <v>4414</v>
      </c>
      <c r="Q944" s="29" t="s">
        <v>82</v>
      </c>
      <c r="R944" s="81"/>
      <c r="S944" s="48" t="s">
        <v>940</v>
      </c>
      <c r="T944" s="50"/>
      <c r="U944" s="30"/>
      <c r="V944" s="58"/>
      <c r="W944" s="52"/>
      <c r="X944" s="193"/>
      <c r="Y944" s="193">
        <f>X944*0.1</f>
        <v>0</v>
      </c>
      <c r="Z944" s="193"/>
      <c r="AA944" s="193">
        <f>SUM(X944:Z944)</f>
        <v>0</v>
      </c>
      <c r="AB944" s="195"/>
    </row>
    <row r="945" spans="1:28" ht="18.600000000000001" thickBot="1">
      <c r="A945" s="250"/>
      <c r="B945" s="31" t="s">
        <v>1797</v>
      </c>
      <c r="C945" s="31">
        <v>58416</v>
      </c>
      <c r="D945" s="32" t="s">
        <v>399</v>
      </c>
      <c r="E945" s="200"/>
      <c r="F945" s="43" t="s">
        <v>4415</v>
      </c>
      <c r="G945" s="38">
        <v>49100</v>
      </c>
      <c r="H945" s="202"/>
      <c r="I945" s="194"/>
      <c r="J945" s="194"/>
      <c r="K945" s="194"/>
      <c r="L945" s="194"/>
      <c r="M945" s="194"/>
      <c r="N945" s="194"/>
      <c r="O945" s="192"/>
      <c r="P945" s="148" t="s">
        <v>4416</v>
      </c>
      <c r="Q945" s="33" t="s">
        <v>86</v>
      </c>
      <c r="R945" s="34" t="s">
        <v>2611</v>
      </c>
      <c r="S945" s="44" t="s">
        <v>4417</v>
      </c>
      <c r="T945" s="46"/>
      <c r="U945" s="35"/>
      <c r="V945" s="56"/>
      <c r="W945" s="46"/>
      <c r="X945" s="194"/>
      <c r="Y945" s="194"/>
      <c r="Z945" s="194"/>
      <c r="AA945" s="194"/>
      <c r="AB945" s="196"/>
    </row>
    <row r="946" spans="1:28" ht="18.600000000000001" thickTop="1">
      <c r="A946" s="249" t="s">
        <v>4418</v>
      </c>
      <c r="B946" s="26">
        <v>45808</v>
      </c>
      <c r="C946" s="36">
        <v>1253</v>
      </c>
      <c r="D946" s="28" t="s">
        <v>4419</v>
      </c>
      <c r="E946" s="199"/>
      <c r="F946" s="54" t="s">
        <v>4420</v>
      </c>
      <c r="G946" s="37"/>
      <c r="H946" s="201">
        <v>4</v>
      </c>
      <c r="I946" s="193">
        <v>1805000</v>
      </c>
      <c r="J946" s="193">
        <f>I946*0.1</f>
        <v>180500</v>
      </c>
      <c r="K946" s="193">
        <v>0</v>
      </c>
      <c r="L946" s="193">
        <v>22240</v>
      </c>
      <c r="M946" s="193">
        <v>16500</v>
      </c>
      <c r="N946" s="193">
        <f>SUM(I946:M947)</f>
        <v>2024240</v>
      </c>
      <c r="O946" s="191"/>
      <c r="P946" s="147" t="s">
        <v>4421</v>
      </c>
      <c r="Q946" s="29" t="s">
        <v>82</v>
      </c>
      <c r="R946" s="81"/>
      <c r="S946" s="48"/>
      <c r="T946" s="50"/>
      <c r="U946" s="30"/>
      <c r="V946" s="58"/>
      <c r="W946" s="52"/>
      <c r="X946" s="193"/>
      <c r="Y946" s="193">
        <f>X946*0.1</f>
        <v>0</v>
      </c>
      <c r="Z946" s="193"/>
      <c r="AA946" s="193">
        <f>SUM(X946:Z946)</f>
        <v>0</v>
      </c>
      <c r="AB946" s="195"/>
    </row>
    <row r="947" spans="1:28" ht="18.600000000000001" thickBot="1">
      <c r="A947" s="250"/>
      <c r="B947" s="31" t="s">
        <v>521</v>
      </c>
      <c r="C947" s="31">
        <v>82065</v>
      </c>
      <c r="D947" s="32" t="s">
        <v>3226</v>
      </c>
      <c r="E947" s="200"/>
      <c r="F947" s="43" t="s">
        <v>4422</v>
      </c>
      <c r="G947" s="38">
        <v>34959</v>
      </c>
      <c r="H947" s="202"/>
      <c r="I947" s="194"/>
      <c r="J947" s="194"/>
      <c r="K947" s="194"/>
      <c r="L947" s="194"/>
      <c r="M947" s="194"/>
      <c r="N947" s="194"/>
      <c r="O947" s="192"/>
      <c r="P947" s="148" t="s">
        <v>3944</v>
      </c>
      <c r="Q947" s="33" t="s">
        <v>86</v>
      </c>
      <c r="R947" s="34" t="s">
        <v>2559</v>
      </c>
      <c r="S947" s="44" t="s">
        <v>1872</v>
      </c>
      <c r="T947" s="46"/>
      <c r="U947" s="35"/>
      <c r="V947" s="56"/>
      <c r="W947" s="46"/>
      <c r="X947" s="194"/>
      <c r="Y947" s="194"/>
      <c r="Z947" s="194"/>
      <c r="AA947" s="194"/>
      <c r="AB947" s="196"/>
    </row>
    <row r="948" spans="1:28" ht="18.600000000000001" thickTop="1">
      <c r="A948" s="249" t="s">
        <v>4432</v>
      </c>
      <c r="B948" s="26">
        <v>45813</v>
      </c>
      <c r="C948" s="36"/>
      <c r="D948" s="28" t="s">
        <v>2507</v>
      </c>
      <c r="E948" s="199"/>
      <c r="F948" s="54" t="s">
        <v>4433</v>
      </c>
      <c r="G948" s="37" t="s">
        <v>4434</v>
      </c>
      <c r="H948" s="201"/>
      <c r="I948" s="193">
        <v>3200000</v>
      </c>
      <c r="J948" s="193">
        <v>0</v>
      </c>
      <c r="K948" s="193"/>
      <c r="L948" s="193"/>
      <c r="M948" s="193"/>
      <c r="N948" s="193">
        <f>SUM(I948:M949)</f>
        <v>3200000</v>
      </c>
      <c r="O948" s="191"/>
      <c r="P948" s="147" t="s">
        <v>4435</v>
      </c>
      <c r="Q948" s="29" t="s">
        <v>82</v>
      </c>
      <c r="R948" s="81"/>
      <c r="S948" s="48"/>
      <c r="T948" s="50"/>
      <c r="U948" s="30" t="s">
        <v>4436</v>
      </c>
      <c r="V948" s="58"/>
      <c r="W948" s="52"/>
      <c r="X948" s="193"/>
      <c r="Y948" s="193">
        <f>X948*0.1</f>
        <v>0</v>
      </c>
      <c r="Z948" s="193"/>
      <c r="AA948" s="193">
        <f>SUM(X948:Z948)</f>
        <v>0</v>
      </c>
      <c r="AB948" s="195"/>
    </row>
    <row r="949" spans="1:28" ht="18.600000000000001" thickBot="1">
      <c r="A949" s="250"/>
      <c r="B949" s="31" t="s">
        <v>4437</v>
      </c>
      <c r="C949" s="31"/>
      <c r="D949" s="32"/>
      <c r="E949" s="200"/>
      <c r="F949" s="43" t="s">
        <v>4438</v>
      </c>
      <c r="G949" s="38">
        <v>54735</v>
      </c>
      <c r="H949" s="202"/>
      <c r="I949" s="194"/>
      <c r="J949" s="194"/>
      <c r="K949" s="194"/>
      <c r="L949" s="194"/>
      <c r="M949" s="194"/>
      <c r="N949" s="194"/>
      <c r="O949" s="192"/>
      <c r="P949" s="148" t="s">
        <v>4439</v>
      </c>
      <c r="Q949" s="33" t="s">
        <v>86</v>
      </c>
      <c r="R949" s="34" t="s">
        <v>2611</v>
      </c>
      <c r="S949" s="44" t="s">
        <v>4440</v>
      </c>
      <c r="T949" s="46"/>
      <c r="U949" s="35"/>
      <c r="V949" s="56"/>
      <c r="W949" s="46"/>
      <c r="X949" s="194"/>
      <c r="Y949" s="194"/>
      <c r="Z949" s="194"/>
      <c r="AA949" s="194"/>
      <c r="AB949" s="196"/>
    </row>
    <row r="950" spans="1:28" ht="18.600000000000001" thickTop="1">
      <c r="A950" s="249" t="s">
        <v>4459</v>
      </c>
      <c r="B950" s="26">
        <v>45814</v>
      </c>
      <c r="C950" s="36">
        <v>2088</v>
      </c>
      <c r="D950" s="28" t="s">
        <v>4460</v>
      </c>
      <c r="E950" s="199"/>
      <c r="F950" s="54" t="s">
        <v>4452</v>
      </c>
      <c r="G950" s="37"/>
      <c r="H950" s="201">
        <v>4</v>
      </c>
      <c r="I950" s="193">
        <v>2155000</v>
      </c>
      <c r="J950" s="193">
        <f>I950*0.1</f>
        <v>215500</v>
      </c>
      <c r="K950" s="193">
        <v>0</v>
      </c>
      <c r="L950" s="193">
        <v>11740</v>
      </c>
      <c r="M950" s="193">
        <v>16500</v>
      </c>
      <c r="N950" s="193">
        <f>SUM(I950:M951)</f>
        <v>2398740</v>
      </c>
      <c r="O950" s="191"/>
      <c r="P950" s="147" t="s">
        <v>4461</v>
      </c>
      <c r="Q950" s="29" t="s">
        <v>82</v>
      </c>
      <c r="R950" s="81"/>
      <c r="S950" s="48" t="s">
        <v>4445</v>
      </c>
      <c r="T950" s="50"/>
      <c r="U950" s="30"/>
      <c r="V950" s="58"/>
      <c r="W950" s="52"/>
      <c r="X950" s="193"/>
      <c r="Y950" s="193">
        <f>X950*0.1</f>
        <v>0</v>
      </c>
      <c r="Z950" s="193"/>
      <c r="AA950" s="193">
        <f>SUM(X950:Z950)</f>
        <v>0</v>
      </c>
      <c r="AB950" s="195"/>
    </row>
    <row r="951" spans="1:28" ht="18.600000000000001" thickBot="1">
      <c r="A951" s="250"/>
      <c r="B951" s="31" t="s">
        <v>1797</v>
      </c>
      <c r="C951" s="31">
        <v>35062</v>
      </c>
      <c r="D951" s="32" t="s">
        <v>1965</v>
      </c>
      <c r="E951" s="200"/>
      <c r="F951" s="43" t="s">
        <v>4462</v>
      </c>
      <c r="G951" s="38">
        <v>33443</v>
      </c>
      <c r="H951" s="202"/>
      <c r="I951" s="194"/>
      <c r="J951" s="194"/>
      <c r="K951" s="194"/>
      <c r="L951" s="194"/>
      <c r="M951" s="194"/>
      <c r="N951" s="194"/>
      <c r="O951" s="192"/>
      <c r="P951" s="148" t="s">
        <v>4463</v>
      </c>
      <c r="Q951" s="33" t="s">
        <v>86</v>
      </c>
      <c r="R951" s="34" t="s">
        <v>2778</v>
      </c>
      <c r="S951" s="44" t="s">
        <v>4464</v>
      </c>
      <c r="T951" s="46"/>
      <c r="U951" s="35"/>
      <c r="V951" s="56"/>
      <c r="W951" s="46"/>
      <c r="X951" s="194"/>
      <c r="Y951" s="194"/>
      <c r="Z951" s="194"/>
      <c r="AA951" s="194"/>
      <c r="AB951" s="196"/>
    </row>
    <row r="952" spans="1:28" ht="18.600000000000001" thickTop="1">
      <c r="A952" s="249" t="s">
        <v>4476</v>
      </c>
      <c r="B952" s="26">
        <v>45817</v>
      </c>
      <c r="C952" s="36"/>
      <c r="D952" s="28" t="s">
        <v>3809</v>
      </c>
      <c r="E952" s="199"/>
      <c r="F952" s="54" t="s">
        <v>4477</v>
      </c>
      <c r="G952" s="37" t="s">
        <v>4478</v>
      </c>
      <c r="H952" s="201">
        <v>2</v>
      </c>
      <c r="I952" s="193">
        <v>256000</v>
      </c>
      <c r="J952" s="193">
        <f>I952*0.1</f>
        <v>25600</v>
      </c>
      <c r="K952" s="193">
        <v>13000</v>
      </c>
      <c r="L952" s="193">
        <v>9790</v>
      </c>
      <c r="M952" s="193">
        <v>15950</v>
      </c>
      <c r="N952" s="193">
        <f>SUM(I952:M953)</f>
        <v>320340</v>
      </c>
      <c r="O952" s="191"/>
      <c r="P952" s="147" t="s">
        <v>4479</v>
      </c>
      <c r="Q952" s="29" t="s">
        <v>82</v>
      </c>
      <c r="R952" s="81"/>
      <c r="S952" s="48"/>
      <c r="T952" s="50"/>
      <c r="U952" s="30" t="s">
        <v>4480</v>
      </c>
      <c r="V952" s="58"/>
      <c r="W952" s="52"/>
      <c r="X952" s="193"/>
      <c r="Y952" s="193">
        <f>X952*0.1</f>
        <v>0</v>
      </c>
      <c r="Z952" s="193"/>
      <c r="AA952" s="193">
        <f>SUM(X952:Z952)</f>
        <v>0</v>
      </c>
      <c r="AB952" s="195"/>
    </row>
    <row r="953" spans="1:28" ht="18.600000000000001" thickBot="1">
      <c r="A953" s="250"/>
      <c r="B953" s="31" t="s">
        <v>4481</v>
      </c>
      <c r="C953" s="31">
        <v>70209</v>
      </c>
      <c r="D953" s="32" t="s">
        <v>1987</v>
      </c>
      <c r="E953" s="200"/>
      <c r="F953" s="43" t="s">
        <v>4482</v>
      </c>
      <c r="G953" s="38">
        <v>58602</v>
      </c>
      <c r="H953" s="202"/>
      <c r="I953" s="194"/>
      <c r="J953" s="194"/>
      <c r="K953" s="194"/>
      <c r="L953" s="194"/>
      <c r="M953" s="194"/>
      <c r="N953" s="194"/>
      <c r="O953" s="192"/>
      <c r="P953" s="148" t="s">
        <v>4483</v>
      </c>
      <c r="Q953" s="33" t="s">
        <v>86</v>
      </c>
      <c r="R953" s="34" t="s">
        <v>2322</v>
      </c>
      <c r="S953" s="44"/>
      <c r="T953" s="46" t="s">
        <v>4475</v>
      </c>
      <c r="U953" s="35"/>
      <c r="V953" s="56"/>
      <c r="W953" s="46"/>
      <c r="X953" s="194"/>
      <c r="Y953" s="194"/>
      <c r="Z953" s="194"/>
      <c r="AA953" s="194"/>
      <c r="AB953" s="196"/>
    </row>
    <row r="954" spans="1:28" ht="18.600000000000001" thickTop="1">
      <c r="A954" s="249" t="s">
        <v>4502</v>
      </c>
      <c r="B954" s="26">
        <v>45821</v>
      </c>
      <c r="C954" s="36"/>
      <c r="D954" s="28" t="s">
        <v>2644</v>
      </c>
      <c r="E954" s="199"/>
      <c r="F954" s="54" t="s">
        <v>2299</v>
      </c>
      <c r="G954" s="37" t="s">
        <v>4503</v>
      </c>
      <c r="H954" s="201"/>
      <c r="I954" s="193">
        <v>5900000</v>
      </c>
      <c r="J954" s="193">
        <v>0</v>
      </c>
      <c r="K954" s="193">
        <v>0</v>
      </c>
      <c r="L954" s="193">
        <v>0</v>
      </c>
      <c r="M954" s="193">
        <v>0</v>
      </c>
      <c r="N954" s="193">
        <f>SUM(I954:M955)</f>
        <v>5900000</v>
      </c>
      <c r="O954" s="191"/>
      <c r="P954" s="147" t="s">
        <v>4504</v>
      </c>
      <c r="Q954" s="29" t="s">
        <v>82</v>
      </c>
      <c r="R954" s="81"/>
      <c r="S954" s="48"/>
      <c r="T954" s="50"/>
      <c r="U954" s="30"/>
      <c r="V954" s="58"/>
      <c r="W954" s="52"/>
      <c r="X954" s="193"/>
      <c r="Y954" s="193">
        <f>X954*0.1</f>
        <v>0</v>
      </c>
      <c r="Z954" s="193"/>
      <c r="AA954" s="193">
        <f>SUM(X954:Z954)</f>
        <v>0</v>
      </c>
      <c r="AB954" s="195"/>
    </row>
    <row r="955" spans="1:28" ht="18.600000000000001" thickBot="1">
      <c r="A955" s="250"/>
      <c r="B955" s="31" t="s">
        <v>4505</v>
      </c>
      <c r="C955" s="31"/>
      <c r="D955" s="32" t="s">
        <v>399</v>
      </c>
      <c r="E955" s="200"/>
      <c r="F955" s="43" t="s">
        <v>4506</v>
      </c>
      <c r="G955" s="38">
        <v>43800</v>
      </c>
      <c r="H955" s="202"/>
      <c r="I955" s="194"/>
      <c r="J955" s="194"/>
      <c r="K955" s="194"/>
      <c r="L955" s="194"/>
      <c r="M955" s="194"/>
      <c r="N955" s="194"/>
      <c r="O955" s="192"/>
      <c r="P955" s="148" t="s">
        <v>3762</v>
      </c>
      <c r="Q955" s="33" t="s">
        <v>86</v>
      </c>
      <c r="R955" s="34" t="s">
        <v>3181</v>
      </c>
      <c r="S955" s="44" t="s">
        <v>4507</v>
      </c>
      <c r="T955" s="46"/>
      <c r="U955" s="35"/>
      <c r="V955" s="56"/>
      <c r="W955" s="46"/>
      <c r="X955" s="194"/>
      <c r="Y955" s="194"/>
      <c r="Z955" s="194"/>
      <c r="AA955" s="194"/>
      <c r="AB955" s="196"/>
    </row>
    <row r="956" spans="1:28" ht="18.600000000000001" thickTop="1">
      <c r="A956" s="249" t="s">
        <v>4517</v>
      </c>
      <c r="B956" s="26">
        <v>45825</v>
      </c>
      <c r="C956" s="36">
        <v>1049</v>
      </c>
      <c r="D956" s="28" t="s">
        <v>1950</v>
      </c>
      <c r="E956" s="199"/>
      <c r="F956" s="54" t="s">
        <v>4518</v>
      </c>
      <c r="G956" s="37"/>
      <c r="H956" s="201">
        <v>4.5</v>
      </c>
      <c r="I956" s="193">
        <v>900000</v>
      </c>
      <c r="J956" s="193">
        <f>I956*0.1</f>
        <v>90000</v>
      </c>
      <c r="K956" s="193">
        <v>0</v>
      </c>
      <c r="L956" s="193">
        <v>22640</v>
      </c>
      <c r="M956" s="193">
        <v>16500</v>
      </c>
      <c r="N956" s="193">
        <f>SUM(I956:M957)</f>
        <v>1029140</v>
      </c>
      <c r="O956" s="191"/>
      <c r="P956" s="147" t="s">
        <v>4519</v>
      </c>
      <c r="Q956" s="29" t="s">
        <v>82</v>
      </c>
      <c r="R956" s="81"/>
      <c r="S956" s="48" t="s">
        <v>4445</v>
      </c>
      <c r="T956" s="50"/>
      <c r="U956" s="30"/>
      <c r="V956" s="58"/>
      <c r="W956" s="52"/>
      <c r="X956" s="193"/>
      <c r="Y956" s="193">
        <f>X956*0.1</f>
        <v>0</v>
      </c>
      <c r="Z956" s="193"/>
      <c r="AA956" s="193">
        <f>SUM(X956:Z956)</f>
        <v>0</v>
      </c>
      <c r="AB956" s="195"/>
    </row>
    <row r="957" spans="1:28" ht="18.600000000000001" thickBot="1">
      <c r="A957" s="250"/>
      <c r="B957" s="31" t="s">
        <v>1848</v>
      </c>
      <c r="C957" s="31">
        <v>82105</v>
      </c>
      <c r="D957" s="32" t="s">
        <v>1849</v>
      </c>
      <c r="E957" s="200"/>
      <c r="F957" s="43" t="s">
        <v>4520</v>
      </c>
      <c r="G957" s="38">
        <v>42459</v>
      </c>
      <c r="H957" s="202"/>
      <c r="I957" s="194"/>
      <c r="J957" s="194"/>
      <c r="K957" s="194"/>
      <c r="L957" s="194"/>
      <c r="M957" s="194"/>
      <c r="N957" s="194"/>
      <c r="O957" s="192"/>
      <c r="P957" s="148" t="s">
        <v>4521</v>
      </c>
      <c r="Q957" s="33" t="s">
        <v>86</v>
      </c>
      <c r="R957" s="34" t="s">
        <v>3248</v>
      </c>
      <c r="S957" s="44" t="s">
        <v>4522</v>
      </c>
      <c r="T957" s="46" t="s">
        <v>4523</v>
      </c>
      <c r="U957" s="35"/>
      <c r="V957" s="56"/>
      <c r="W957" s="46"/>
      <c r="X957" s="194"/>
      <c r="Y957" s="194"/>
      <c r="Z957" s="194"/>
      <c r="AA957" s="194"/>
      <c r="AB957" s="196"/>
    </row>
    <row r="958" spans="1:28" ht="18.600000000000001" thickTop="1">
      <c r="A958" s="249" t="s">
        <v>4576</v>
      </c>
      <c r="B958" s="26">
        <v>45831</v>
      </c>
      <c r="C958" s="36"/>
      <c r="D958" s="28" t="s">
        <v>3244</v>
      </c>
      <c r="E958" s="199"/>
      <c r="F958" s="54" t="s">
        <v>4577</v>
      </c>
      <c r="G958" s="37" t="s">
        <v>4578</v>
      </c>
      <c r="H958" s="201"/>
      <c r="I958" s="193">
        <v>23000000</v>
      </c>
      <c r="J958" s="193">
        <v>0</v>
      </c>
      <c r="K958" s="193">
        <v>0</v>
      </c>
      <c r="L958" s="193">
        <v>0</v>
      </c>
      <c r="M958" s="193">
        <v>0</v>
      </c>
      <c r="N958" s="193">
        <f>SUM(I958:M959)</f>
        <v>23000000</v>
      </c>
      <c r="O958" s="191"/>
      <c r="P958" s="147" t="s">
        <v>4579</v>
      </c>
      <c r="Q958" s="29" t="s">
        <v>82</v>
      </c>
      <c r="R958" s="81"/>
      <c r="S958" s="48"/>
      <c r="T958" s="50"/>
      <c r="U958" s="30" t="s">
        <v>4580</v>
      </c>
      <c r="V958" s="58"/>
      <c r="W958" s="52"/>
      <c r="X958" s="193"/>
      <c r="Y958" s="193">
        <f>X958*0.1</f>
        <v>0</v>
      </c>
      <c r="Z958" s="193"/>
      <c r="AA958" s="193">
        <f>SUM(X958:Z958)</f>
        <v>0</v>
      </c>
      <c r="AB958" s="195"/>
    </row>
    <row r="959" spans="1:28" ht="18.600000000000001" thickBot="1">
      <c r="A959" s="250"/>
      <c r="B959" s="31" t="s">
        <v>4581</v>
      </c>
      <c r="C959" s="31"/>
      <c r="D959" s="32"/>
      <c r="E959" s="200"/>
      <c r="F959" s="43" t="s">
        <v>4582</v>
      </c>
      <c r="G959" s="38"/>
      <c r="H959" s="202"/>
      <c r="I959" s="194"/>
      <c r="J959" s="194"/>
      <c r="K959" s="194"/>
      <c r="L959" s="194"/>
      <c r="M959" s="194"/>
      <c r="N959" s="194"/>
      <c r="O959" s="192"/>
      <c r="P959" s="148" t="s">
        <v>4583</v>
      </c>
      <c r="Q959" s="33" t="s">
        <v>86</v>
      </c>
      <c r="R959" s="34" t="s">
        <v>2826</v>
      </c>
      <c r="S959" s="44"/>
      <c r="T959" s="46"/>
      <c r="U959" s="35"/>
      <c r="V959" s="56"/>
      <c r="W959" s="46"/>
      <c r="X959" s="194"/>
      <c r="Y959" s="194"/>
      <c r="Z959" s="194"/>
      <c r="AA959" s="194"/>
      <c r="AB959" s="196"/>
    </row>
    <row r="960" spans="1:28" ht="18.600000000000001" thickTop="1">
      <c r="A960" s="249" t="s">
        <v>4611</v>
      </c>
      <c r="B960" s="26">
        <v>45835</v>
      </c>
      <c r="C960" s="36">
        <v>2204</v>
      </c>
      <c r="D960" s="28" t="s">
        <v>2220</v>
      </c>
      <c r="E960" s="199"/>
      <c r="F960" s="54" t="s">
        <v>4612</v>
      </c>
      <c r="G960" s="37" t="s">
        <v>4225</v>
      </c>
      <c r="H960" s="201">
        <v>4</v>
      </c>
      <c r="I960" s="193">
        <v>1237000</v>
      </c>
      <c r="J960" s="193">
        <f>I960*0.1</f>
        <v>123700</v>
      </c>
      <c r="K960" s="193">
        <v>38200</v>
      </c>
      <c r="L960" s="193">
        <v>17770</v>
      </c>
      <c r="M960" s="193">
        <v>13750</v>
      </c>
      <c r="N960" s="193">
        <f>SUM(I960:M961)</f>
        <v>1430420</v>
      </c>
      <c r="O960" s="191"/>
      <c r="P960" s="147" t="s">
        <v>4613</v>
      </c>
      <c r="Q960" s="29" t="s">
        <v>82</v>
      </c>
      <c r="R960" s="81"/>
      <c r="S960" s="48" t="s">
        <v>604</v>
      </c>
      <c r="T960" s="50"/>
      <c r="U960" s="30"/>
      <c r="V960" s="58"/>
      <c r="W960" s="52"/>
      <c r="X960" s="193"/>
      <c r="Y960" s="193">
        <f>X960*0.1</f>
        <v>0</v>
      </c>
      <c r="Z960" s="193"/>
      <c r="AA960" s="193">
        <f>SUM(X960:Z960)</f>
        <v>0</v>
      </c>
      <c r="AB960" s="195"/>
    </row>
    <row r="961" spans="1:28" ht="18.600000000000001" thickBot="1">
      <c r="A961" s="250"/>
      <c r="B961" s="31" t="s">
        <v>2805</v>
      </c>
      <c r="C961" s="31">
        <v>35</v>
      </c>
      <c r="D961" s="32" t="s">
        <v>399</v>
      </c>
      <c r="E961" s="200"/>
      <c r="F961" s="43" t="s">
        <v>4614</v>
      </c>
      <c r="G961" s="38">
        <v>49813</v>
      </c>
      <c r="H961" s="202"/>
      <c r="I961" s="194"/>
      <c r="J961" s="194"/>
      <c r="K961" s="194"/>
      <c r="L961" s="194"/>
      <c r="M961" s="194"/>
      <c r="N961" s="194"/>
      <c r="O961" s="192"/>
      <c r="P961" s="148" t="s">
        <v>4615</v>
      </c>
      <c r="Q961" s="33" t="s">
        <v>86</v>
      </c>
      <c r="R961" s="34" t="s">
        <v>3271</v>
      </c>
      <c r="S961" s="44" t="s">
        <v>2713</v>
      </c>
      <c r="T961" s="46"/>
      <c r="U961" s="35" t="s">
        <v>103</v>
      </c>
      <c r="V961" s="56"/>
      <c r="W961" s="46"/>
      <c r="X961" s="194"/>
      <c r="Y961" s="194"/>
      <c r="Z961" s="194"/>
      <c r="AA961" s="194"/>
      <c r="AB961" s="196"/>
    </row>
    <row r="962" spans="1:28" ht="18.600000000000001" thickTop="1">
      <c r="A962" s="249" t="s">
        <v>4616</v>
      </c>
      <c r="B962" s="26">
        <v>45841</v>
      </c>
      <c r="C962" s="36">
        <v>1523</v>
      </c>
      <c r="D962" s="28" t="s">
        <v>1001</v>
      </c>
      <c r="E962" s="199"/>
      <c r="F962" s="54" t="s">
        <v>4617</v>
      </c>
      <c r="G962" s="37" t="s">
        <v>1814</v>
      </c>
      <c r="H962" s="201">
        <v>4.5</v>
      </c>
      <c r="I962" s="193">
        <v>2270000</v>
      </c>
      <c r="J962" s="193">
        <f>I962*0.1</f>
        <v>227000</v>
      </c>
      <c r="K962" s="193">
        <f>24000+2400</f>
        <v>26400</v>
      </c>
      <c r="L962" s="193">
        <v>21580</v>
      </c>
      <c r="M962" s="193">
        <v>16500</v>
      </c>
      <c r="N962" s="193">
        <f>SUM(I962:M963)</f>
        <v>2561480</v>
      </c>
      <c r="O962" s="191"/>
      <c r="P962" s="147" t="s">
        <v>4618</v>
      </c>
      <c r="Q962" s="29" t="s">
        <v>82</v>
      </c>
      <c r="R962" s="81"/>
      <c r="S962" s="48" t="s">
        <v>1494</v>
      </c>
      <c r="T962" s="50"/>
      <c r="U962" s="30" t="s">
        <v>4619</v>
      </c>
      <c r="V962" s="58"/>
      <c r="W962" s="52"/>
      <c r="X962" s="193"/>
      <c r="Y962" s="193">
        <f>X962*0.1</f>
        <v>0</v>
      </c>
      <c r="Z962" s="193"/>
      <c r="AA962" s="193">
        <f>SUM(X962:Z962)</f>
        <v>0</v>
      </c>
      <c r="AB962" s="195"/>
    </row>
    <row r="963" spans="1:28" ht="18.600000000000001" thickBot="1">
      <c r="A963" s="250"/>
      <c r="B963" s="31" t="s">
        <v>1858</v>
      </c>
      <c r="C963" s="31">
        <v>75721</v>
      </c>
      <c r="D963" s="32" t="s">
        <v>399</v>
      </c>
      <c r="E963" s="200"/>
      <c r="F963" s="43" t="s">
        <v>4620</v>
      </c>
      <c r="G963" s="38">
        <v>29280</v>
      </c>
      <c r="H963" s="202"/>
      <c r="I963" s="194"/>
      <c r="J963" s="194"/>
      <c r="K963" s="194"/>
      <c r="L963" s="194"/>
      <c r="M963" s="194"/>
      <c r="N963" s="194"/>
      <c r="O963" s="192"/>
      <c r="P963" s="148" t="s">
        <v>4621</v>
      </c>
      <c r="Q963" s="33" t="s">
        <v>86</v>
      </c>
      <c r="R963" s="34" t="s">
        <v>3470</v>
      </c>
      <c r="S963" s="44" t="s">
        <v>96</v>
      </c>
      <c r="T963" s="46"/>
      <c r="U963" s="35"/>
      <c r="V963" s="56"/>
      <c r="W963" s="46"/>
      <c r="X963" s="194"/>
      <c r="Y963" s="194"/>
      <c r="Z963" s="194"/>
      <c r="AA963" s="194"/>
      <c r="AB963" s="196"/>
    </row>
    <row r="964" spans="1:28" ht="18.600000000000001" thickTop="1">
      <c r="A964" s="249" t="s">
        <v>4622</v>
      </c>
      <c r="B964" s="26">
        <v>45843</v>
      </c>
      <c r="C964" s="36">
        <v>1258</v>
      </c>
      <c r="D964" s="28" t="s">
        <v>1978</v>
      </c>
      <c r="E964" s="199"/>
      <c r="F964" s="54" t="s">
        <v>3990</v>
      </c>
      <c r="G964" s="37" t="s">
        <v>4623</v>
      </c>
      <c r="H964" s="201">
        <v>4.5</v>
      </c>
      <c r="I964" s="193">
        <v>1310000</v>
      </c>
      <c r="J964" s="193">
        <f>I964*0.1</f>
        <v>131000</v>
      </c>
      <c r="K964" s="193">
        <f>34000+3400</f>
        <v>37400</v>
      </c>
      <c r="L964" s="193">
        <v>21300</v>
      </c>
      <c r="M964" s="193">
        <v>16500</v>
      </c>
      <c r="N964" s="193">
        <f>SUM(I964:M965)</f>
        <v>1516200</v>
      </c>
      <c r="O964" s="191"/>
      <c r="P964" s="147" t="s">
        <v>4624</v>
      </c>
      <c r="Q964" s="29" t="s">
        <v>82</v>
      </c>
      <c r="R964" s="81"/>
      <c r="S964" s="48" t="s">
        <v>940</v>
      </c>
      <c r="T964" s="50"/>
      <c r="U964" s="30"/>
      <c r="V964" s="58"/>
      <c r="W964" s="52"/>
      <c r="X964" s="193"/>
      <c r="Y964" s="193">
        <f>X964*0.1</f>
        <v>0</v>
      </c>
      <c r="Z964" s="193"/>
      <c r="AA964" s="193">
        <f>SUM(X964:Z964)</f>
        <v>0</v>
      </c>
      <c r="AB964" s="195"/>
    </row>
    <row r="965" spans="1:28" ht="18.600000000000001" thickBot="1">
      <c r="A965" s="250"/>
      <c r="B965" s="31" t="s">
        <v>521</v>
      </c>
      <c r="C965" s="31">
        <v>82003</v>
      </c>
      <c r="D965" s="32" t="s">
        <v>1832</v>
      </c>
      <c r="E965" s="200"/>
      <c r="F965" s="43" t="s">
        <v>4625</v>
      </c>
      <c r="G965" s="38">
        <v>37141</v>
      </c>
      <c r="H965" s="202"/>
      <c r="I965" s="194"/>
      <c r="J965" s="194"/>
      <c r="K965" s="194"/>
      <c r="L965" s="194"/>
      <c r="M965" s="194"/>
      <c r="N965" s="194"/>
      <c r="O965" s="192"/>
      <c r="P965" s="148" t="s">
        <v>3944</v>
      </c>
      <c r="Q965" s="33" t="s">
        <v>86</v>
      </c>
      <c r="R965" s="34" t="s">
        <v>3295</v>
      </c>
      <c r="S965" s="44" t="s">
        <v>4626</v>
      </c>
      <c r="T965" s="46"/>
      <c r="U965" s="35" t="s">
        <v>216</v>
      </c>
      <c r="V965" s="56"/>
      <c r="W965" s="46"/>
      <c r="X965" s="194"/>
      <c r="Y965" s="194"/>
      <c r="Z965" s="194"/>
      <c r="AA965" s="194"/>
      <c r="AB965" s="196"/>
    </row>
    <row r="966" spans="1:28" ht="18.600000000000001" thickTop="1">
      <c r="A966" s="249" t="s">
        <v>4680</v>
      </c>
      <c r="B966" s="26">
        <v>45853</v>
      </c>
      <c r="C966" s="36"/>
      <c r="D966" s="28"/>
      <c r="E966" s="199" t="s">
        <v>282</v>
      </c>
      <c r="F966" s="54" t="s">
        <v>4681</v>
      </c>
      <c r="G966" s="37"/>
      <c r="H966" s="201"/>
      <c r="I966" s="193">
        <v>4977970</v>
      </c>
      <c r="J966" s="193">
        <v>0</v>
      </c>
      <c r="K966" s="193">
        <v>0</v>
      </c>
      <c r="L966" s="193">
        <v>0</v>
      </c>
      <c r="M966" s="193">
        <v>0</v>
      </c>
      <c r="N966" s="193">
        <f>SUM(I966:M967)</f>
        <v>4977970</v>
      </c>
      <c r="O966" s="191"/>
      <c r="P966" s="147"/>
      <c r="Q966" s="29" t="s">
        <v>82</v>
      </c>
      <c r="R966" s="81"/>
      <c r="S966" s="48"/>
      <c r="T966" s="50"/>
      <c r="U966" s="30"/>
      <c r="V966" s="58"/>
      <c r="W966" s="52"/>
      <c r="X966" s="193"/>
      <c r="Y966" s="193">
        <f>X966*0.1</f>
        <v>0</v>
      </c>
      <c r="Z966" s="193"/>
      <c r="AA966" s="193">
        <f>SUM(X966:Z966)</f>
        <v>0</v>
      </c>
      <c r="AB966" s="195"/>
    </row>
    <row r="967" spans="1:28" ht="18.600000000000001" thickBot="1">
      <c r="A967" s="250"/>
      <c r="B967" s="31" t="s">
        <v>4682</v>
      </c>
      <c r="C967" s="31"/>
      <c r="D967" s="32"/>
      <c r="E967" s="200"/>
      <c r="F967" s="43" t="s">
        <v>4683</v>
      </c>
      <c r="G967" s="38"/>
      <c r="H967" s="202"/>
      <c r="I967" s="194"/>
      <c r="J967" s="194"/>
      <c r="K967" s="194"/>
      <c r="L967" s="194"/>
      <c r="M967" s="194"/>
      <c r="N967" s="194"/>
      <c r="O967" s="192"/>
      <c r="P967" s="148" t="s">
        <v>4684</v>
      </c>
      <c r="Q967" s="33" t="s">
        <v>86</v>
      </c>
      <c r="R967" s="34" t="s">
        <v>4685</v>
      </c>
      <c r="S967" s="44"/>
      <c r="T967" s="46"/>
      <c r="U967" s="35"/>
      <c r="V967" s="56"/>
      <c r="W967" s="46"/>
      <c r="X967" s="194"/>
      <c r="Y967" s="194"/>
      <c r="Z967" s="194"/>
      <c r="AA967" s="194"/>
      <c r="AB967" s="196"/>
    </row>
    <row r="968" spans="1:28" ht="18.600000000000001" thickTop="1">
      <c r="A968" s="249" t="s">
        <v>4773</v>
      </c>
      <c r="B968" s="26">
        <v>45864</v>
      </c>
      <c r="C968" s="36">
        <v>1261</v>
      </c>
      <c r="D968" s="28" t="s">
        <v>3395</v>
      </c>
      <c r="E968" s="199"/>
      <c r="F968" s="54" t="s">
        <v>4774</v>
      </c>
      <c r="G968" s="37" t="s">
        <v>4775</v>
      </c>
      <c r="H968" s="201">
        <v>4.5</v>
      </c>
      <c r="I968" s="193">
        <v>2015000</v>
      </c>
      <c r="J968" s="193">
        <f>I968*0.1</f>
        <v>201500</v>
      </c>
      <c r="K968" s="193">
        <f>26300+2630</f>
        <v>28930</v>
      </c>
      <c r="L968" s="193">
        <v>22910</v>
      </c>
      <c r="M968" s="193">
        <v>16500</v>
      </c>
      <c r="N968" s="193">
        <f>SUM(I968:M969)</f>
        <v>2284840</v>
      </c>
      <c r="O968" s="191"/>
      <c r="P968" s="147" t="s">
        <v>4776</v>
      </c>
      <c r="Q968" s="29" t="s">
        <v>82</v>
      </c>
      <c r="R968" s="81"/>
      <c r="S968" s="48" t="s">
        <v>1666</v>
      </c>
      <c r="T968" s="50"/>
      <c r="U968" s="30"/>
      <c r="V968" s="58"/>
      <c r="W968" s="52"/>
      <c r="X968" s="193"/>
      <c r="Y968" s="193">
        <f>X968*0.1</f>
        <v>0</v>
      </c>
      <c r="Z968" s="193"/>
      <c r="AA968" s="193">
        <f>SUM(X968:Z968)</f>
        <v>0</v>
      </c>
      <c r="AB968" s="195"/>
    </row>
    <row r="969" spans="1:28" ht="18.600000000000001" thickBot="1">
      <c r="A969" s="250"/>
      <c r="B969" s="31" t="s">
        <v>521</v>
      </c>
      <c r="C969" s="31">
        <v>80306</v>
      </c>
      <c r="D969" s="32" t="s">
        <v>1849</v>
      </c>
      <c r="E969" s="200"/>
      <c r="F969" s="43" t="s">
        <v>4777</v>
      </c>
      <c r="G969" s="38">
        <v>51605</v>
      </c>
      <c r="H969" s="202"/>
      <c r="I969" s="194"/>
      <c r="J969" s="194"/>
      <c r="K969" s="194"/>
      <c r="L969" s="194"/>
      <c r="M969" s="194"/>
      <c r="N969" s="194"/>
      <c r="O969" s="192"/>
      <c r="P969" s="148" t="s">
        <v>2144</v>
      </c>
      <c r="Q969" s="33" t="s">
        <v>86</v>
      </c>
      <c r="R969" s="34" t="s">
        <v>3397</v>
      </c>
      <c r="S969" s="44" t="s">
        <v>1872</v>
      </c>
      <c r="T969" s="46"/>
      <c r="U969" s="35" t="s">
        <v>153</v>
      </c>
      <c r="V969" s="56"/>
      <c r="W969" s="46"/>
      <c r="X969" s="194"/>
      <c r="Y969" s="194"/>
      <c r="Z969" s="194"/>
      <c r="AA969" s="194"/>
      <c r="AB969" s="196"/>
    </row>
    <row r="970" spans="1:28" ht="18.600000000000001" thickTop="1">
      <c r="A970" s="249" t="s">
        <v>4786</v>
      </c>
      <c r="B970" s="26">
        <v>45867</v>
      </c>
      <c r="C970" s="36">
        <v>1055</v>
      </c>
      <c r="D970" s="28" t="s">
        <v>2229</v>
      </c>
      <c r="E970" s="199"/>
      <c r="F970" s="54" t="s">
        <v>4787</v>
      </c>
      <c r="G970" s="37"/>
      <c r="H970" s="201">
        <v>4.5</v>
      </c>
      <c r="I970" s="193">
        <v>1075000</v>
      </c>
      <c r="J970" s="193">
        <f>I970*0.1</f>
        <v>107500</v>
      </c>
      <c r="K970" s="193">
        <v>0</v>
      </c>
      <c r="L970" s="193">
        <v>19330</v>
      </c>
      <c r="M970" s="193">
        <v>16500</v>
      </c>
      <c r="N970" s="193">
        <f>SUM(I970:M971)</f>
        <v>1218330</v>
      </c>
      <c r="O970" s="191"/>
      <c r="P970" s="147" t="s">
        <v>4788</v>
      </c>
      <c r="Q970" s="29" t="s">
        <v>82</v>
      </c>
      <c r="R970" s="81"/>
      <c r="S970" s="48" t="s">
        <v>1596</v>
      </c>
      <c r="T970" s="50"/>
      <c r="U970" s="30"/>
      <c r="V970" s="58"/>
      <c r="W970" s="52"/>
      <c r="X970" s="193"/>
      <c r="Y970" s="193">
        <f>X970*0.1</f>
        <v>0</v>
      </c>
      <c r="Z970" s="193"/>
      <c r="AA970" s="193">
        <f>SUM(X970:Z970)</f>
        <v>0</v>
      </c>
      <c r="AB970" s="195"/>
    </row>
    <row r="971" spans="1:28" ht="18.600000000000001" thickBot="1">
      <c r="A971" s="250"/>
      <c r="B971" s="31" t="s">
        <v>1848</v>
      </c>
      <c r="C971" s="31">
        <v>84288</v>
      </c>
      <c r="D971" s="32" t="s">
        <v>399</v>
      </c>
      <c r="E971" s="200"/>
      <c r="F971" s="43" t="s">
        <v>4789</v>
      </c>
      <c r="G971" s="38">
        <v>36397</v>
      </c>
      <c r="H971" s="202"/>
      <c r="I971" s="194"/>
      <c r="J971" s="194"/>
      <c r="K971" s="194"/>
      <c r="L971" s="194"/>
      <c r="M971" s="194"/>
      <c r="N971" s="194"/>
      <c r="O971" s="192"/>
      <c r="P971" s="148" t="s">
        <v>2295</v>
      </c>
      <c r="Q971" s="33" t="s">
        <v>86</v>
      </c>
      <c r="R971" s="34" t="s">
        <v>4568</v>
      </c>
      <c r="S971" s="44" t="s">
        <v>4790</v>
      </c>
      <c r="T971" s="46"/>
      <c r="U971" s="35"/>
      <c r="V971" s="56"/>
      <c r="W971" s="46"/>
      <c r="X971" s="194"/>
      <c r="Y971" s="194"/>
      <c r="Z971" s="194"/>
      <c r="AA971" s="194"/>
      <c r="AB971" s="196"/>
    </row>
    <row r="972" spans="1:28" ht="18.600000000000001" thickTop="1">
      <c r="A972" s="249" t="s">
        <v>4889</v>
      </c>
      <c r="B972" s="26">
        <v>45875</v>
      </c>
      <c r="C972" s="36">
        <v>1292</v>
      </c>
      <c r="D972" s="28" t="s">
        <v>2127</v>
      </c>
      <c r="E972" s="199"/>
      <c r="F972" s="54" t="s">
        <v>4890</v>
      </c>
      <c r="G972" s="37"/>
      <c r="H972" s="201">
        <v>4</v>
      </c>
      <c r="I972" s="193">
        <v>2360000</v>
      </c>
      <c r="J972" s="193">
        <f>I972*0.1</f>
        <v>236000</v>
      </c>
      <c r="K972" s="193">
        <v>0</v>
      </c>
      <c r="L972" s="193">
        <v>16240</v>
      </c>
      <c r="M972" s="193">
        <v>22000</v>
      </c>
      <c r="N972" s="193">
        <f>SUM(I972:M973)</f>
        <v>2634240</v>
      </c>
      <c r="O972" s="191"/>
      <c r="P972" s="147" t="s">
        <v>4891</v>
      </c>
      <c r="Q972" s="29" t="s">
        <v>82</v>
      </c>
      <c r="R972" s="81"/>
      <c r="S972" s="48" t="s">
        <v>940</v>
      </c>
      <c r="T972" s="50"/>
      <c r="U972" s="30"/>
      <c r="V972" s="58"/>
      <c r="W972" s="52"/>
      <c r="X972" s="193"/>
      <c r="Y972" s="193">
        <f>X972*0.1</f>
        <v>0</v>
      </c>
      <c r="Z972" s="193"/>
      <c r="AA972" s="193">
        <f>SUM(X972:Z972)</f>
        <v>0</v>
      </c>
      <c r="AB972" s="195"/>
    </row>
    <row r="973" spans="1:28" ht="18.600000000000001" thickBot="1">
      <c r="A973" s="250"/>
      <c r="B973" s="31" t="s">
        <v>4892</v>
      </c>
      <c r="C973" s="31">
        <v>20146</v>
      </c>
      <c r="D973" s="32" t="s">
        <v>244</v>
      </c>
      <c r="E973" s="200"/>
      <c r="F973" s="43" t="s">
        <v>4893</v>
      </c>
      <c r="G973" s="38">
        <v>32163</v>
      </c>
      <c r="H973" s="202"/>
      <c r="I973" s="194"/>
      <c r="J973" s="194"/>
      <c r="K973" s="194"/>
      <c r="L973" s="194"/>
      <c r="M973" s="194"/>
      <c r="N973" s="194"/>
      <c r="O973" s="192"/>
      <c r="P973" s="148" t="s">
        <v>4894</v>
      </c>
      <c r="Q973" s="33" t="s">
        <v>86</v>
      </c>
      <c r="R973" s="34" t="s">
        <v>3368</v>
      </c>
      <c r="S973" s="44" t="s">
        <v>1872</v>
      </c>
      <c r="T973" s="46"/>
      <c r="U973" s="35"/>
      <c r="V973" s="56"/>
      <c r="W973" s="46"/>
      <c r="X973" s="194"/>
      <c r="Y973" s="194"/>
      <c r="Z973" s="194"/>
      <c r="AA973" s="194"/>
      <c r="AB973" s="196"/>
    </row>
    <row r="974" spans="1:28" ht="18.600000000000001" thickTop="1">
      <c r="A974" s="249" t="s">
        <v>4918</v>
      </c>
      <c r="B974" s="26">
        <v>45876</v>
      </c>
      <c r="C974" s="36">
        <v>1945</v>
      </c>
      <c r="D974" s="28" t="s">
        <v>2644</v>
      </c>
      <c r="E974" s="199"/>
      <c r="F974" s="54" t="s">
        <v>2155</v>
      </c>
      <c r="G974" s="37"/>
      <c r="H974" s="201">
        <v>4</v>
      </c>
      <c r="I974" s="193">
        <v>1756000</v>
      </c>
      <c r="J974" s="193">
        <f>I974*0.1</f>
        <v>175600</v>
      </c>
      <c r="K974" s="193">
        <v>0</v>
      </c>
      <c r="L974" s="193">
        <v>16240</v>
      </c>
      <c r="M974" s="193">
        <v>15950</v>
      </c>
      <c r="N974" s="193">
        <f>SUM(I974:M975)</f>
        <v>1963790</v>
      </c>
      <c r="O974" s="191"/>
      <c r="P974" s="147" t="s">
        <v>4919</v>
      </c>
      <c r="Q974" s="29" t="s">
        <v>82</v>
      </c>
      <c r="R974" s="81"/>
      <c r="S974" s="48" t="s">
        <v>940</v>
      </c>
      <c r="T974" s="50"/>
      <c r="U974" s="30"/>
      <c r="V974" s="58"/>
      <c r="W974" s="52"/>
      <c r="X974" s="193"/>
      <c r="Y974" s="193">
        <f>X974*0.1</f>
        <v>0</v>
      </c>
      <c r="Z974" s="193"/>
      <c r="AA974" s="193">
        <f>SUM(X974:Z974)</f>
        <v>0</v>
      </c>
      <c r="AB974" s="195"/>
    </row>
    <row r="975" spans="1:28" ht="18.600000000000001" thickBot="1">
      <c r="A975" s="250"/>
      <c r="B975" s="31" t="s">
        <v>4408</v>
      </c>
      <c r="C975" s="31">
        <v>80019</v>
      </c>
      <c r="D975" s="32" t="s">
        <v>1849</v>
      </c>
      <c r="E975" s="200"/>
      <c r="F975" s="43" t="s">
        <v>4920</v>
      </c>
      <c r="G975" s="38">
        <v>48557</v>
      </c>
      <c r="H975" s="202"/>
      <c r="I975" s="194"/>
      <c r="J975" s="194"/>
      <c r="K975" s="194"/>
      <c r="L975" s="194"/>
      <c r="M975" s="194"/>
      <c r="N975" s="194"/>
      <c r="O975" s="192"/>
      <c r="P975" s="148" t="s">
        <v>4921</v>
      </c>
      <c r="Q975" s="33" t="s">
        <v>86</v>
      </c>
      <c r="R975" s="34" t="s">
        <v>3287</v>
      </c>
      <c r="S975" s="44" t="s">
        <v>4922</v>
      </c>
      <c r="T975" s="46"/>
      <c r="U975" s="35"/>
      <c r="V975" s="56"/>
      <c r="W975" s="46"/>
      <c r="X975" s="194"/>
      <c r="Y975" s="194"/>
      <c r="Z975" s="194"/>
      <c r="AA975" s="194"/>
      <c r="AB975" s="196"/>
    </row>
    <row r="976" spans="1:28" ht="18.600000000000001" thickTop="1">
      <c r="A976" s="249" t="s">
        <v>4965</v>
      </c>
      <c r="B976" s="26">
        <v>45878</v>
      </c>
      <c r="C976" s="36"/>
      <c r="D976" s="28" t="s">
        <v>1804</v>
      </c>
      <c r="E976" s="199"/>
      <c r="F976" s="54" t="s">
        <v>2230</v>
      </c>
      <c r="G976" s="37" t="s">
        <v>4966</v>
      </c>
      <c r="H976" s="201"/>
      <c r="I976" s="193">
        <v>250000</v>
      </c>
      <c r="J976" s="193">
        <v>0</v>
      </c>
      <c r="K976" s="193"/>
      <c r="L976" s="193"/>
      <c r="M976" s="193"/>
      <c r="N976" s="193">
        <f>SUM(I976:M977)</f>
        <v>250000</v>
      </c>
      <c r="O976" s="191"/>
      <c r="P976" s="147" t="s">
        <v>4967</v>
      </c>
      <c r="Q976" s="29" t="s">
        <v>82</v>
      </c>
      <c r="R976" s="81"/>
      <c r="S976" s="48"/>
      <c r="T976" s="50"/>
      <c r="U976" s="30"/>
      <c r="V976" s="58"/>
      <c r="W976" s="52"/>
      <c r="X976" s="193"/>
      <c r="Y976" s="193">
        <f>X976*0.1</f>
        <v>0</v>
      </c>
      <c r="Z976" s="193"/>
      <c r="AA976" s="193">
        <f>SUM(X976:Z976)</f>
        <v>0</v>
      </c>
      <c r="AB976" s="195"/>
    </row>
    <row r="977" spans="1:28" ht="18.600000000000001" thickBot="1">
      <c r="A977" s="250"/>
      <c r="B977" s="31" t="s">
        <v>4968</v>
      </c>
      <c r="C977" s="31"/>
      <c r="D977" s="32"/>
      <c r="E977" s="200"/>
      <c r="F977" s="43" t="s">
        <v>4969</v>
      </c>
      <c r="G977" s="38"/>
      <c r="H977" s="202"/>
      <c r="I977" s="194"/>
      <c r="J977" s="194"/>
      <c r="K977" s="194"/>
      <c r="L977" s="194"/>
      <c r="M977" s="194"/>
      <c r="N977" s="194"/>
      <c r="O977" s="192"/>
      <c r="P977" s="148" t="s">
        <v>4970</v>
      </c>
      <c r="Q977" s="33" t="s">
        <v>86</v>
      </c>
      <c r="R977" s="34" t="s">
        <v>4899</v>
      </c>
      <c r="S977" s="44"/>
      <c r="T977" s="46"/>
      <c r="U977" s="35"/>
      <c r="V977" s="56"/>
      <c r="W977" s="46"/>
      <c r="X977" s="194"/>
      <c r="Y977" s="194"/>
      <c r="Z977" s="194"/>
      <c r="AA977" s="194"/>
      <c r="AB977" s="196"/>
    </row>
    <row r="978" spans="1:28" ht="18.600000000000001" thickTop="1">
      <c r="A978" s="249" t="s">
        <v>4977</v>
      </c>
      <c r="B978" s="26">
        <v>45887</v>
      </c>
      <c r="C978" s="36">
        <v>2056</v>
      </c>
      <c r="D978" s="28" t="s">
        <v>3841</v>
      </c>
      <c r="E978" s="199"/>
      <c r="F978" s="54" t="s">
        <v>4978</v>
      </c>
      <c r="G978" s="37"/>
      <c r="H978" s="201">
        <v>3.5</v>
      </c>
      <c r="I978" s="193">
        <v>1080000</v>
      </c>
      <c r="J978" s="193">
        <v>0</v>
      </c>
      <c r="K978" s="193">
        <v>0</v>
      </c>
      <c r="L978" s="193">
        <v>7150</v>
      </c>
      <c r="M978" s="193">
        <v>20900</v>
      </c>
      <c r="N978" s="193">
        <f>SUM(I978:M979)</f>
        <v>1108050</v>
      </c>
      <c r="O978" s="191"/>
      <c r="P978" s="147" t="s">
        <v>4979</v>
      </c>
      <c r="Q978" s="29" t="s">
        <v>82</v>
      </c>
      <c r="R978" s="81"/>
      <c r="S978" s="48"/>
      <c r="T978" s="50"/>
      <c r="U978" s="30"/>
      <c r="V978" s="58"/>
      <c r="W978" s="52"/>
      <c r="X978" s="193"/>
      <c r="Y978" s="193">
        <f>X978*0.1</f>
        <v>0</v>
      </c>
      <c r="Z978" s="193"/>
      <c r="AA978" s="193">
        <f>SUM(X978:Z978)</f>
        <v>0</v>
      </c>
      <c r="AB978" s="195"/>
    </row>
    <row r="979" spans="1:28" ht="18.600000000000001" thickBot="1">
      <c r="A979" s="250"/>
      <c r="B979" s="31" t="s">
        <v>189</v>
      </c>
      <c r="C979" s="31">
        <v>25084</v>
      </c>
      <c r="D979" s="32" t="s">
        <v>1895</v>
      </c>
      <c r="E979" s="200"/>
      <c r="F979" s="43" t="s">
        <v>4980</v>
      </c>
      <c r="G979" s="38">
        <v>27045</v>
      </c>
      <c r="H979" s="202"/>
      <c r="I979" s="194"/>
      <c r="J979" s="194"/>
      <c r="K979" s="194"/>
      <c r="L979" s="194"/>
      <c r="M979" s="194"/>
      <c r="N979" s="194"/>
      <c r="O979" s="192"/>
      <c r="P979" s="148" t="s">
        <v>2365</v>
      </c>
      <c r="Q979" s="33" t="s">
        <v>86</v>
      </c>
      <c r="R979" s="34" t="s">
        <v>2402</v>
      </c>
      <c r="S979" s="44" t="s">
        <v>4981</v>
      </c>
      <c r="T979" s="46"/>
      <c r="U979" s="35"/>
      <c r="V979" s="56"/>
      <c r="W979" s="46"/>
      <c r="X979" s="194"/>
      <c r="Y979" s="194"/>
      <c r="Z979" s="194"/>
      <c r="AA979" s="194"/>
      <c r="AB979" s="196"/>
    </row>
    <row r="980" spans="1:28" ht="18.600000000000001" thickTop="1">
      <c r="A980" s="249" t="s">
        <v>4982</v>
      </c>
      <c r="B980" s="26">
        <v>45887</v>
      </c>
      <c r="C980" s="36">
        <v>2056</v>
      </c>
      <c r="D980" s="28" t="s">
        <v>2810</v>
      </c>
      <c r="E980" s="199"/>
      <c r="F980" s="54" t="s">
        <v>4983</v>
      </c>
      <c r="G980" s="37" t="s">
        <v>3295</v>
      </c>
      <c r="H980" s="201">
        <v>4</v>
      </c>
      <c r="I980" s="193">
        <v>1955000</v>
      </c>
      <c r="J980" s="193">
        <f>I980*0.1</f>
        <v>195500</v>
      </c>
      <c r="K980" s="193">
        <v>25300</v>
      </c>
      <c r="L980" s="193">
        <v>18130</v>
      </c>
      <c r="M980" s="193">
        <v>11000</v>
      </c>
      <c r="N980" s="193">
        <f>SUM(I980:M981)</f>
        <v>2204930</v>
      </c>
      <c r="O980" s="191"/>
      <c r="P980" s="147" t="s">
        <v>4984</v>
      </c>
      <c r="Q980" s="29" t="s">
        <v>82</v>
      </c>
      <c r="R980" s="81"/>
      <c r="S980" s="48" t="s">
        <v>4985</v>
      </c>
      <c r="T980" s="50"/>
      <c r="U980" s="30"/>
      <c r="V980" s="58"/>
      <c r="W980" s="52"/>
      <c r="X980" s="193"/>
      <c r="Y980" s="193">
        <f>X980*0.1</f>
        <v>0</v>
      </c>
      <c r="Z980" s="193"/>
      <c r="AA980" s="193">
        <f>SUM(X980:Z980)</f>
        <v>0</v>
      </c>
      <c r="AB980" s="195"/>
    </row>
    <row r="981" spans="1:28" ht="18.600000000000001" thickBot="1">
      <c r="A981" s="250"/>
      <c r="B981" s="31" t="s">
        <v>189</v>
      </c>
      <c r="C981" s="31">
        <v>36019</v>
      </c>
      <c r="D981" s="32" t="s">
        <v>1097</v>
      </c>
      <c r="E981" s="200"/>
      <c r="F981" s="43" t="s">
        <v>4986</v>
      </c>
      <c r="G981" s="38">
        <v>34779</v>
      </c>
      <c r="H981" s="202"/>
      <c r="I981" s="194"/>
      <c r="J981" s="194"/>
      <c r="K981" s="194"/>
      <c r="L981" s="194"/>
      <c r="M981" s="194"/>
      <c r="N981" s="194"/>
      <c r="O981" s="192"/>
      <c r="P981" s="148" t="s">
        <v>4987</v>
      </c>
      <c r="Q981" s="33" t="s">
        <v>86</v>
      </c>
      <c r="R981" s="34" t="s">
        <v>4976</v>
      </c>
      <c r="S981" s="44" t="s">
        <v>4988</v>
      </c>
      <c r="T981" s="46"/>
      <c r="U981" s="35"/>
      <c r="V981" s="56"/>
      <c r="W981" s="46"/>
      <c r="X981" s="194"/>
      <c r="Y981" s="194"/>
      <c r="Z981" s="194"/>
      <c r="AA981" s="194"/>
      <c r="AB981" s="196"/>
    </row>
    <row r="982" spans="1:28" ht="18.600000000000001" thickTop="1">
      <c r="A982" s="249" t="s">
        <v>5180</v>
      </c>
      <c r="B982" s="26">
        <v>45898</v>
      </c>
      <c r="C982" s="36">
        <v>2099</v>
      </c>
      <c r="D982" s="28" t="s">
        <v>5181</v>
      </c>
      <c r="E982" s="199"/>
      <c r="F982" s="54" t="s">
        <v>5182</v>
      </c>
      <c r="G982" s="37" t="s">
        <v>5183</v>
      </c>
      <c r="H982" s="201">
        <v>4</v>
      </c>
      <c r="I982" s="193">
        <v>410000</v>
      </c>
      <c r="J982" s="193">
        <f>I982*0.1</f>
        <v>41000</v>
      </c>
      <c r="K982" s="193">
        <v>0</v>
      </c>
      <c r="L982" s="193">
        <v>8950</v>
      </c>
      <c r="M982" s="193">
        <v>16500</v>
      </c>
      <c r="N982" s="193">
        <f>SUM(I982:M983)</f>
        <v>476450</v>
      </c>
      <c r="O982" s="191"/>
      <c r="P982" s="147" t="s">
        <v>5184</v>
      </c>
      <c r="Q982" s="29" t="s">
        <v>82</v>
      </c>
      <c r="R982" s="81"/>
      <c r="S982" s="48" t="s">
        <v>1494</v>
      </c>
      <c r="T982" s="50"/>
      <c r="U982" s="30" t="s">
        <v>5185</v>
      </c>
      <c r="V982" s="58"/>
      <c r="W982" s="52"/>
      <c r="X982" s="193"/>
      <c r="Y982" s="193">
        <f>X982*0.1</f>
        <v>0</v>
      </c>
      <c r="Z982" s="193"/>
      <c r="AA982" s="193">
        <f>SUM(X982:Z982)</f>
        <v>0</v>
      </c>
      <c r="AB982" s="195"/>
    </row>
    <row r="983" spans="1:28" ht="18.600000000000001" thickBot="1">
      <c r="A983" s="250"/>
      <c r="B983" s="31" t="s">
        <v>1797</v>
      </c>
      <c r="C983" s="31">
        <v>55099</v>
      </c>
      <c r="D983" s="32" t="s">
        <v>95</v>
      </c>
      <c r="E983" s="200"/>
      <c r="F983" s="43" t="s">
        <v>5186</v>
      </c>
      <c r="G983" s="38">
        <v>54000</v>
      </c>
      <c r="H983" s="202"/>
      <c r="I983" s="194"/>
      <c r="J983" s="194"/>
      <c r="K983" s="194"/>
      <c r="L983" s="194"/>
      <c r="M983" s="194"/>
      <c r="N983" s="194"/>
      <c r="O983" s="192"/>
      <c r="P983" s="148" t="s">
        <v>5187</v>
      </c>
      <c r="Q983" s="33" t="s">
        <v>86</v>
      </c>
      <c r="R983" s="34" t="s">
        <v>4578</v>
      </c>
      <c r="S983" s="44" t="s">
        <v>5188</v>
      </c>
      <c r="T983" s="46"/>
      <c r="U983" s="35"/>
      <c r="V983" s="56"/>
      <c r="W983" s="46"/>
      <c r="X983" s="194"/>
      <c r="Y983" s="194"/>
      <c r="Z983" s="194"/>
      <c r="AA983" s="194"/>
      <c r="AB983" s="196"/>
    </row>
    <row r="984" spans="1:28" ht="18.600000000000001" thickTop="1">
      <c r="A984" s="249" t="s">
        <v>5249</v>
      </c>
      <c r="B984" s="26">
        <v>45901</v>
      </c>
      <c r="C984" s="36">
        <v>2058</v>
      </c>
      <c r="D984" s="28" t="s">
        <v>3841</v>
      </c>
      <c r="E984" s="199"/>
      <c r="F984" s="54" t="s">
        <v>3146</v>
      </c>
      <c r="G984" s="37"/>
      <c r="H984" s="201">
        <v>3.5</v>
      </c>
      <c r="I984" s="193">
        <v>1470000</v>
      </c>
      <c r="J984" s="193">
        <f>I984*0.1</f>
        <v>147000</v>
      </c>
      <c r="K984" s="193">
        <v>0</v>
      </c>
      <c r="L984" s="193">
        <v>19090</v>
      </c>
      <c r="M984" s="193">
        <v>11000</v>
      </c>
      <c r="N984" s="193">
        <f>SUM(I984:M985)</f>
        <v>1647090</v>
      </c>
      <c r="O984" s="191"/>
      <c r="P984" s="147" t="s">
        <v>5250</v>
      </c>
      <c r="Q984" s="29" t="s">
        <v>82</v>
      </c>
      <c r="R984" s="81"/>
      <c r="S984" s="48" t="s">
        <v>1596</v>
      </c>
      <c r="T984" s="50"/>
      <c r="U984" s="30"/>
      <c r="V984" s="58"/>
      <c r="W984" s="52"/>
      <c r="X984" s="193"/>
      <c r="Y984" s="193">
        <f>X984*0.1</f>
        <v>0</v>
      </c>
      <c r="Z984" s="193"/>
      <c r="AA984" s="193">
        <f>SUM(X984:Z984)</f>
        <v>0</v>
      </c>
      <c r="AB984" s="195"/>
    </row>
    <row r="985" spans="1:28" ht="18.600000000000001" thickBot="1">
      <c r="A985" s="250"/>
      <c r="B985" s="31" t="s">
        <v>189</v>
      </c>
      <c r="C985" s="31">
        <v>32007</v>
      </c>
      <c r="D985" s="32" t="s">
        <v>1849</v>
      </c>
      <c r="E985" s="200"/>
      <c r="F985" s="43" t="s">
        <v>5251</v>
      </c>
      <c r="G985" s="38">
        <v>38854</v>
      </c>
      <c r="H985" s="202"/>
      <c r="I985" s="194"/>
      <c r="J985" s="194"/>
      <c r="K985" s="194"/>
      <c r="L985" s="194"/>
      <c r="M985" s="194"/>
      <c r="N985" s="194"/>
      <c r="O985" s="192"/>
      <c r="P985" s="148" t="s">
        <v>5248</v>
      </c>
      <c r="Q985" s="33" t="s">
        <v>86</v>
      </c>
      <c r="R985" s="34" t="s">
        <v>3435</v>
      </c>
      <c r="S985" s="44" t="s">
        <v>96</v>
      </c>
      <c r="T985" s="46"/>
      <c r="U985" s="35"/>
      <c r="V985" s="56"/>
      <c r="W985" s="46"/>
      <c r="X985" s="194"/>
      <c r="Y985" s="194"/>
      <c r="Z985" s="194"/>
      <c r="AA985" s="194"/>
      <c r="AB985" s="196"/>
    </row>
    <row r="986" spans="1:28" ht="18.600000000000001" thickTop="1">
      <c r="A986" s="249" t="s">
        <v>5334</v>
      </c>
      <c r="B986" s="26">
        <v>45905</v>
      </c>
      <c r="C986" s="36">
        <v>2100</v>
      </c>
      <c r="D986" s="28" t="s">
        <v>4810</v>
      </c>
      <c r="E986" s="199"/>
      <c r="F986" s="54" t="s">
        <v>5335</v>
      </c>
      <c r="G986" s="37" t="s">
        <v>3368</v>
      </c>
      <c r="H986" s="201">
        <v>4.5</v>
      </c>
      <c r="I986" s="193">
        <v>2240000</v>
      </c>
      <c r="J986" s="193">
        <f>I986*0.1</f>
        <v>224000</v>
      </c>
      <c r="K986" s="193">
        <f>19700+1970</f>
        <v>21670</v>
      </c>
      <c r="L986" s="193">
        <v>19090</v>
      </c>
      <c r="M986" s="193">
        <v>16500</v>
      </c>
      <c r="N986" s="193">
        <f>SUM(I986:M987)</f>
        <v>2521260</v>
      </c>
      <c r="O986" s="191"/>
      <c r="P986" s="147" t="s">
        <v>5336</v>
      </c>
      <c r="Q986" s="29" t="s">
        <v>82</v>
      </c>
      <c r="R986" s="81"/>
      <c r="S986" s="48" t="s">
        <v>1494</v>
      </c>
      <c r="T986" s="50"/>
      <c r="U986" s="30" t="s">
        <v>5337</v>
      </c>
      <c r="V986" s="58"/>
      <c r="W986" s="52"/>
      <c r="X986" s="193"/>
      <c r="Y986" s="193">
        <f>X986*0.1</f>
        <v>0</v>
      </c>
      <c r="Z986" s="193"/>
      <c r="AA986" s="193">
        <f>SUM(X986:Z986)</f>
        <v>0</v>
      </c>
      <c r="AB986" s="195"/>
    </row>
    <row r="987" spans="1:28" ht="18.600000000000001" thickBot="1">
      <c r="A987" s="250"/>
      <c r="B987" s="31" t="s">
        <v>1797</v>
      </c>
      <c r="C987" s="31">
        <v>58408</v>
      </c>
      <c r="D987" s="32" t="s">
        <v>1832</v>
      </c>
      <c r="E987" s="200"/>
      <c r="F987" s="43" t="s">
        <v>5338</v>
      </c>
      <c r="G987" s="38">
        <v>28458</v>
      </c>
      <c r="H987" s="202"/>
      <c r="I987" s="194"/>
      <c r="J987" s="194"/>
      <c r="K987" s="194"/>
      <c r="L987" s="194"/>
      <c r="M987" s="194"/>
      <c r="N987" s="194"/>
      <c r="O987" s="192"/>
      <c r="P987" s="148" t="s">
        <v>1851</v>
      </c>
      <c r="Q987" s="33" t="s">
        <v>86</v>
      </c>
      <c r="R987" s="34" t="s">
        <v>5277</v>
      </c>
      <c r="S987" s="44" t="s">
        <v>96</v>
      </c>
      <c r="T987" s="46"/>
      <c r="U987" s="35"/>
      <c r="V987" s="56"/>
      <c r="W987" s="46"/>
      <c r="X987" s="194"/>
      <c r="Y987" s="194"/>
      <c r="Z987" s="194"/>
      <c r="AA987" s="194"/>
      <c r="AB987" s="196"/>
    </row>
    <row r="988" spans="1:28" ht="18.600000000000001" thickTop="1">
      <c r="A988" s="249" t="s">
        <v>5339</v>
      </c>
      <c r="B988" s="26">
        <v>45905</v>
      </c>
      <c r="C988" s="36">
        <v>2100</v>
      </c>
      <c r="D988" s="28" t="s">
        <v>2455</v>
      </c>
      <c r="E988" s="199"/>
      <c r="F988" s="54" t="s">
        <v>5340</v>
      </c>
      <c r="G988" s="37" t="s">
        <v>5341</v>
      </c>
      <c r="H988" s="201">
        <v>4.5</v>
      </c>
      <c r="I988" s="193">
        <v>754000</v>
      </c>
      <c r="J988" s="193">
        <f>I988*0.1</f>
        <v>75400</v>
      </c>
      <c r="K988" s="193">
        <f>17200+1720</f>
        <v>18920</v>
      </c>
      <c r="L988" s="193">
        <v>17250</v>
      </c>
      <c r="M988" s="193">
        <v>16500</v>
      </c>
      <c r="N988" s="193">
        <f>SUM(I988:M989)</f>
        <v>882070</v>
      </c>
      <c r="O988" s="191"/>
      <c r="P988" s="147" t="s">
        <v>5342</v>
      </c>
      <c r="Q988" s="29" t="s">
        <v>82</v>
      </c>
      <c r="R988" s="81"/>
      <c r="S988" s="48" t="s">
        <v>940</v>
      </c>
      <c r="T988" s="50"/>
      <c r="U988" s="30" t="s">
        <v>5343</v>
      </c>
      <c r="V988" s="58"/>
      <c r="W988" s="52"/>
      <c r="X988" s="193"/>
      <c r="Y988" s="193">
        <f>X988*0.1</f>
        <v>0</v>
      </c>
      <c r="Z988" s="193"/>
      <c r="AA988" s="193">
        <f>SUM(X988:Z988)</f>
        <v>0</v>
      </c>
      <c r="AB988" s="195"/>
    </row>
    <row r="989" spans="1:28" ht="18.600000000000001" thickBot="1">
      <c r="A989" s="250"/>
      <c r="B989" s="31" t="s">
        <v>1797</v>
      </c>
      <c r="C989" s="31">
        <v>58431</v>
      </c>
      <c r="D989" s="32" t="s">
        <v>2089</v>
      </c>
      <c r="E989" s="200"/>
      <c r="F989" s="43" t="s">
        <v>5344</v>
      </c>
      <c r="G989" s="38">
        <v>35298</v>
      </c>
      <c r="H989" s="202"/>
      <c r="I989" s="194"/>
      <c r="J989" s="194"/>
      <c r="K989" s="194"/>
      <c r="L989" s="194"/>
      <c r="M989" s="194"/>
      <c r="N989" s="194"/>
      <c r="O989" s="192"/>
      <c r="P989" s="148" t="s">
        <v>5345</v>
      </c>
      <c r="Q989" s="33" t="s">
        <v>86</v>
      </c>
      <c r="R989" s="34" t="s">
        <v>5277</v>
      </c>
      <c r="S989" s="44" t="s">
        <v>96</v>
      </c>
      <c r="T989" s="46"/>
      <c r="U989" s="35"/>
      <c r="V989" s="56"/>
      <c r="W989" s="46"/>
      <c r="X989" s="194"/>
      <c r="Y989" s="194"/>
      <c r="Z989" s="194"/>
      <c r="AA989" s="194"/>
      <c r="AB989" s="196"/>
    </row>
    <row r="990" spans="1:28" ht="18.600000000000001" thickTop="1">
      <c r="A990" s="249" t="s">
        <v>5392</v>
      </c>
      <c r="B990" s="26">
        <v>45906</v>
      </c>
      <c r="C990" s="36">
        <v>1266</v>
      </c>
      <c r="D990" s="28" t="s">
        <v>2274</v>
      </c>
      <c r="E990" s="199"/>
      <c r="F990" s="54" t="s">
        <v>5393</v>
      </c>
      <c r="G990" s="37"/>
      <c r="H990" s="201">
        <v>4.5</v>
      </c>
      <c r="I990" s="193">
        <v>2475000</v>
      </c>
      <c r="J990" s="193">
        <v>247500</v>
      </c>
      <c r="K990" s="193">
        <v>0</v>
      </c>
      <c r="L990" s="193">
        <v>19090</v>
      </c>
      <c r="M990" s="193">
        <v>16500</v>
      </c>
      <c r="N990" s="193">
        <f>SUM(I990:M991)</f>
        <v>2758090</v>
      </c>
      <c r="O990" s="191"/>
      <c r="P990" s="147" t="s">
        <v>5394</v>
      </c>
      <c r="Q990" s="29" t="s">
        <v>82</v>
      </c>
      <c r="R990" s="81"/>
      <c r="S990" s="48" t="s">
        <v>872</v>
      </c>
      <c r="T990" s="50"/>
      <c r="U990" s="30"/>
      <c r="V990" s="58"/>
      <c r="W990" s="52"/>
      <c r="X990" s="193"/>
      <c r="Y990" s="193">
        <f>X990*0.1</f>
        <v>0</v>
      </c>
      <c r="Z990" s="193"/>
      <c r="AA990" s="193">
        <f>SUM(X990:Z990)</f>
        <v>0</v>
      </c>
      <c r="AB990" s="195"/>
    </row>
    <row r="991" spans="1:28" ht="18.600000000000001" thickBot="1">
      <c r="A991" s="250"/>
      <c r="B991" s="31" t="s">
        <v>521</v>
      </c>
      <c r="C991" s="31">
        <v>82307</v>
      </c>
      <c r="D991" s="32" t="s">
        <v>1849</v>
      </c>
      <c r="E991" s="200"/>
      <c r="F991" s="43" t="s">
        <v>5395</v>
      </c>
      <c r="G991" s="38">
        <v>19649</v>
      </c>
      <c r="H991" s="202"/>
      <c r="I991" s="194"/>
      <c r="J991" s="194"/>
      <c r="K991" s="194"/>
      <c r="L991" s="194"/>
      <c r="M991" s="194"/>
      <c r="N991" s="194"/>
      <c r="O991" s="192"/>
      <c r="P991" s="148" t="s">
        <v>2807</v>
      </c>
      <c r="Q991" s="33" t="s">
        <v>86</v>
      </c>
      <c r="R991" s="34" t="s">
        <v>5387</v>
      </c>
      <c r="S991" s="44" t="s">
        <v>5396</v>
      </c>
      <c r="T991" s="46"/>
      <c r="U991" s="35"/>
      <c r="V991" s="56"/>
      <c r="W991" s="46"/>
      <c r="X991" s="194"/>
      <c r="Y991" s="194"/>
      <c r="Z991" s="194"/>
      <c r="AA991" s="194"/>
      <c r="AB991" s="196"/>
    </row>
    <row r="992" spans="1:28" ht="18.600000000000001" thickTop="1">
      <c r="A992" s="249" t="s">
        <v>5497</v>
      </c>
      <c r="B992" s="26">
        <v>45911</v>
      </c>
      <c r="C992" s="36">
        <v>1532</v>
      </c>
      <c r="D992" s="28" t="s">
        <v>2482</v>
      </c>
      <c r="E992" s="199"/>
      <c r="F992" s="54" t="s">
        <v>5498</v>
      </c>
      <c r="G992" s="37" t="s">
        <v>5499</v>
      </c>
      <c r="H992" s="201">
        <v>4.5</v>
      </c>
      <c r="I992" s="193">
        <v>1510000</v>
      </c>
      <c r="J992" s="193">
        <f>I992*0.1</f>
        <v>151000</v>
      </c>
      <c r="K992" s="193">
        <f>17200+1720</f>
        <v>18920</v>
      </c>
      <c r="L992" s="193">
        <v>14260</v>
      </c>
      <c r="M992" s="193">
        <v>16500</v>
      </c>
      <c r="N992" s="193">
        <f>SUM(I992:M993)</f>
        <v>1710680</v>
      </c>
      <c r="O992" s="191"/>
      <c r="P992" s="147" t="s">
        <v>5500</v>
      </c>
      <c r="Q992" s="29" t="s">
        <v>82</v>
      </c>
      <c r="R992" s="81"/>
      <c r="S992" s="48" t="s">
        <v>940</v>
      </c>
      <c r="T992" s="50" t="s">
        <v>5501</v>
      </c>
      <c r="U992" s="30" t="s">
        <v>5502</v>
      </c>
      <c r="V992" s="58"/>
      <c r="W992" s="52"/>
      <c r="X992" s="193"/>
      <c r="Y992" s="193">
        <f>X992*0.1</f>
        <v>0</v>
      </c>
      <c r="Z992" s="193"/>
      <c r="AA992" s="193">
        <f>SUM(X992:Z992)</f>
        <v>0</v>
      </c>
      <c r="AB992" s="195"/>
    </row>
    <row r="993" spans="1:28" ht="18.600000000000001" thickBot="1">
      <c r="A993" s="250"/>
      <c r="B993" s="31" t="s">
        <v>1858</v>
      </c>
      <c r="C993" s="31">
        <v>79031</v>
      </c>
      <c r="D993" s="32" t="s">
        <v>1097</v>
      </c>
      <c r="E993" s="200"/>
      <c r="F993" s="43" t="s">
        <v>5503</v>
      </c>
      <c r="G993" s="38">
        <v>54587</v>
      </c>
      <c r="H993" s="202"/>
      <c r="I993" s="194"/>
      <c r="J993" s="194"/>
      <c r="K993" s="194"/>
      <c r="L993" s="194"/>
      <c r="M993" s="194"/>
      <c r="N993" s="194"/>
      <c r="O993" s="192"/>
      <c r="P993" s="148" t="s">
        <v>5504</v>
      </c>
      <c r="Q993" s="33" t="s">
        <v>86</v>
      </c>
      <c r="R993" s="34" t="s">
        <v>5491</v>
      </c>
      <c r="S993" s="44" t="s">
        <v>5505</v>
      </c>
      <c r="T993" s="46"/>
      <c r="U993" s="35"/>
      <c r="V993" s="56"/>
      <c r="W993" s="46"/>
      <c r="X993" s="194"/>
      <c r="Y993" s="194"/>
      <c r="Z993" s="194"/>
      <c r="AA993" s="194"/>
      <c r="AB993" s="196"/>
    </row>
    <row r="994" spans="1:28" ht="18.600000000000001" thickTop="1">
      <c r="A994" s="249" t="s">
        <v>5584</v>
      </c>
      <c r="B994" s="26">
        <v>45912</v>
      </c>
      <c r="C994" s="36">
        <v>1758</v>
      </c>
      <c r="D994" s="28" t="s">
        <v>2136</v>
      </c>
      <c r="E994" s="199"/>
      <c r="F994" s="54" t="s">
        <v>5585</v>
      </c>
      <c r="G994" s="37"/>
      <c r="H994" s="201">
        <v>5</v>
      </c>
      <c r="I994" s="193">
        <v>1231000</v>
      </c>
      <c r="J994" s="193">
        <f>I994*0.1</f>
        <v>123100</v>
      </c>
      <c r="K994" s="193">
        <v>0</v>
      </c>
      <c r="L994" s="193">
        <v>12470</v>
      </c>
      <c r="M994" s="193">
        <v>17600</v>
      </c>
      <c r="N994" s="193">
        <f>SUM(I994:M995)</f>
        <v>1384170</v>
      </c>
      <c r="O994" s="191"/>
      <c r="P994" s="147" t="s">
        <v>5586</v>
      </c>
      <c r="Q994" s="29" t="s">
        <v>82</v>
      </c>
      <c r="R994" s="81"/>
      <c r="S994" s="48" t="s">
        <v>1596</v>
      </c>
      <c r="T994" s="50"/>
      <c r="U994" s="30"/>
      <c r="V994" s="58"/>
      <c r="W994" s="52"/>
      <c r="X994" s="193"/>
      <c r="Y994" s="193">
        <f>X994*0.1</f>
        <v>0</v>
      </c>
      <c r="Z994" s="193"/>
      <c r="AA994" s="193">
        <f>SUM(X994:Z994)</f>
        <v>0</v>
      </c>
      <c r="AB994" s="195"/>
    </row>
    <row r="995" spans="1:28" ht="18.600000000000001" thickBot="1">
      <c r="A995" s="250"/>
      <c r="B995" s="31" t="s">
        <v>2867</v>
      </c>
      <c r="C995" s="31">
        <v>5002</v>
      </c>
      <c r="D995" s="32" t="s">
        <v>244</v>
      </c>
      <c r="E995" s="200"/>
      <c r="F995" s="43" t="s">
        <v>5587</v>
      </c>
      <c r="G995" s="38">
        <v>24762</v>
      </c>
      <c r="H995" s="202"/>
      <c r="I995" s="194"/>
      <c r="J995" s="194"/>
      <c r="K995" s="194"/>
      <c r="L995" s="194"/>
      <c r="M995" s="194"/>
      <c r="N995" s="194"/>
      <c r="O995" s="192"/>
      <c r="P995" s="148" t="s">
        <v>5588</v>
      </c>
      <c r="Q995" s="33" t="s">
        <v>86</v>
      </c>
      <c r="R995" s="34" t="s">
        <v>1852</v>
      </c>
      <c r="S995" s="44" t="s">
        <v>96</v>
      </c>
      <c r="T995" s="46"/>
      <c r="U995" s="35"/>
      <c r="V995" s="56"/>
      <c r="W995" s="46"/>
      <c r="X995" s="194"/>
      <c r="Y995" s="194"/>
      <c r="Z995" s="194"/>
      <c r="AA995" s="194"/>
      <c r="AB995" s="196"/>
    </row>
    <row r="996" spans="1:28" ht="18.600000000000001" thickTop="1"/>
  </sheetData>
  <mergeCells count="7313">
    <mergeCell ref="X994:X995"/>
    <mergeCell ref="Y994:Y995"/>
    <mergeCell ref="Z994:Z995"/>
    <mergeCell ref="AA994:AA995"/>
    <mergeCell ref="AB994:AB995"/>
    <mergeCell ref="K994:K995"/>
    <mergeCell ref="L994:L995"/>
    <mergeCell ref="M994:M995"/>
    <mergeCell ref="N994:N995"/>
    <mergeCell ref="O994:O995"/>
    <mergeCell ref="A994:A995"/>
    <mergeCell ref="E994:E995"/>
    <mergeCell ref="H994:H995"/>
    <mergeCell ref="I994:I995"/>
    <mergeCell ref="J994:J995"/>
    <mergeCell ref="X992:X993"/>
    <mergeCell ref="Y992:Y993"/>
    <mergeCell ref="Z992:Z993"/>
    <mergeCell ref="AA992:AA993"/>
    <mergeCell ref="AB992:AB993"/>
    <mergeCell ref="K992:K993"/>
    <mergeCell ref="L992:L993"/>
    <mergeCell ref="M992:M993"/>
    <mergeCell ref="N992:N993"/>
    <mergeCell ref="O992:O993"/>
    <mergeCell ref="A992:A993"/>
    <mergeCell ref="E992:E993"/>
    <mergeCell ref="H992:H993"/>
    <mergeCell ref="I992:I993"/>
    <mergeCell ref="J992:J993"/>
    <mergeCell ref="X990:X991"/>
    <mergeCell ref="Y990:Y991"/>
    <mergeCell ref="Z990:Z991"/>
    <mergeCell ref="AA990:AA991"/>
    <mergeCell ref="AB990:AB991"/>
    <mergeCell ref="K990:K991"/>
    <mergeCell ref="L990:L991"/>
    <mergeCell ref="M990:M991"/>
    <mergeCell ref="N990:N991"/>
    <mergeCell ref="O990:O991"/>
    <mergeCell ref="A990:A991"/>
    <mergeCell ref="E990:E991"/>
    <mergeCell ref="H990:H991"/>
    <mergeCell ref="I990:I991"/>
    <mergeCell ref="J990:J991"/>
    <mergeCell ref="X988:X989"/>
    <mergeCell ref="Y988:Y989"/>
    <mergeCell ref="Z988:Z989"/>
    <mergeCell ref="AA988:AA989"/>
    <mergeCell ref="AB988:AB989"/>
    <mergeCell ref="K988:K989"/>
    <mergeCell ref="L988:L989"/>
    <mergeCell ref="M988:M989"/>
    <mergeCell ref="N988:N989"/>
    <mergeCell ref="O988:O989"/>
    <mergeCell ref="A988:A989"/>
    <mergeCell ref="E988:E989"/>
    <mergeCell ref="H988:H989"/>
    <mergeCell ref="I988:I989"/>
    <mergeCell ref="J988:J989"/>
    <mergeCell ref="X986:X987"/>
    <mergeCell ref="Y986:Y987"/>
    <mergeCell ref="Z986:Z987"/>
    <mergeCell ref="AA986:AA987"/>
    <mergeCell ref="AB986:AB987"/>
    <mergeCell ref="K986:K987"/>
    <mergeCell ref="L986:L987"/>
    <mergeCell ref="M986:M987"/>
    <mergeCell ref="N986:N987"/>
    <mergeCell ref="O986:O987"/>
    <mergeCell ref="A986:A987"/>
    <mergeCell ref="E986:E987"/>
    <mergeCell ref="H986:H987"/>
    <mergeCell ref="I986:I987"/>
    <mergeCell ref="J986:J987"/>
    <mergeCell ref="X984:X985"/>
    <mergeCell ref="Y984:Y985"/>
    <mergeCell ref="Z984:Z985"/>
    <mergeCell ref="AA984:AA985"/>
    <mergeCell ref="AB984:AB985"/>
    <mergeCell ref="K984:K985"/>
    <mergeCell ref="L984:L985"/>
    <mergeCell ref="M984:M985"/>
    <mergeCell ref="N984:N985"/>
    <mergeCell ref="O984:O985"/>
    <mergeCell ref="A984:A985"/>
    <mergeCell ref="E984:E985"/>
    <mergeCell ref="H984:H985"/>
    <mergeCell ref="I984:I985"/>
    <mergeCell ref="J984:J985"/>
    <mergeCell ref="X982:X983"/>
    <mergeCell ref="Y982:Y983"/>
    <mergeCell ref="Z982:Z983"/>
    <mergeCell ref="AA982:AA983"/>
    <mergeCell ref="AB982:AB983"/>
    <mergeCell ref="K982:K983"/>
    <mergeCell ref="L982:L983"/>
    <mergeCell ref="M982:M983"/>
    <mergeCell ref="N982:N983"/>
    <mergeCell ref="O982:O983"/>
    <mergeCell ref="A982:A983"/>
    <mergeCell ref="E982:E983"/>
    <mergeCell ref="H982:H983"/>
    <mergeCell ref="I982:I983"/>
    <mergeCell ref="J982:J983"/>
    <mergeCell ref="X980:X981"/>
    <mergeCell ref="Y980:Y981"/>
    <mergeCell ref="Z980:Z981"/>
    <mergeCell ref="AA980:AA981"/>
    <mergeCell ref="AB980:AB981"/>
    <mergeCell ref="K980:K981"/>
    <mergeCell ref="L980:L981"/>
    <mergeCell ref="M980:M981"/>
    <mergeCell ref="N980:N981"/>
    <mergeCell ref="O980:O981"/>
    <mergeCell ref="A980:A981"/>
    <mergeCell ref="E980:E981"/>
    <mergeCell ref="H980:H981"/>
    <mergeCell ref="I980:I981"/>
    <mergeCell ref="J980:J981"/>
    <mergeCell ref="X978:X979"/>
    <mergeCell ref="Y978:Y979"/>
    <mergeCell ref="Z978:Z979"/>
    <mergeCell ref="AA978:AA979"/>
    <mergeCell ref="AB978:AB979"/>
    <mergeCell ref="K978:K979"/>
    <mergeCell ref="L978:L979"/>
    <mergeCell ref="M978:M979"/>
    <mergeCell ref="N978:N979"/>
    <mergeCell ref="O978:O979"/>
    <mergeCell ref="A978:A979"/>
    <mergeCell ref="E978:E979"/>
    <mergeCell ref="H978:H979"/>
    <mergeCell ref="I978:I979"/>
    <mergeCell ref="J978:J979"/>
    <mergeCell ref="X976:X977"/>
    <mergeCell ref="Y976:Y977"/>
    <mergeCell ref="Z976:Z977"/>
    <mergeCell ref="AA976:AA977"/>
    <mergeCell ref="AB976:AB977"/>
    <mergeCell ref="K976:K977"/>
    <mergeCell ref="L976:L977"/>
    <mergeCell ref="M976:M977"/>
    <mergeCell ref="N976:N977"/>
    <mergeCell ref="O976:O977"/>
    <mergeCell ref="A976:A977"/>
    <mergeCell ref="E976:E977"/>
    <mergeCell ref="H976:H977"/>
    <mergeCell ref="I976:I977"/>
    <mergeCell ref="J976:J977"/>
    <mergeCell ref="X974:X975"/>
    <mergeCell ref="Y974:Y975"/>
    <mergeCell ref="Z974:Z975"/>
    <mergeCell ref="AA974:AA975"/>
    <mergeCell ref="AB974:AB975"/>
    <mergeCell ref="K974:K975"/>
    <mergeCell ref="L974:L975"/>
    <mergeCell ref="M974:M975"/>
    <mergeCell ref="N974:N975"/>
    <mergeCell ref="O974:O975"/>
    <mergeCell ref="A974:A975"/>
    <mergeCell ref="E974:E975"/>
    <mergeCell ref="H974:H975"/>
    <mergeCell ref="I974:I975"/>
    <mergeCell ref="J974:J975"/>
    <mergeCell ref="X972:X973"/>
    <mergeCell ref="Y972:Y973"/>
    <mergeCell ref="Z972:Z973"/>
    <mergeCell ref="AA972:AA973"/>
    <mergeCell ref="AB972:AB973"/>
    <mergeCell ref="K972:K973"/>
    <mergeCell ref="L972:L973"/>
    <mergeCell ref="M972:M973"/>
    <mergeCell ref="N972:N973"/>
    <mergeCell ref="O972:O973"/>
    <mergeCell ref="A972:A973"/>
    <mergeCell ref="E972:E973"/>
    <mergeCell ref="H972:H973"/>
    <mergeCell ref="I972:I973"/>
    <mergeCell ref="J972:J973"/>
    <mergeCell ref="X970:X971"/>
    <mergeCell ref="Y970:Y971"/>
    <mergeCell ref="Z970:Z971"/>
    <mergeCell ref="AA970:AA971"/>
    <mergeCell ref="AB970:AB971"/>
    <mergeCell ref="K970:K971"/>
    <mergeCell ref="L970:L971"/>
    <mergeCell ref="M970:M971"/>
    <mergeCell ref="N970:N971"/>
    <mergeCell ref="O970:O971"/>
    <mergeCell ref="A970:A971"/>
    <mergeCell ref="E970:E971"/>
    <mergeCell ref="H970:H971"/>
    <mergeCell ref="I970:I971"/>
    <mergeCell ref="J970:J971"/>
    <mergeCell ref="X968:X969"/>
    <mergeCell ref="Y968:Y969"/>
    <mergeCell ref="Z968:Z969"/>
    <mergeCell ref="AA968:AA969"/>
    <mergeCell ref="AB968:AB969"/>
    <mergeCell ref="K968:K969"/>
    <mergeCell ref="L968:L969"/>
    <mergeCell ref="M968:M969"/>
    <mergeCell ref="N968:N969"/>
    <mergeCell ref="O968:O969"/>
    <mergeCell ref="A968:A969"/>
    <mergeCell ref="E968:E969"/>
    <mergeCell ref="H968:H969"/>
    <mergeCell ref="I968:I969"/>
    <mergeCell ref="J968:J969"/>
    <mergeCell ref="X966:X967"/>
    <mergeCell ref="Y966:Y967"/>
    <mergeCell ref="Z966:Z967"/>
    <mergeCell ref="AA966:AA967"/>
    <mergeCell ref="AB966:AB967"/>
    <mergeCell ref="K966:K967"/>
    <mergeCell ref="L966:L967"/>
    <mergeCell ref="M966:M967"/>
    <mergeCell ref="N966:N967"/>
    <mergeCell ref="O966:O967"/>
    <mergeCell ref="A966:A967"/>
    <mergeCell ref="E966:E967"/>
    <mergeCell ref="H966:H967"/>
    <mergeCell ref="I966:I967"/>
    <mergeCell ref="J966:J967"/>
    <mergeCell ref="X964:X965"/>
    <mergeCell ref="Y964:Y965"/>
    <mergeCell ref="Z964:Z965"/>
    <mergeCell ref="AA964:AA965"/>
    <mergeCell ref="AB964:AB965"/>
    <mergeCell ref="K964:K965"/>
    <mergeCell ref="L964:L965"/>
    <mergeCell ref="M964:M965"/>
    <mergeCell ref="N964:N965"/>
    <mergeCell ref="O964:O965"/>
    <mergeCell ref="A964:A965"/>
    <mergeCell ref="E964:E965"/>
    <mergeCell ref="H964:H965"/>
    <mergeCell ref="I964:I965"/>
    <mergeCell ref="J964:J965"/>
    <mergeCell ref="X962:X963"/>
    <mergeCell ref="Y962:Y963"/>
    <mergeCell ref="Z962:Z963"/>
    <mergeCell ref="AA962:AA963"/>
    <mergeCell ref="AB962:AB963"/>
    <mergeCell ref="K962:K963"/>
    <mergeCell ref="L962:L963"/>
    <mergeCell ref="M962:M963"/>
    <mergeCell ref="N962:N963"/>
    <mergeCell ref="O962:O963"/>
    <mergeCell ref="A962:A963"/>
    <mergeCell ref="E962:E963"/>
    <mergeCell ref="H962:H963"/>
    <mergeCell ref="I962:I963"/>
    <mergeCell ref="J962:J963"/>
    <mergeCell ref="X960:X961"/>
    <mergeCell ref="Y960:Y961"/>
    <mergeCell ref="Z960:Z961"/>
    <mergeCell ref="AA960:AA961"/>
    <mergeCell ref="AB960:AB961"/>
    <mergeCell ref="K960:K961"/>
    <mergeCell ref="L960:L961"/>
    <mergeCell ref="M960:M961"/>
    <mergeCell ref="N960:N961"/>
    <mergeCell ref="O960:O961"/>
    <mergeCell ref="A960:A961"/>
    <mergeCell ref="E960:E961"/>
    <mergeCell ref="H960:H961"/>
    <mergeCell ref="I960:I961"/>
    <mergeCell ref="J960:J961"/>
    <mergeCell ref="X958:X959"/>
    <mergeCell ref="Y958:Y959"/>
    <mergeCell ref="Z958:Z959"/>
    <mergeCell ref="AA958:AA959"/>
    <mergeCell ref="AB958:AB959"/>
    <mergeCell ref="K958:K959"/>
    <mergeCell ref="L958:L959"/>
    <mergeCell ref="M958:M959"/>
    <mergeCell ref="N958:N959"/>
    <mergeCell ref="O958:O959"/>
    <mergeCell ref="A958:A959"/>
    <mergeCell ref="E958:E959"/>
    <mergeCell ref="H958:H959"/>
    <mergeCell ref="I958:I959"/>
    <mergeCell ref="J958:J959"/>
    <mergeCell ref="X956:X957"/>
    <mergeCell ref="Y956:Y957"/>
    <mergeCell ref="Z956:Z957"/>
    <mergeCell ref="AA956:AA957"/>
    <mergeCell ref="AB956:AB957"/>
    <mergeCell ref="K956:K957"/>
    <mergeCell ref="L956:L957"/>
    <mergeCell ref="M956:M957"/>
    <mergeCell ref="N956:N957"/>
    <mergeCell ref="O956:O957"/>
    <mergeCell ref="A956:A957"/>
    <mergeCell ref="E956:E957"/>
    <mergeCell ref="H956:H957"/>
    <mergeCell ref="I956:I957"/>
    <mergeCell ref="J956:J957"/>
    <mergeCell ref="X954:X955"/>
    <mergeCell ref="Y954:Y955"/>
    <mergeCell ref="Z954:Z955"/>
    <mergeCell ref="AA954:AA955"/>
    <mergeCell ref="AB954:AB955"/>
    <mergeCell ref="K954:K955"/>
    <mergeCell ref="L954:L955"/>
    <mergeCell ref="M954:M955"/>
    <mergeCell ref="N954:N955"/>
    <mergeCell ref="O954:O955"/>
    <mergeCell ref="A954:A955"/>
    <mergeCell ref="E954:E955"/>
    <mergeCell ref="H954:H955"/>
    <mergeCell ref="I954:I955"/>
    <mergeCell ref="J954:J955"/>
    <mergeCell ref="X952:X953"/>
    <mergeCell ref="Y952:Y953"/>
    <mergeCell ref="Z952:Z953"/>
    <mergeCell ref="AA952:AA953"/>
    <mergeCell ref="AB952:AB953"/>
    <mergeCell ref="K952:K953"/>
    <mergeCell ref="L952:L953"/>
    <mergeCell ref="M952:M953"/>
    <mergeCell ref="N952:N953"/>
    <mergeCell ref="O952:O953"/>
    <mergeCell ref="A952:A953"/>
    <mergeCell ref="E952:E953"/>
    <mergeCell ref="H952:H953"/>
    <mergeCell ref="I952:I953"/>
    <mergeCell ref="J952:J953"/>
    <mergeCell ref="X950:X951"/>
    <mergeCell ref="Y950:Y951"/>
    <mergeCell ref="Z950:Z951"/>
    <mergeCell ref="AA950:AA951"/>
    <mergeCell ref="AB950:AB951"/>
    <mergeCell ref="K950:K951"/>
    <mergeCell ref="L950:L951"/>
    <mergeCell ref="M950:M951"/>
    <mergeCell ref="N950:N951"/>
    <mergeCell ref="O950:O951"/>
    <mergeCell ref="A950:A951"/>
    <mergeCell ref="E950:E951"/>
    <mergeCell ref="H950:H951"/>
    <mergeCell ref="I950:I951"/>
    <mergeCell ref="J950:J951"/>
    <mergeCell ref="X948:X949"/>
    <mergeCell ref="Y948:Y949"/>
    <mergeCell ref="Z948:Z949"/>
    <mergeCell ref="AA948:AA949"/>
    <mergeCell ref="AB948:AB949"/>
    <mergeCell ref="K948:K949"/>
    <mergeCell ref="L948:L949"/>
    <mergeCell ref="M948:M949"/>
    <mergeCell ref="N948:N949"/>
    <mergeCell ref="O948:O949"/>
    <mergeCell ref="A948:A949"/>
    <mergeCell ref="E948:E949"/>
    <mergeCell ref="H948:H949"/>
    <mergeCell ref="I948:I949"/>
    <mergeCell ref="J948:J949"/>
    <mergeCell ref="X946:X947"/>
    <mergeCell ref="Y946:Y947"/>
    <mergeCell ref="Z946:Z947"/>
    <mergeCell ref="AA946:AA947"/>
    <mergeCell ref="AB946:AB947"/>
    <mergeCell ref="K946:K947"/>
    <mergeCell ref="L946:L947"/>
    <mergeCell ref="M946:M947"/>
    <mergeCell ref="N946:N947"/>
    <mergeCell ref="O946:O947"/>
    <mergeCell ref="A946:A947"/>
    <mergeCell ref="E946:E947"/>
    <mergeCell ref="H946:H947"/>
    <mergeCell ref="I946:I947"/>
    <mergeCell ref="J946:J947"/>
    <mergeCell ref="X944:X945"/>
    <mergeCell ref="Y944:Y945"/>
    <mergeCell ref="Z944:Z945"/>
    <mergeCell ref="AA944:AA945"/>
    <mergeCell ref="AB944:AB945"/>
    <mergeCell ref="K944:K945"/>
    <mergeCell ref="L944:L945"/>
    <mergeCell ref="M944:M945"/>
    <mergeCell ref="N944:N945"/>
    <mergeCell ref="O944:O945"/>
    <mergeCell ref="A944:A945"/>
    <mergeCell ref="E944:E945"/>
    <mergeCell ref="H944:H945"/>
    <mergeCell ref="I944:I945"/>
    <mergeCell ref="J944:J945"/>
    <mergeCell ref="X942:X943"/>
    <mergeCell ref="Y942:Y943"/>
    <mergeCell ref="Z942:Z943"/>
    <mergeCell ref="AA942:AA943"/>
    <mergeCell ref="AB942:AB943"/>
    <mergeCell ref="K942:K943"/>
    <mergeCell ref="L942:L943"/>
    <mergeCell ref="M942:M943"/>
    <mergeCell ref="N942:N943"/>
    <mergeCell ref="O942:O943"/>
    <mergeCell ref="A942:A943"/>
    <mergeCell ref="E942:E943"/>
    <mergeCell ref="H942:H943"/>
    <mergeCell ref="I942:I943"/>
    <mergeCell ref="J942:J943"/>
    <mergeCell ref="X940:X941"/>
    <mergeCell ref="Y940:Y941"/>
    <mergeCell ref="Z940:Z941"/>
    <mergeCell ref="AA940:AA941"/>
    <mergeCell ref="AB940:AB941"/>
    <mergeCell ref="K940:K941"/>
    <mergeCell ref="L940:L941"/>
    <mergeCell ref="M940:M941"/>
    <mergeCell ref="N940:N941"/>
    <mergeCell ref="O940:O941"/>
    <mergeCell ref="A940:A941"/>
    <mergeCell ref="E940:E941"/>
    <mergeCell ref="H940:H941"/>
    <mergeCell ref="I940:I941"/>
    <mergeCell ref="J940:J941"/>
    <mergeCell ref="X938:X939"/>
    <mergeCell ref="Y938:Y939"/>
    <mergeCell ref="Z938:Z939"/>
    <mergeCell ref="AA938:AA939"/>
    <mergeCell ref="AB938:AB939"/>
    <mergeCell ref="K938:K939"/>
    <mergeCell ref="L938:L939"/>
    <mergeCell ref="M938:M939"/>
    <mergeCell ref="N938:N939"/>
    <mergeCell ref="O938:O939"/>
    <mergeCell ref="A938:A939"/>
    <mergeCell ref="E938:E939"/>
    <mergeCell ref="H938:H939"/>
    <mergeCell ref="I938:I939"/>
    <mergeCell ref="J938:J939"/>
    <mergeCell ref="X936:X937"/>
    <mergeCell ref="Y936:Y937"/>
    <mergeCell ref="Z936:Z937"/>
    <mergeCell ref="AA936:AA937"/>
    <mergeCell ref="AB936:AB937"/>
    <mergeCell ref="K936:K937"/>
    <mergeCell ref="L936:L937"/>
    <mergeCell ref="M936:M937"/>
    <mergeCell ref="N936:N937"/>
    <mergeCell ref="O936:O937"/>
    <mergeCell ref="A936:A937"/>
    <mergeCell ref="E936:E937"/>
    <mergeCell ref="H936:H937"/>
    <mergeCell ref="I936:I937"/>
    <mergeCell ref="J936:J937"/>
    <mergeCell ref="X934:X935"/>
    <mergeCell ref="Y934:Y935"/>
    <mergeCell ref="Z934:Z935"/>
    <mergeCell ref="AA934:AA935"/>
    <mergeCell ref="AB934:AB935"/>
    <mergeCell ref="K934:K935"/>
    <mergeCell ref="L934:L935"/>
    <mergeCell ref="M934:M935"/>
    <mergeCell ref="N934:N935"/>
    <mergeCell ref="O934:O935"/>
    <mergeCell ref="A934:A935"/>
    <mergeCell ref="E934:E935"/>
    <mergeCell ref="H934:H935"/>
    <mergeCell ref="I934:I935"/>
    <mergeCell ref="J934:J935"/>
    <mergeCell ref="X932:X933"/>
    <mergeCell ref="Y932:Y933"/>
    <mergeCell ref="Z932:Z933"/>
    <mergeCell ref="AA932:AA933"/>
    <mergeCell ref="AB932:AB933"/>
    <mergeCell ref="K932:K933"/>
    <mergeCell ref="L932:L933"/>
    <mergeCell ref="M932:M933"/>
    <mergeCell ref="N932:N933"/>
    <mergeCell ref="O932:O933"/>
    <mergeCell ref="A932:A933"/>
    <mergeCell ref="E932:E933"/>
    <mergeCell ref="H932:H933"/>
    <mergeCell ref="I932:I933"/>
    <mergeCell ref="J932:J933"/>
    <mergeCell ref="X930:X931"/>
    <mergeCell ref="Y930:Y931"/>
    <mergeCell ref="Z930:Z931"/>
    <mergeCell ref="AA930:AA931"/>
    <mergeCell ref="AB930:AB931"/>
    <mergeCell ref="K930:K931"/>
    <mergeCell ref="L930:L931"/>
    <mergeCell ref="M930:M931"/>
    <mergeCell ref="N930:N931"/>
    <mergeCell ref="O930:O931"/>
    <mergeCell ref="A930:A931"/>
    <mergeCell ref="E930:E931"/>
    <mergeCell ref="H930:H931"/>
    <mergeCell ref="I930:I931"/>
    <mergeCell ref="J930:J931"/>
    <mergeCell ref="X928:X929"/>
    <mergeCell ref="Y928:Y929"/>
    <mergeCell ref="Z928:Z929"/>
    <mergeCell ref="AA928:AA929"/>
    <mergeCell ref="AB928:AB929"/>
    <mergeCell ref="K928:K929"/>
    <mergeCell ref="L928:L929"/>
    <mergeCell ref="M928:M929"/>
    <mergeCell ref="N928:N929"/>
    <mergeCell ref="O928:O929"/>
    <mergeCell ref="A928:A929"/>
    <mergeCell ref="E928:E929"/>
    <mergeCell ref="H928:H929"/>
    <mergeCell ref="I928:I929"/>
    <mergeCell ref="J928:J929"/>
    <mergeCell ref="X926:X927"/>
    <mergeCell ref="Y926:Y927"/>
    <mergeCell ref="Z926:Z927"/>
    <mergeCell ref="AA926:AA927"/>
    <mergeCell ref="AB926:AB927"/>
    <mergeCell ref="K926:K927"/>
    <mergeCell ref="L926:L927"/>
    <mergeCell ref="M926:M927"/>
    <mergeCell ref="N926:N927"/>
    <mergeCell ref="O926:O927"/>
    <mergeCell ref="A926:A927"/>
    <mergeCell ref="E926:E927"/>
    <mergeCell ref="H926:H927"/>
    <mergeCell ref="I926:I927"/>
    <mergeCell ref="J926:J927"/>
    <mergeCell ref="X924:X925"/>
    <mergeCell ref="Y924:Y925"/>
    <mergeCell ref="Z924:Z925"/>
    <mergeCell ref="AA924:AA925"/>
    <mergeCell ref="AB924:AB925"/>
    <mergeCell ref="K924:K925"/>
    <mergeCell ref="L924:L925"/>
    <mergeCell ref="M924:M925"/>
    <mergeCell ref="N924:N925"/>
    <mergeCell ref="O924:O925"/>
    <mergeCell ref="A924:A925"/>
    <mergeCell ref="E924:E925"/>
    <mergeCell ref="H924:H925"/>
    <mergeCell ref="I924:I925"/>
    <mergeCell ref="J924:J925"/>
    <mergeCell ref="X922:X923"/>
    <mergeCell ref="Y922:Y923"/>
    <mergeCell ref="Z922:Z923"/>
    <mergeCell ref="AA922:AA923"/>
    <mergeCell ref="AB922:AB923"/>
    <mergeCell ref="K922:K923"/>
    <mergeCell ref="L922:L923"/>
    <mergeCell ref="M922:M923"/>
    <mergeCell ref="N922:N923"/>
    <mergeCell ref="O922:O923"/>
    <mergeCell ref="A922:A923"/>
    <mergeCell ref="E922:E923"/>
    <mergeCell ref="H922:H923"/>
    <mergeCell ref="I922:I923"/>
    <mergeCell ref="J922:J923"/>
    <mergeCell ref="X920:X921"/>
    <mergeCell ref="Y920:Y921"/>
    <mergeCell ref="Z920:Z921"/>
    <mergeCell ref="AA920:AA921"/>
    <mergeCell ref="AB920:AB921"/>
    <mergeCell ref="K920:K921"/>
    <mergeCell ref="L920:L921"/>
    <mergeCell ref="M920:M921"/>
    <mergeCell ref="N920:N921"/>
    <mergeCell ref="O920:O921"/>
    <mergeCell ref="A920:A921"/>
    <mergeCell ref="E920:E921"/>
    <mergeCell ref="H920:H921"/>
    <mergeCell ref="I920:I921"/>
    <mergeCell ref="J920:J921"/>
    <mergeCell ref="X918:X919"/>
    <mergeCell ref="Y918:Y919"/>
    <mergeCell ref="Z918:Z919"/>
    <mergeCell ref="AA918:AA919"/>
    <mergeCell ref="AB918:AB919"/>
    <mergeCell ref="K918:K919"/>
    <mergeCell ref="L918:L919"/>
    <mergeCell ref="M918:M919"/>
    <mergeCell ref="N918:N919"/>
    <mergeCell ref="O918:O919"/>
    <mergeCell ref="A918:A919"/>
    <mergeCell ref="E918:E919"/>
    <mergeCell ref="H918:H919"/>
    <mergeCell ref="I918:I919"/>
    <mergeCell ref="J918:J919"/>
    <mergeCell ref="X916:X917"/>
    <mergeCell ref="Y916:Y917"/>
    <mergeCell ref="Z916:Z917"/>
    <mergeCell ref="AA916:AA917"/>
    <mergeCell ref="AB916:AB917"/>
    <mergeCell ref="K916:K917"/>
    <mergeCell ref="L916:L917"/>
    <mergeCell ref="M916:M917"/>
    <mergeCell ref="N916:N917"/>
    <mergeCell ref="O916:O917"/>
    <mergeCell ref="A916:A917"/>
    <mergeCell ref="E916:E917"/>
    <mergeCell ref="H916:H917"/>
    <mergeCell ref="I916:I917"/>
    <mergeCell ref="J916:J917"/>
    <mergeCell ref="X914:X915"/>
    <mergeCell ref="Y914:Y915"/>
    <mergeCell ref="Z914:Z915"/>
    <mergeCell ref="AA914:AA915"/>
    <mergeCell ref="AB914:AB915"/>
    <mergeCell ref="K914:K915"/>
    <mergeCell ref="L914:L915"/>
    <mergeCell ref="M914:M915"/>
    <mergeCell ref="N914:N915"/>
    <mergeCell ref="O914:O915"/>
    <mergeCell ref="A914:A915"/>
    <mergeCell ref="E914:E915"/>
    <mergeCell ref="H914:H915"/>
    <mergeCell ref="I914:I915"/>
    <mergeCell ref="J914:J915"/>
    <mergeCell ref="X912:X913"/>
    <mergeCell ref="Y912:Y913"/>
    <mergeCell ref="Z912:Z913"/>
    <mergeCell ref="AA912:AA913"/>
    <mergeCell ref="AB912:AB913"/>
    <mergeCell ref="K912:K913"/>
    <mergeCell ref="L912:L913"/>
    <mergeCell ref="M912:M913"/>
    <mergeCell ref="N912:N913"/>
    <mergeCell ref="O912:O913"/>
    <mergeCell ref="A912:A913"/>
    <mergeCell ref="E912:E913"/>
    <mergeCell ref="H912:H913"/>
    <mergeCell ref="I912:I913"/>
    <mergeCell ref="J912:J913"/>
    <mergeCell ref="X910:X911"/>
    <mergeCell ref="Y910:Y911"/>
    <mergeCell ref="Z910:Z911"/>
    <mergeCell ref="AA910:AA911"/>
    <mergeCell ref="AB910:AB911"/>
    <mergeCell ref="K910:K911"/>
    <mergeCell ref="L910:L911"/>
    <mergeCell ref="M910:M911"/>
    <mergeCell ref="N910:N911"/>
    <mergeCell ref="O910:O911"/>
    <mergeCell ref="A910:A911"/>
    <mergeCell ref="E910:E911"/>
    <mergeCell ref="H910:H911"/>
    <mergeCell ref="I910:I911"/>
    <mergeCell ref="J910:J911"/>
    <mergeCell ref="X908:X909"/>
    <mergeCell ref="Y908:Y909"/>
    <mergeCell ref="Z908:Z909"/>
    <mergeCell ref="AA908:AA909"/>
    <mergeCell ref="AB908:AB909"/>
    <mergeCell ref="K908:K909"/>
    <mergeCell ref="L908:L909"/>
    <mergeCell ref="M908:M909"/>
    <mergeCell ref="N908:N909"/>
    <mergeCell ref="O908:O909"/>
    <mergeCell ref="A908:A909"/>
    <mergeCell ref="E908:E909"/>
    <mergeCell ref="H908:H909"/>
    <mergeCell ref="I908:I909"/>
    <mergeCell ref="J908:J909"/>
    <mergeCell ref="X906:X907"/>
    <mergeCell ref="Y906:Y907"/>
    <mergeCell ref="Z906:Z907"/>
    <mergeCell ref="AA906:AA907"/>
    <mergeCell ref="AB906:AB907"/>
    <mergeCell ref="K906:K907"/>
    <mergeCell ref="L906:L907"/>
    <mergeCell ref="M906:M907"/>
    <mergeCell ref="N906:N907"/>
    <mergeCell ref="O906:O907"/>
    <mergeCell ref="A906:A907"/>
    <mergeCell ref="E906:E907"/>
    <mergeCell ref="H906:H907"/>
    <mergeCell ref="I906:I907"/>
    <mergeCell ref="J906:J907"/>
    <mergeCell ref="X904:X905"/>
    <mergeCell ref="Y904:Y905"/>
    <mergeCell ref="Z904:Z905"/>
    <mergeCell ref="AA904:AA905"/>
    <mergeCell ref="AB904:AB905"/>
    <mergeCell ref="K904:K905"/>
    <mergeCell ref="L904:L905"/>
    <mergeCell ref="M904:M905"/>
    <mergeCell ref="N904:N905"/>
    <mergeCell ref="O904:O905"/>
    <mergeCell ref="A904:A905"/>
    <mergeCell ref="E904:E905"/>
    <mergeCell ref="H904:H905"/>
    <mergeCell ref="I904:I905"/>
    <mergeCell ref="J904:J905"/>
    <mergeCell ref="X902:X903"/>
    <mergeCell ref="Y902:Y903"/>
    <mergeCell ref="Z902:Z903"/>
    <mergeCell ref="AA902:AA903"/>
    <mergeCell ref="AB902:AB903"/>
    <mergeCell ref="K902:K903"/>
    <mergeCell ref="L902:L903"/>
    <mergeCell ref="M902:M903"/>
    <mergeCell ref="N902:N903"/>
    <mergeCell ref="O902:O903"/>
    <mergeCell ref="A902:A903"/>
    <mergeCell ref="E902:E903"/>
    <mergeCell ref="H902:H903"/>
    <mergeCell ref="I902:I903"/>
    <mergeCell ref="J902:J903"/>
    <mergeCell ref="X900:X901"/>
    <mergeCell ref="Y900:Y901"/>
    <mergeCell ref="Z900:Z901"/>
    <mergeCell ref="AA900:AA901"/>
    <mergeCell ref="AB900:AB901"/>
    <mergeCell ref="K900:K901"/>
    <mergeCell ref="L900:L901"/>
    <mergeCell ref="M900:M901"/>
    <mergeCell ref="N900:N901"/>
    <mergeCell ref="O900:O901"/>
    <mergeCell ref="A900:A901"/>
    <mergeCell ref="E900:E901"/>
    <mergeCell ref="H900:H901"/>
    <mergeCell ref="I900:I901"/>
    <mergeCell ref="J900:J901"/>
    <mergeCell ref="X898:X899"/>
    <mergeCell ref="Y898:Y899"/>
    <mergeCell ref="Z898:Z899"/>
    <mergeCell ref="AA898:AA899"/>
    <mergeCell ref="AB898:AB899"/>
    <mergeCell ref="K898:K899"/>
    <mergeCell ref="L898:L899"/>
    <mergeCell ref="M898:M899"/>
    <mergeCell ref="N898:N899"/>
    <mergeCell ref="O898:O899"/>
    <mergeCell ref="A898:A899"/>
    <mergeCell ref="E898:E899"/>
    <mergeCell ref="H898:H899"/>
    <mergeCell ref="I898:I899"/>
    <mergeCell ref="J898:J899"/>
    <mergeCell ref="X896:X897"/>
    <mergeCell ref="Y896:Y897"/>
    <mergeCell ref="Z896:Z897"/>
    <mergeCell ref="AA896:AA897"/>
    <mergeCell ref="AB896:AB897"/>
    <mergeCell ref="K896:K897"/>
    <mergeCell ref="L896:L897"/>
    <mergeCell ref="M896:M897"/>
    <mergeCell ref="N896:N897"/>
    <mergeCell ref="O896:O897"/>
    <mergeCell ref="A896:A897"/>
    <mergeCell ref="E896:E897"/>
    <mergeCell ref="H896:H897"/>
    <mergeCell ref="I896:I897"/>
    <mergeCell ref="J896:J897"/>
    <mergeCell ref="X894:X895"/>
    <mergeCell ref="Y894:Y895"/>
    <mergeCell ref="Z894:Z895"/>
    <mergeCell ref="AA894:AA895"/>
    <mergeCell ref="AB894:AB895"/>
    <mergeCell ref="K894:K895"/>
    <mergeCell ref="L894:L895"/>
    <mergeCell ref="M894:M895"/>
    <mergeCell ref="N894:N895"/>
    <mergeCell ref="O894:O895"/>
    <mergeCell ref="A894:A895"/>
    <mergeCell ref="E894:E895"/>
    <mergeCell ref="H894:H895"/>
    <mergeCell ref="I894:I895"/>
    <mergeCell ref="J894:J895"/>
    <mergeCell ref="X892:X893"/>
    <mergeCell ref="Y892:Y893"/>
    <mergeCell ref="Z892:Z893"/>
    <mergeCell ref="AA892:AA893"/>
    <mergeCell ref="AB892:AB893"/>
    <mergeCell ref="K892:K893"/>
    <mergeCell ref="L892:L893"/>
    <mergeCell ref="M892:M893"/>
    <mergeCell ref="N892:N893"/>
    <mergeCell ref="O892:O893"/>
    <mergeCell ref="A892:A893"/>
    <mergeCell ref="E892:E893"/>
    <mergeCell ref="H892:H893"/>
    <mergeCell ref="I892:I893"/>
    <mergeCell ref="J892:J893"/>
    <mergeCell ref="X890:X891"/>
    <mergeCell ref="Y890:Y891"/>
    <mergeCell ref="Z890:Z891"/>
    <mergeCell ref="AA890:AA891"/>
    <mergeCell ref="AB890:AB891"/>
    <mergeCell ref="K890:K891"/>
    <mergeCell ref="L890:L891"/>
    <mergeCell ref="M890:M891"/>
    <mergeCell ref="N890:N891"/>
    <mergeCell ref="O890:O891"/>
    <mergeCell ref="A890:A891"/>
    <mergeCell ref="E890:E891"/>
    <mergeCell ref="H890:H891"/>
    <mergeCell ref="I890:I891"/>
    <mergeCell ref="J890:J891"/>
    <mergeCell ref="X888:X889"/>
    <mergeCell ref="Y888:Y889"/>
    <mergeCell ref="Z888:Z889"/>
    <mergeCell ref="AA888:AA889"/>
    <mergeCell ref="AB888:AB889"/>
    <mergeCell ref="K888:K889"/>
    <mergeCell ref="L888:L889"/>
    <mergeCell ref="M888:M889"/>
    <mergeCell ref="N888:N889"/>
    <mergeCell ref="O888:O889"/>
    <mergeCell ref="A888:A889"/>
    <mergeCell ref="E888:E889"/>
    <mergeCell ref="H888:H889"/>
    <mergeCell ref="I888:I889"/>
    <mergeCell ref="J888:J889"/>
    <mergeCell ref="X886:X887"/>
    <mergeCell ref="Y886:Y887"/>
    <mergeCell ref="Z886:Z887"/>
    <mergeCell ref="AA886:AA887"/>
    <mergeCell ref="AB886:AB887"/>
    <mergeCell ref="K886:K887"/>
    <mergeCell ref="L886:L887"/>
    <mergeCell ref="M886:M887"/>
    <mergeCell ref="N886:N887"/>
    <mergeCell ref="O886:O887"/>
    <mergeCell ref="A886:A887"/>
    <mergeCell ref="E886:E887"/>
    <mergeCell ref="H886:H887"/>
    <mergeCell ref="I886:I887"/>
    <mergeCell ref="J886:J887"/>
    <mergeCell ref="X884:X885"/>
    <mergeCell ref="Y884:Y885"/>
    <mergeCell ref="Z884:Z885"/>
    <mergeCell ref="AA884:AA885"/>
    <mergeCell ref="AB884:AB885"/>
    <mergeCell ref="K884:K885"/>
    <mergeCell ref="L884:L885"/>
    <mergeCell ref="M884:M885"/>
    <mergeCell ref="N884:N885"/>
    <mergeCell ref="O884:O885"/>
    <mergeCell ref="A884:A885"/>
    <mergeCell ref="E884:E885"/>
    <mergeCell ref="H884:H885"/>
    <mergeCell ref="I884:I885"/>
    <mergeCell ref="J884:J885"/>
    <mergeCell ref="X882:X883"/>
    <mergeCell ref="Y882:Y883"/>
    <mergeCell ref="Z882:Z883"/>
    <mergeCell ref="AA882:AA883"/>
    <mergeCell ref="AB882:AB883"/>
    <mergeCell ref="K882:K883"/>
    <mergeCell ref="L882:L883"/>
    <mergeCell ref="M882:M883"/>
    <mergeCell ref="N882:N883"/>
    <mergeCell ref="O882:O883"/>
    <mergeCell ref="A882:A883"/>
    <mergeCell ref="E882:E883"/>
    <mergeCell ref="H882:H883"/>
    <mergeCell ref="I882:I883"/>
    <mergeCell ref="J882:J883"/>
    <mergeCell ref="X880:X881"/>
    <mergeCell ref="Y880:Y881"/>
    <mergeCell ref="Z880:Z881"/>
    <mergeCell ref="AA880:AA881"/>
    <mergeCell ref="AB880:AB881"/>
    <mergeCell ref="K880:K881"/>
    <mergeCell ref="L880:L881"/>
    <mergeCell ref="M880:M881"/>
    <mergeCell ref="N880:N881"/>
    <mergeCell ref="O880:O881"/>
    <mergeCell ref="A880:A881"/>
    <mergeCell ref="E880:E881"/>
    <mergeCell ref="H880:H881"/>
    <mergeCell ref="I880:I881"/>
    <mergeCell ref="J880:J881"/>
    <mergeCell ref="X878:X879"/>
    <mergeCell ref="Y878:Y879"/>
    <mergeCell ref="Z878:Z879"/>
    <mergeCell ref="AA878:AA879"/>
    <mergeCell ref="AB878:AB879"/>
    <mergeCell ref="K878:K879"/>
    <mergeCell ref="L878:L879"/>
    <mergeCell ref="M878:M879"/>
    <mergeCell ref="N878:N879"/>
    <mergeCell ref="O878:O879"/>
    <mergeCell ref="A878:A879"/>
    <mergeCell ref="E878:E879"/>
    <mergeCell ref="H878:H879"/>
    <mergeCell ref="I878:I879"/>
    <mergeCell ref="J878:J879"/>
    <mergeCell ref="X876:X877"/>
    <mergeCell ref="Y876:Y877"/>
    <mergeCell ref="Z876:Z877"/>
    <mergeCell ref="AA876:AA877"/>
    <mergeCell ref="AB876:AB877"/>
    <mergeCell ref="K876:K877"/>
    <mergeCell ref="L876:L877"/>
    <mergeCell ref="M876:M877"/>
    <mergeCell ref="N876:N877"/>
    <mergeCell ref="O876:O877"/>
    <mergeCell ref="A876:A877"/>
    <mergeCell ref="E876:E877"/>
    <mergeCell ref="H876:H877"/>
    <mergeCell ref="I876:I877"/>
    <mergeCell ref="J876:J877"/>
    <mergeCell ref="X874:X875"/>
    <mergeCell ref="Y874:Y875"/>
    <mergeCell ref="Z874:Z875"/>
    <mergeCell ref="AA874:AA875"/>
    <mergeCell ref="AB874:AB875"/>
    <mergeCell ref="K874:K875"/>
    <mergeCell ref="L874:L875"/>
    <mergeCell ref="M874:M875"/>
    <mergeCell ref="N874:N875"/>
    <mergeCell ref="O874:O875"/>
    <mergeCell ref="A874:A875"/>
    <mergeCell ref="E874:E875"/>
    <mergeCell ref="H874:H875"/>
    <mergeCell ref="I874:I875"/>
    <mergeCell ref="J874:J875"/>
    <mergeCell ref="X872:X873"/>
    <mergeCell ref="Y872:Y873"/>
    <mergeCell ref="Z872:Z873"/>
    <mergeCell ref="AA872:AA873"/>
    <mergeCell ref="AB872:AB873"/>
    <mergeCell ref="K872:K873"/>
    <mergeCell ref="L872:L873"/>
    <mergeCell ref="M872:M873"/>
    <mergeCell ref="N872:N873"/>
    <mergeCell ref="O872:O873"/>
    <mergeCell ref="A872:A873"/>
    <mergeCell ref="E872:E873"/>
    <mergeCell ref="H872:H873"/>
    <mergeCell ref="I872:I873"/>
    <mergeCell ref="J872:J873"/>
    <mergeCell ref="X870:X871"/>
    <mergeCell ref="Y870:Y871"/>
    <mergeCell ref="Z870:Z871"/>
    <mergeCell ref="AA870:AA871"/>
    <mergeCell ref="AB870:AB871"/>
    <mergeCell ref="K870:K871"/>
    <mergeCell ref="L870:L871"/>
    <mergeCell ref="M870:M871"/>
    <mergeCell ref="N870:N871"/>
    <mergeCell ref="O870:O871"/>
    <mergeCell ref="A870:A871"/>
    <mergeCell ref="E870:E871"/>
    <mergeCell ref="H870:H871"/>
    <mergeCell ref="I870:I871"/>
    <mergeCell ref="J870:J871"/>
    <mergeCell ref="X868:X869"/>
    <mergeCell ref="Y868:Y869"/>
    <mergeCell ref="Z868:Z869"/>
    <mergeCell ref="AA868:AA869"/>
    <mergeCell ref="AB868:AB869"/>
    <mergeCell ref="K868:K869"/>
    <mergeCell ref="L868:L869"/>
    <mergeCell ref="M868:M869"/>
    <mergeCell ref="N868:N869"/>
    <mergeCell ref="O868:O869"/>
    <mergeCell ref="A868:A869"/>
    <mergeCell ref="E868:E869"/>
    <mergeCell ref="H868:H869"/>
    <mergeCell ref="I868:I869"/>
    <mergeCell ref="J868:J869"/>
    <mergeCell ref="X866:X867"/>
    <mergeCell ref="Y866:Y867"/>
    <mergeCell ref="Z866:Z867"/>
    <mergeCell ref="AA866:AA867"/>
    <mergeCell ref="AB866:AB867"/>
    <mergeCell ref="K866:K867"/>
    <mergeCell ref="L866:L867"/>
    <mergeCell ref="M866:M867"/>
    <mergeCell ref="N866:N867"/>
    <mergeCell ref="O866:O867"/>
    <mergeCell ref="A866:A867"/>
    <mergeCell ref="E866:E867"/>
    <mergeCell ref="H866:H867"/>
    <mergeCell ref="I866:I867"/>
    <mergeCell ref="J866:J867"/>
    <mergeCell ref="X864:X865"/>
    <mergeCell ref="Y864:Y865"/>
    <mergeCell ref="Z864:Z865"/>
    <mergeCell ref="AA864:AA865"/>
    <mergeCell ref="AB864:AB865"/>
    <mergeCell ref="K864:K865"/>
    <mergeCell ref="L864:L865"/>
    <mergeCell ref="M864:M865"/>
    <mergeCell ref="N864:N865"/>
    <mergeCell ref="O864:O865"/>
    <mergeCell ref="A864:A865"/>
    <mergeCell ref="E864:E865"/>
    <mergeCell ref="H864:H865"/>
    <mergeCell ref="I864:I865"/>
    <mergeCell ref="J864:J865"/>
    <mergeCell ref="X862:X863"/>
    <mergeCell ref="Y862:Y863"/>
    <mergeCell ref="Z862:Z863"/>
    <mergeCell ref="AA862:AA863"/>
    <mergeCell ref="AB862:AB863"/>
    <mergeCell ref="K862:K863"/>
    <mergeCell ref="L862:L863"/>
    <mergeCell ref="M862:M863"/>
    <mergeCell ref="N862:N863"/>
    <mergeCell ref="O862:O863"/>
    <mergeCell ref="A862:A863"/>
    <mergeCell ref="E862:E863"/>
    <mergeCell ref="H862:H863"/>
    <mergeCell ref="I862:I863"/>
    <mergeCell ref="J862:J863"/>
    <mergeCell ref="X860:X861"/>
    <mergeCell ref="Y860:Y861"/>
    <mergeCell ref="Z860:Z861"/>
    <mergeCell ref="AA860:AA861"/>
    <mergeCell ref="AB860:AB861"/>
    <mergeCell ref="K860:K861"/>
    <mergeCell ref="L860:L861"/>
    <mergeCell ref="M860:M861"/>
    <mergeCell ref="N860:N861"/>
    <mergeCell ref="O860:O861"/>
    <mergeCell ref="A860:A861"/>
    <mergeCell ref="E860:E861"/>
    <mergeCell ref="H860:H861"/>
    <mergeCell ref="I860:I861"/>
    <mergeCell ref="J860:J861"/>
    <mergeCell ref="X858:X859"/>
    <mergeCell ref="Y858:Y859"/>
    <mergeCell ref="Z858:Z859"/>
    <mergeCell ref="AA858:AA859"/>
    <mergeCell ref="AB858:AB859"/>
    <mergeCell ref="K858:K859"/>
    <mergeCell ref="L858:L859"/>
    <mergeCell ref="M858:M859"/>
    <mergeCell ref="N858:N859"/>
    <mergeCell ref="O858:O859"/>
    <mergeCell ref="A858:A859"/>
    <mergeCell ref="E858:E859"/>
    <mergeCell ref="H858:H859"/>
    <mergeCell ref="I858:I859"/>
    <mergeCell ref="J858:J859"/>
    <mergeCell ref="X856:X857"/>
    <mergeCell ref="Y856:Y857"/>
    <mergeCell ref="Z856:Z857"/>
    <mergeCell ref="AA856:AA857"/>
    <mergeCell ref="AB856:AB857"/>
    <mergeCell ref="K856:K857"/>
    <mergeCell ref="L856:L857"/>
    <mergeCell ref="M856:M857"/>
    <mergeCell ref="N856:N857"/>
    <mergeCell ref="O856:O857"/>
    <mergeCell ref="A856:A857"/>
    <mergeCell ref="E856:E857"/>
    <mergeCell ref="H856:H857"/>
    <mergeCell ref="I856:I857"/>
    <mergeCell ref="J856:J857"/>
    <mergeCell ref="X854:X855"/>
    <mergeCell ref="Y854:Y855"/>
    <mergeCell ref="Z854:Z855"/>
    <mergeCell ref="AA854:AA855"/>
    <mergeCell ref="AB854:AB855"/>
    <mergeCell ref="K854:K855"/>
    <mergeCell ref="L854:L855"/>
    <mergeCell ref="M854:M855"/>
    <mergeCell ref="N854:N855"/>
    <mergeCell ref="O854:O855"/>
    <mergeCell ref="A854:A855"/>
    <mergeCell ref="E854:E855"/>
    <mergeCell ref="H854:H855"/>
    <mergeCell ref="I854:I855"/>
    <mergeCell ref="J854:J855"/>
    <mergeCell ref="X852:X853"/>
    <mergeCell ref="Y852:Y853"/>
    <mergeCell ref="Z852:Z853"/>
    <mergeCell ref="AA852:AA853"/>
    <mergeCell ref="AB852:AB853"/>
    <mergeCell ref="K852:K853"/>
    <mergeCell ref="L852:L853"/>
    <mergeCell ref="M852:M853"/>
    <mergeCell ref="N852:N853"/>
    <mergeCell ref="O852:O853"/>
    <mergeCell ref="A852:A853"/>
    <mergeCell ref="E852:E853"/>
    <mergeCell ref="H852:H853"/>
    <mergeCell ref="I852:I853"/>
    <mergeCell ref="J852:J853"/>
    <mergeCell ref="X850:X851"/>
    <mergeCell ref="Y850:Y851"/>
    <mergeCell ref="Z850:Z851"/>
    <mergeCell ref="AA850:AA851"/>
    <mergeCell ref="AB850:AB851"/>
    <mergeCell ref="K850:K851"/>
    <mergeCell ref="L850:L851"/>
    <mergeCell ref="M850:M851"/>
    <mergeCell ref="N850:N851"/>
    <mergeCell ref="O850:O851"/>
    <mergeCell ref="A850:A851"/>
    <mergeCell ref="E850:E851"/>
    <mergeCell ref="H850:H851"/>
    <mergeCell ref="I850:I851"/>
    <mergeCell ref="J850:J851"/>
    <mergeCell ref="X848:X849"/>
    <mergeCell ref="Y848:Y849"/>
    <mergeCell ref="Z848:Z849"/>
    <mergeCell ref="AA848:AA849"/>
    <mergeCell ref="AB848:AB849"/>
    <mergeCell ref="K848:K849"/>
    <mergeCell ref="L848:L849"/>
    <mergeCell ref="M848:M849"/>
    <mergeCell ref="N848:N849"/>
    <mergeCell ref="O848:O849"/>
    <mergeCell ref="A848:A849"/>
    <mergeCell ref="E848:E849"/>
    <mergeCell ref="H848:H849"/>
    <mergeCell ref="I848:I849"/>
    <mergeCell ref="J848:J849"/>
    <mergeCell ref="X846:X847"/>
    <mergeCell ref="Y846:Y847"/>
    <mergeCell ref="Z846:Z847"/>
    <mergeCell ref="AA846:AA847"/>
    <mergeCell ref="AB846:AB847"/>
    <mergeCell ref="K846:K847"/>
    <mergeCell ref="L846:L847"/>
    <mergeCell ref="M846:M847"/>
    <mergeCell ref="N846:N847"/>
    <mergeCell ref="O846:O847"/>
    <mergeCell ref="A846:A847"/>
    <mergeCell ref="E846:E847"/>
    <mergeCell ref="H846:H847"/>
    <mergeCell ref="I846:I847"/>
    <mergeCell ref="J846:J847"/>
    <mergeCell ref="X844:X845"/>
    <mergeCell ref="Y844:Y845"/>
    <mergeCell ref="Z844:Z845"/>
    <mergeCell ref="AA844:AA845"/>
    <mergeCell ref="AB844:AB845"/>
    <mergeCell ref="K844:K845"/>
    <mergeCell ref="L844:L845"/>
    <mergeCell ref="M844:M845"/>
    <mergeCell ref="N844:N845"/>
    <mergeCell ref="O844:O845"/>
    <mergeCell ref="A844:A845"/>
    <mergeCell ref="E844:E845"/>
    <mergeCell ref="H844:H845"/>
    <mergeCell ref="I844:I845"/>
    <mergeCell ref="J844:J845"/>
    <mergeCell ref="X842:X843"/>
    <mergeCell ref="Y842:Y843"/>
    <mergeCell ref="Z842:Z843"/>
    <mergeCell ref="AA842:AA843"/>
    <mergeCell ref="AB842:AB843"/>
    <mergeCell ref="K842:K843"/>
    <mergeCell ref="L842:L843"/>
    <mergeCell ref="M842:M843"/>
    <mergeCell ref="N842:N843"/>
    <mergeCell ref="O842:O843"/>
    <mergeCell ref="A842:A843"/>
    <mergeCell ref="E842:E843"/>
    <mergeCell ref="H842:H843"/>
    <mergeCell ref="I842:I843"/>
    <mergeCell ref="J842:J843"/>
    <mergeCell ref="X840:X841"/>
    <mergeCell ref="Y840:Y841"/>
    <mergeCell ref="Z840:Z841"/>
    <mergeCell ref="AA840:AA841"/>
    <mergeCell ref="AB840:AB841"/>
    <mergeCell ref="K840:K841"/>
    <mergeCell ref="L840:L841"/>
    <mergeCell ref="M840:M841"/>
    <mergeCell ref="N840:N841"/>
    <mergeCell ref="O840:O841"/>
    <mergeCell ref="A840:A841"/>
    <mergeCell ref="E840:E841"/>
    <mergeCell ref="H840:H841"/>
    <mergeCell ref="I840:I841"/>
    <mergeCell ref="J840:J841"/>
    <mergeCell ref="X838:X839"/>
    <mergeCell ref="Y838:Y839"/>
    <mergeCell ref="Z838:Z839"/>
    <mergeCell ref="AA838:AA839"/>
    <mergeCell ref="AB838:AB839"/>
    <mergeCell ref="K838:K839"/>
    <mergeCell ref="L838:L839"/>
    <mergeCell ref="M838:M839"/>
    <mergeCell ref="N838:N839"/>
    <mergeCell ref="O838:O839"/>
    <mergeCell ref="A838:A839"/>
    <mergeCell ref="E838:E839"/>
    <mergeCell ref="H838:H839"/>
    <mergeCell ref="I838:I839"/>
    <mergeCell ref="J838:J839"/>
    <mergeCell ref="X836:X837"/>
    <mergeCell ref="Y836:Y837"/>
    <mergeCell ref="Z836:Z837"/>
    <mergeCell ref="AA836:AA837"/>
    <mergeCell ref="AB836:AB837"/>
    <mergeCell ref="K836:K837"/>
    <mergeCell ref="L836:L837"/>
    <mergeCell ref="M836:M837"/>
    <mergeCell ref="N836:N837"/>
    <mergeCell ref="O836:O837"/>
    <mergeCell ref="A836:A837"/>
    <mergeCell ref="E836:E837"/>
    <mergeCell ref="H836:H837"/>
    <mergeCell ref="I836:I837"/>
    <mergeCell ref="J836:J837"/>
    <mergeCell ref="X834:X835"/>
    <mergeCell ref="Y834:Y835"/>
    <mergeCell ref="Z834:Z835"/>
    <mergeCell ref="AA834:AA835"/>
    <mergeCell ref="AB834:AB835"/>
    <mergeCell ref="K834:K835"/>
    <mergeCell ref="L834:L835"/>
    <mergeCell ref="M834:M835"/>
    <mergeCell ref="N834:N835"/>
    <mergeCell ref="O834:O835"/>
    <mergeCell ref="A834:A835"/>
    <mergeCell ref="E834:E835"/>
    <mergeCell ref="H834:H835"/>
    <mergeCell ref="I834:I835"/>
    <mergeCell ref="J834:J835"/>
    <mergeCell ref="X832:X833"/>
    <mergeCell ref="Y832:Y833"/>
    <mergeCell ref="Z832:Z833"/>
    <mergeCell ref="AA832:AA833"/>
    <mergeCell ref="AB832:AB833"/>
    <mergeCell ref="K832:K833"/>
    <mergeCell ref="L832:L833"/>
    <mergeCell ref="M832:M833"/>
    <mergeCell ref="N832:N833"/>
    <mergeCell ref="O832:O833"/>
    <mergeCell ref="A832:A833"/>
    <mergeCell ref="E832:E833"/>
    <mergeCell ref="H832:H833"/>
    <mergeCell ref="I832:I833"/>
    <mergeCell ref="J832:J833"/>
    <mergeCell ref="X830:X831"/>
    <mergeCell ref="Y830:Y831"/>
    <mergeCell ref="Z830:Z831"/>
    <mergeCell ref="AA830:AA831"/>
    <mergeCell ref="AB830:AB831"/>
    <mergeCell ref="K830:K831"/>
    <mergeCell ref="L830:L831"/>
    <mergeCell ref="M830:M831"/>
    <mergeCell ref="N830:N831"/>
    <mergeCell ref="O830:O831"/>
    <mergeCell ref="A830:A831"/>
    <mergeCell ref="E830:E831"/>
    <mergeCell ref="H830:H831"/>
    <mergeCell ref="I830:I831"/>
    <mergeCell ref="J830:J831"/>
    <mergeCell ref="X828:X829"/>
    <mergeCell ref="Y828:Y829"/>
    <mergeCell ref="Z828:Z829"/>
    <mergeCell ref="AA828:AA829"/>
    <mergeCell ref="AB828:AB829"/>
    <mergeCell ref="K828:K829"/>
    <mergeCell ref="L828:L829"/>
    <mergeCell ref="M828:M829"/>
    <mergeCell ref="N828:N829"/>
    <mergeCell ref="O828:O829"/>
    <mergeCell ref="A828:A829"/>
    <mergeCell ref="E828:E829"/>
    <mergeCell ref="H828:H829"/>
    <mergeCell ref="I828:I829"/>
    <mergeCell ref="J828:J829"/>
    <mergeCell ref="X826:X827"/>
    <mergeCell ref="Y826:Y827"/>
    <mergeCell ref="Z826:Z827"/>
    <mergeCell ref="AA826:AA827"/>
    <mergeCell ref="AB826:AB827"/>
    <mergeCell ref="K826:K827"/>
    <mergeCell ref="L826:L827"/>
    <mergeCell ref="M826:M827"/>
    <mergeCell ref="N826:N827"/>
    <mergeCell ref="O826:O827"/>
    <mergeCell ref="A826:A827"/>
    <mergeCell ref="E826:E827"/>
    <mergeCell ref="H826:H827"/>
    <mergeCell ref="I826:I827"/>
    <mergeCell ref="J826:J827"/>
    <mergeCell ref="X824:X825"/>
    <mergeCell ref="Y824:Y825"/>
    <mergeCell ref="Z824:Z825"/>
    <mergeCell ref="AA824:AA825"/>
    <mergeCell ref="AB824:AB825"/>
    <mergeCell ref="K824:K825"/>
    <mergeCell ref="L824:L825"/>
    <mergeCell ref="M824:M825"/>
    <mergeCell ref="N824:N825"/>
    <mergeCell ref="O824:O825"/>
    <mergeCell ref="A824:A825"/>
    <mergeCell ref="E824:E825"/>
    <mergeCell ref="H824:H825"/>
    <mergeCell ref="I824:I825"/>
    <mergeCell ref="J824:J825"/>
    <mergeCell ref="X822:X823"/>
    <mergeCell ref="Y822:Y823"/>
    <mergeCell ref="Z822:Z823"/>
    <mergeCell ref="AA822:AA823"/>
    <mergeCell ref="AB822:AB823"/>
    <mergeCell ref="K822:K823"/>
    <mergeCell ref="L822:L823"/>
    <mergeCell ref="M822:M823"/>
    <mergeCell ref="N822:N823"/>
    <mergeCell ref="O822:O823"/>
    <mergeCell ref="A822:A823"/>
    <mergeCell ref="E822:E823"/>
    <mergeCell ref="H822:H823"/>
    <mergeCell ref="I822:I823"/>
    <mergeCell ref="J822:J823"/>
    <mergeCell ref="X820:X821"/>
    <mergeCell ref="Y820:Y821"/>
    <mergeCell ref="Z820:Z821"/>
    <mergeCell ref="AA820:AA821"/>
    <mergeCell ref="AB820:AB821"/>
    <mergeCell ref="K820:K821"/>
    <mergeCell ref="L820:L821"/>
    <mergeCell ref="M820:M821"/>
    <mergeCell ref="N820:N821"/>
    <mergeCell ref="O820:O821"/>
    <mergeCell ref="A820:A821"/>
    <mergeCell ref="E820:E821"/>
    <mergeCell ref="H820:H821"/>
    <mergeCell ref="I820:I821"/>
    <mergeCell ref="J820:J821"/>
    <mergeCell ref="X818:X819"/>
    <mergeCell ref="Y818:Y819"/>
    <mergeCell ref="Z818:Z819"/>
    <mergeCell ref="AA818:AA819"/>
    <mergeCell ref="AB818:AB819"/>
    <mergeCell ref="K818:K819"/>
    <mergeCell ref="L818:L819"/>
    <mergeCell ref="M818:M819"/>
    <mergeCell ref="N818:N819"/>
    <mergeCell ref="O818:O819"/>
    <mergeCell ref="A818:A819"/>
    <mergeCell ref="E818:E819"/>
    <mergeCell ref="H818:H819"/>
    <mergeCell ref="I818:I819"/>
    <mergeCell ref="J818:J819"/>
    <mergeCell ref="X816:X817"/>
    <mergeCell ref="Y816:Y817"/>
    <mergeCell ref="Z816:Z817"/>
    <mergeCell ref="AA816:AA817"/>
    <mergeCell ref="AB816:AB817"/>
    <mergeCell ref="K816:K817"/>
    <mergeCell ref="L816:L817"/>
    <mergeCell ref="M816:M817"/>
    <mergeCell ref="N816:N817"/>
    <mergeCell ref="O816:O817"/>
    <mergeCell ref="A816:A817"/>
    <mergeCell ref="E816:E817"/>
    <mergeCell ref="H816:H817"/>
    <mergeCell ref="I816:I817"/>
    <mergeCell ref="J816:J817"/>
    <mergeCell ref="X814:X815"/>
    <mergeCell ref="Y814:Y815"/>
    <mergeCell ref="Z814:Z815"/>
    <mergeCell ref="AA814:AA815"/>
    <mergeCell ref="AB814:AB815"/>
    <mergeCell ref="K814:K815"/>
    <mergeCell ref="L814:L815"/>
    <mergeCell ref="M814:M815"/>
    <mergeCell ref="N814:N815"/>
    <mergeCell ref="O814:O815"/>
    <mergeCell ref="A814:A815"/>
    <mergeCell ref="E814:E815"/>
    <mergeCell ref="H814:H815"/>
    <mergeCell ref="I814:I815"/>
    <mergeCell ref="J814:J815"/>
    <mergeCell ref="X812:X813"/>
    <mergeCell ref="Y812:Y813"/>
    <mergeCell ref="Z812:Z813"/>
    <mergeCell ref="AA812:AA813"/>
    <mergeCell ref="AB812:AB813"/>
    <mergeCell ref="K812:K813"/>
    <mergeCell ref="L812:L813"/>
    <mergeCell ref="M812:M813"/>
    <mergeCell ref="N812:N813"/>
    <mergeCell ref="O812:O813"/>
    <mergeCell ref="A812:A813"/>
    <mergeCell ref="E812:E813"/>
    <mergeCell ref="H812:H813"/>
    <mergeCell ref="I812:I813"/>
    <mergeCell ref="J812:J813"/>
    <mergeCell ref="X810:X811"/>
    <mergeCell ref="Y810:Y811"/>
    <mergeCell ref="Z810:Z811"/>
    <mergeCell ref="AA810:AA811"/>
    <mergeCell ref="AB810:AB811"/>
    <mergeCell ref="K810:K811"/>
    <mergeCell ref="L810:L811"/>
    <mergeCell ref="M810:M811"/>
    <mergeCell ref="N810:N811"/>
    <mergeCell ref="O810:O811"/>
    <mergeCell ref="A810:A811"/>
    <mergeCell ref="E810:E811"/>
    <mergeCell ref="H810:H811"/>
    <mergeCell ref="I810:I811"/>
    <mergeCell ref="J810:J811"/>
    <mergeCell ref="X808:X809"/>
    <mergeCell ref="Y808:Y809"/>
    <mergeCell ref="Z808:Z809"/>
    <mergeCell ref="AA808:AA809"/>
    <mergeCell ref="AB808:AB809"/>
    <mergeCell ref="K808:K809"/>
    <mergeCell ref="L808:L809"/>
    <mergeCell ref="M808:M809"/>
    <mergeCell ref="N808:N809"/>
    <mergeCell ref="O808:O809"/>
    <mergeCell ref="A808:A809"/>
    <mergeCell ref="E808:E809"/>
    <mergeCell ref="H808:H809"/>
    <mergeCell ref="I808:I809"/>
    <mergeCell ref="J808:J809"/>
    <mergeCell ref="X806:X807"/>
    <mergeCell ref="Y806:Y807"/>
    <mergeCell ref="Z806:Z807"/>
    <mergeCell ref="AA806:AA807"/>
    <mergeCell ref="AB806:AB807"/>
    <mergeCell ref="K806:K807"/>
    <mergeCell ref="L806:L807"/>
    <mergeCell ref="M806:M807"/>
    <mergeCell ref="N806:N807"/>
    <mergeCell ref="O806:O807"/>
    <mergeCell ref="A806:A807"/>
    <mergeCell ref="E806:E807"/>
    <mergeCell ref="H806:H807"/>
    <mergeCell ref="I806:I807"/>
    <mergeCell ref="J806:J807"/>
    <mergeCell ref="X804:X805"/>
    <mergeCell ref="Y804:Y805"/>
    <mergeCell ref="Z804:Z805"/>
    <mergeCell ref="AA804:AA805"/>
    <mergeCell ref="AB804:AB805"/>
    <mergeCell ref="K804:K805"/>
    <mergeCell ref="L804:L805"/>
    <mergeCell ref="M804:M805"/>
    <mergeCell ref="N804:N805"/>
    <mergeCell ref="O804:O805"/>
    <mergeCell ref="A804:A805"/>
    <mergeCell ref="E804:E805"/>
    <mergeCell ref="H804:H805"/>
    <mergeCell ref="I804:I805"/>
    <mergeCell ref="J804:J805"/>
    <mergeCell ref="X802:X803"/>
    <mergeCell ref="Y802:Y803"/>
    <mergeCell ref="Z802:Z803"/>
    <mergeCell ref="AA802:AA803"/>
    <mergeCell ref="AB802:AB803"/>
    <mergeCell ref="K802:K803"/>
    <mergeCell ref="L802:L803"/>
    <mergeCell ref="M802:M803"/>
    <mergeCell ref="N802:N803"/>
    <mergeCell ref="O802:O803"/>
    <mergeCell ref="A802:A803"/>
    <mergeCell ref="E802:E803"/>
    <mergeCell ref="H802:H803"/>
    <mergeCell ref="I802:I803"/>
    <mergeCell ref="J802:J803"/>
    <mergeCell ref="X800:X801"/>
    <mergeCell ref="Y800:Y801"/>
    <mergeCell ref="Z800:Z801"/>
    <mergeCell ref="AA800:AA801"/>
    <mergeCell ref="AB800:AB801"/>
    <mergeCell ref="K800:K801"/>
    <mergeCell ref="L800:L801"/>
    <mergeCell ref="M800:M801"/>
    <mergeCell ref="N800:N801"/>
    <mergeCell ref="O800:O801"/>
    <mergeCell ref="A800:A801"/>
    <mergeCell ref="E800:E801"/>
    <mergeCell ref="H800:H801"/>
    <mergeCell ref="I800:I801"/>
    <mergeCell ref="J800:J801"/>
    <mergeCell ref="X798:X799"/>
    <mergeCell ref="Y798:Y799"/>
    <mergeCell ref="Z798:Z799"/>
    <mergeCell ref="AA798:AA799"/>
    <mergeCell ref="AB798:AB799"/>
    <mergeCell ref="K798:K799"/>
    <mergeCell ref="L798:L799"/>
    <mergeCell ref="M798:M799"/>
    <mergeCell ref="N798:N799"/>
    <mergeCell ref="O798:O799"/>
    <mergeCell ref="A798:A799"/>
    <mergeCell ref="E798:E799"/>
    <mergeCell ref="H798:H799"/>
    <mergeCell ref="I798:I799"/>
    <mergeCell ref="J798:J799"/>
    <mergeCell ref="X796:X797"/>
    <mergeCell ref="Y796:Y797"/>
    <mergeCell ref="Z796:Z797"/>
    <mergeCell ref="AA796:AA797"/>
    <mergeCell ref="AB796:AB797"/>
    <mergeCell ref="K796:K797"/>
    <mergeCell ref="L796:L797"/>
    <mergeCell ref="M796:M797"/>
    <mergeCell ref="N796:N797"/>
    <mergeCell ref="O796:O797"/>
    <mergeCell ref="A796:A797"/>
    <mergeCell ref="E796:E797"/>
    <mergeCell ref="H796:H797"/>
    <mergeCell ref="I796:I797"/>
    <mergeCell ref="J796:J797"/>
    <mergeCell ref="X794:X795"/>
    <mergeCell ref="Y794:Y795"/>
    <mergeCell ref="Z794:Z795"/>
    <mergeCell ref="AA794:AA795"/>
    <mergeCell ref="AB794:AB795"/>
    <mergeCell ref="K794:K795"/>
    <mergeCell ref="L794:L795"/>
    <mergeCell ref="M794:M795"/>
    <mergeCell ref="N794:N795"/>
    <mergeCell ref="O794:O795"/>
    <mergeCell ref="A794:A795"/>
    <mergeCell ref="E794:E795"/>
    <mergeCell ref="H794:H795"/>
    <mergeCell ref="I794:I795"/>
    <mergeCell ref="J794:J795"/>
    <mergeCell ref="X792:X793"/>
    <mergeCell ref="Y792:Y793"/>
    <mergeCell ref="Z792:Z793"/>
    <mergeCell ref="AA792:AA793"/>
    <mergeCell ref="AB792:AB793"/>
    <mergeCell ref="K792:K793"/>
    <mergeCell ref="L792:L793"/>
    <mergeCell ref="M792:M793"/>
    <mergeCell ref="N792:N793"/>
    <mergeCell ref="O792:O793"/>
    <mergeCell ref="A792:A793"/>
    <mergeCell ref="E792:E793"/>
    <mergeCell ref="H792:H793"/>
    <mergeCell ref="I792:I793"/>
    <mergeCell ref="J792:J793"/>
    <mergeCell ref="X790:X791"/>
    <mergeCell ref="Y790:Y791"/>
    <mergeCell ref="Z790:Z791"/>
    <mergeCell ref="AA790:AA791"/>
    <mergeCell ref="AB790:AB791"/>
    <mergeCell ref="K790:K791"/>
    <mergeCell ref="L790:L791"/>
    <mergeCell ref="M790:M791"/>
    <mergeCell ref="N790:N791"/>
    <mergeCell ref="O790:O791"/>
    <mergeCell ref="A790:A791"/>
    <mergeCell ref="E790:E791"/>
    <mergeCell ref="H790:H791"/>
    <mergeCell ref="I790:I791"/>
    <mergeCell ref="J790:J791"/>
    <mergeCell ref="X788:X789"/>
    <mergeCell ref="Y788:Y789"/>
    <mergeCell ref="Z788:Z789"/>
    <mergeCell ref="AA788:AA789"/>
    <mergeCell ref="AB788:AB789"/>
    <mergeCell ref="K788:K789"/>
    <mergeCell ref="L788:L789"/>
    <mergeCell ref="M788:M789"/>
    <mergeCell ref="N788:N789"/>
    <mergeCell ref="O788:O789"/>
    <mergeCell ref="A788:A789"/>
    <mergeCell ref="E788:E789"/>
    <mergeCell ref="H788:H789"/>
    <mergeCell ref="I788:I789"/>
    <mergeCell ref="J788:J789"/>
    <mergeCell ref="X786:X787"/>
    <mergeCell ref="Y786:Y787"/>
    <mergeCell ref="Z786:Z787"/>
    <mergeCell ref="AA786:AA787"/>
    <mergeCell ref="AB786:AB787"/>
    <mergeCell ref="K786:K787"/>
    <mergeCell ref="L786:L787"/>
    <mergeCell ref="M786:M787"/>
    <mergeCell ref="N786:N787"/>
    <mergeCell ref="O786:O787"/>
    <mergeCell ref="A786:A787"/>
    <mergeCell ref="E786:E787"/>
    <mergeCell ref="H786:H787"/>
    <mergeCell ref="I786:I787"/>
    <mergeCell ref="J786:J787"/>
    <mergeCell ref="X784:X785"/>
    <mergeCell ref="Y784:Y785"/>
    <mergeCell ref="Z784:Z785"/>
    <mergeCell ref="AA784:AA785"/>
    <mergeCell ref="AB784:AB785"/>
    <mergeCell ref="K784:K785"/>
    <mergeCell ref="L784:L785"/>
    <mergeCell ref="M784:M785"/>
    <mergeCell ref="N784:N785"/>
    <mergeCell ref="O784:O785"/>
    <mergeCell ref="A784:A785"/>
    <mergeCell ref="E784:E785"/>
    <mergeCell ref="H784:H785"/>
    <mergeCell ref="I784:I785"/>
    <mergeCell ref="J784:J785"/>
    <mergeCell ref="X782:X783"/>
    <mergeCell ref="Y782:Y783"/>
    <mergeCell ref="Z782:Z783"/>
    <mergeCell ref="AA782:AA783"/>
    <mergeCell ref="AB782:AB783"/>
    <mergeCell ref="K782:K783"/>
    <mergeCell ref="L782:L783"/>
    <mergeCell ref="M782:M783"/>
    <mergeCell ref="N782:N783"/>
    <mergeCell ref="O782:O783"/>
    <mergeCell ref="A782:A783"/>
    <mergeCell ref="E782:E783"/>
    <mergeCell ref="H782:H783"/>
    <mergeCell ref="I782:I783"/>
    <mergeCell ref="J782:J783"/>
    <mergeCell ref="X780:X781"/>
    <mergeCell ref="Y780:Y781"/>
    <mergeCell ref="Z780:Z781"/>
    <mergeCell ref="AA780:AA781"/>
    <mergeCell ref="AB780:AB781"/>
    <mergeCell ref="K780:K781"/>
    <mergeCell ref="L780:L781"/>
    <mergeCell ref="M780:M781"/>
    <mergeCell ref="N780:N781"/>
    <mergeCell ref="O780:O781"/>
    <mergeCell ref="A780:A781"/>
    <mergeCell ref="E780:E781"/>
    <mergeCell ref="H780:H781"/>
    <mergeCell ref="I780:I781"/>
    <mergeCell ref="J780:J781"/>
    <mergeCell ref="X778:X779"/>
    <mergeCell ref="Y778:Y779"/>
    <mergeCell ref="Z778:Z779"/>
    <mergeCell ref="AA778:AA779"/>
    <mergeCell ref="AB778:AB779"/>
    <mergeCell ref="K778:K779"/>
    <mergeCell ref="L778:L779"/>
    <mergeCell ref="M778:M779"/>
    <mergeCell ref="N778:N779"/>
    <mergeCell ref="O778:O779"/>
    <mergeCell ref="A778:A779"/>
    <mergeCell ref="E778:E779"/>
    <mergeCell ref="H778:H779"/>
    <mergeCell ref="I778:I779"/>
    <mergeCell ref="J778:J779"/>
    <mergeCell ref="X776:X777"/>
    <mergeCell ref="Y776:Y777"/>
    <mergeCell ref="Z776:Z777"/>
    <mergeCell ref="AA776:AA777"/>
    <mergeCell ref="AB776:AB777"/>
    <mergeCell ref="K776:K777"/>
    <mergeCell ref="L776:L777"/>
    <mergeCell ref="M776:M777"/>
    <mergeCell ref="N776:N777"/>
    <mergeCell ref="O776:O777"/>
    <mergeCell ref="A776:A777"/>
    <mergeCell ref="E776:E777"/>
    <mergeCell ref="H776:H777"/>
    <mergeCell ref="I776:I777"/>
    <mergeCell ref="J776:J777"/>
    <mergeCell ref="X774:X775"/>
    <mergeCell ref="Y774:Y775"/>
    <mergeCell ref="Z774:Z775"/>
    <mergeCell ref="AA774:AA775"/>
    <mergeCell ref="AB774:AB775"/>
    <mergeCell ref="K774:K775"/>
    <mergeCell ref="L774:L775"/>
    <mergeCell ref="M774:M775"/>
    <mergeCell ref="N774:N775"/>
    <mergeCell ref="O774:O775"/>
    <mergeCell ref="A774:A775"/>
    <mergeCell ref="E774:E775"/>
    <mergeCell ref="H774:H775"/>
    <mergeCell ref="I774:I775"/>
    <mergeCell ref="J774:J775"/>
    <mergeCell ref="X772:X773"/>
    <mergeCell ref="Y772:Y773"/>
    <mergeCell ref="Z772:Z773"/>
    <mergeCell ref="AA772:AA773"/>
    <mergeCell ref="AB772:AB773"/>
    <mergeCell ref="K772:K773"/>
    <mergeCell ref="L772:L773"/>
    <mergeCell ref="M772:M773"/>
    <mergeCell ref="N772:N773"/>
    <mergeCell ref="O772:O773"/>
    <mergeCell ref="A772:A773"/>
    <mergeCell ref="E772:E773"/>
    <mergeCell ref="H772:H773"/>
    <mergeCell ref="I772:I773"/>
    <mergeCell ref="J772:J773"/>
    <mergeCell ref="X770:X771"/>
    <mergeCell ref="Y770:Y771"/>
    <mergeCell ref="Z770:Z771"/>
    <mergeCell ref="AA770:AA771"/>
    <mergeCell ref="AB770:AB771"/>
    <mergeCell ref="K770:K771"/>
    <mergeCell ref="L770:L771"/>
    <mergeCell ref="M770:M771"/>
    <mergeCell ref="N770:N771"/>
    <mergeCell ref="O770:O771"/>
    <mergeCell ref="A770:A771"/>
    <mergeCell ref="E770:E771"/>
    <mergeCell ref="H770:H771"/>
    <mergeCell ref="I770:I771"/>
    <mergeCell ref="J770:J771"/>
    <mergeCell ref="X768:X769"/>
    <mergeCell ref="Y768:Y769"/>
    <mergeCell ref="Z768:Z769"/>
    <mergeCell ref="AA768:AA769"/>
    <mergeCell ref="AB768:AB769"/>
    <mergeCell ref="K768:K769"/>
    <mergeCell ref="L768:L769"/>
    <mergeCell ref="M768:M769"/>
    <mergeCell ref="N768:N769"/>
    <mergeCell ref="O768:O769"/>
    <mergeCell ref="A768:A769"/>
    <mergeCell ref="E768:E769"/>
    <mergeCell ref="H768:H769"/>
    <mergeCell ref="I768:I769"/>
    <mergeCell ref="J768:J769"/>
    <mergeCell ref="X766:X767"/>
    <mergeCell ref="Y766:Y767"/>
    <mergeCell ref="Z766:Z767"/>
    <mergeCell ref="AA766:AA767"/>
    <mergeCell ref="AB766:AB767"/>
    <mergeCell ref="K766:K767"/>
    <mergeCell ref="L766:L767"/>
    <mergeCell ref="M766:M767"/>
    <mergeCell ref="N766:N767"/>
    <mergeCell ref="O766:O767"/>
    <mergeCell ref="A766:A767"/>
    <mergeCell ref="E766:E767"/>
    <mergeCell ref="H766:H767"/>
    <mergeCell ref="I766:I767"/>
    <mergeCell ref="J766:J767"/>
    <mergeCell ref="X764:X765"/>
    <mergeCell ref="Y764:Y765"/>
    <mergeCell ref="Z764:Z765"/>
    <mergeCell ref="AA764:AA765"/>
    <mergeCell ref="AB764:AB765"/>
    <mergeCell ref="K764:K765"/>
    <mergeCell ref="L764:L765"/>
    <mergeCell ref="M764:M765"/>
    <mergeCell ref="N764:N765"/>
    <mergeCell ref="O764:O765"/>
    <mergeCell ref="A764:A765"/>
    <mergeCell ref="E764:E765"/>
    <mergeCell ref="H764:H765"/>
    <mergeCell ref="I764:I765"/>
    <mergeCell ref="J764:J765"/>
    <mergeCell ref="X762:X763"/>
    <mergeCell ref="Y762:Y763"/>
    <mergeCell ref="Z762:Z763"/>
    <mergeCell ref="AA762:AA763"/>
    <mergeCell ref="AB762:AB763"/>
    <mergeCell ref="K762:K763"/>
    <mergeCell ref="L762:L763"/>
    <mergeCell ref="M762:M763"/>
    <mergeCell ref="N762:N763"/>
    <mergeCell ref="O762:O763"/>
    <mergeCell ref="A762:A763"/>
    <mergeCell ref="E762:E763"/>
    <mergeCell ref="H762:H763"/>
    <mergeCell ref="I762:I763"/>
    <mergeCell ref="J762:J763"/>
    <mergeCell ref="X760:X761"/>
    <mergeCell ref="Y760:Y761"/>
    <mergeCell ref="Z760:Z761"/>
    <mergeCell ref="AA760:AA761"/>
    <mergeCell ref="AB760:AB761"/>
    <mergeCell ref="K760:K761"/>
    <mergeCell ref="L760:L761"/>
    <mergeCell ref="M760:M761"/>
    <mergeCell ref="N760:N761"/>
    <mergeCell ref="O760:O761"/>
    <mergeCell ref="A760:A761"/>
    <mergeCell ref="E760:E761"/>
    <mergeCell ref="H760:H761"/>
    <mergeCell ref="I760:I761"/>
    <mergeCell ref="J760:J761"/>
    <mergeCell ref="X758:X759"/>
    <mergeCell ref="Y758:Y759"/>
    <mergeCell ref="Z758:Z759"/>
    <mergeCell ref="AA758:AA759"/>
    <mergeCell ref="AB758:AB759"/>
    <mergeCell ref="K758:K759"/>
    <mergeCell ref="L758:L759"/>
    <mergeCell ref="M758:M759"/>
    <mergeCell ref="N758:N759"/>
    <mergeCell ref="O758:O759"/>
    <mergeCell ref="A758:A759"/>
    <mergeCell ref="E758:E759"/>
    <mergeCell ref="H758:H759"/>
    <mergeCell ref="I758:I759"/>
    <mergeCell ref="J758:J759"/>
    <mergeCell ref="X756:X757"/>
    <mergeCell ref="Y756:Y757"/>
    <mergeCell ref="Z756:Z757"/>
    <mergeCell ref="AA756:AA757"/>
    <mergeCell ref="AB756:AB757"/>
    <mergeCell ref="K756:K757"/>
    <mergeCell ref="L756:L757"/>
    <mergeCell ref="M756:M757"/>
    <mergeCell ref="N756:N757"/>
    <mergeCell ref="O756:O757"/>
    <mergeCell ref="A756:A757"/>
    <mergeCell ref="E756:E757"/>
    <mergeCell ref="H756:H757"/>
    <mergeCell ref="I756:I757"/>
    <mergeCell ref="J756:J757"/>
    <mergeCell ref="X754:X755"/>
    <mergeCell ref="Y754:Y755"/>
    <mergeCell ref="Z754:Z755"/>
    <mergeCell ref="AA754:AA755"/>
    <mergeCell ref="AB754:AB755"/>
    <mergeCell ref="K754:K755"/>
    <mergeCell ref="L754:L755"/>
    <mergeCell ref="M754:M755"/>
    <mergeCell ref="N754:N755"/>
    <mergeCell ref="O754:O755"/>
    <mergeCell ref="A754:A755"/>
    <mergeCell ref="E754:E755"/>
    <mergeCell ref="H754:H755"/>
    <mergeCell ref="I754:I755"/>
    <mergeCell ref="J754:J755"/>
    <mergeCell ref="X752:X753"/>
    <mergeCell ref="Y752:Y753"/>
    <mergeCell ref="Z752:Z753"/>
    <mergeCell ref="AA752:AA753"/>
    <mergeCell ref="AB752:AB753"/>
    <mergeCell ref="K752:K753"/>
    <mergeCell ref="L752:L753"/>
    <mergeCell ref="M752:M753"/>
    <mergeCell ref="N752:N753"/>
    <mergeCell ref="O752:O753"/>
    <mergeCell ref="A752:A753"/>
    <mergeCell ref="E752:E753"/>
    <mergeCell ref="H752:H753"/>
    <mergeCell ref="I752:I753"/>
    <mergeCell ref="J752:J753"/>
    <mergeCell ref="X750:X751"/>
    <mergeCell ref="Y750:Y751"/>
    <mergeCell ref="Z750:Z751"/>
    <mergeCell ref="AA750:AA751"/>
    <mergeCell ref="AB750:AB751"/>
    <mergeCell ref="K750:K751"/>
    <mergeCell ref="L750:L751"/>
    <mergeCell ref="M750:M751"/>
    <mergeCell ref="N750:N751"/>
    <mergeCell ref="O750:O751"/>
    <mergeCell ref="A750:A751"/>
    <mergeCell ref="E750:E751"/>
    <mergeCell ref="H750:H751"/>
    <mergeCell ref="I750:I751"/>
    <mergeCell ref="J750:J751"/>
    <mergeCell ref="X748:X749"/>
    <mergeCell ref="Y748:Y749"/>
    <mergeCell ref="Z748:Z749"/>
    <mergeCell ref="AA748:AA749"/>
    <mergeCell ref="AB748:AB749"/>
    <mergeCell ref="K748:K749"/>
    <mergeCell ref="L748:L749"/>
    <mergeCell ref="M748:M749"/>
    <mergeCell ref="N748:N749"/>
    <mergeCell ref="O748:O749"/>
    <mergeCell ref="A748:A749"/>
    <mergeCell ref="E748:E749"/>
    <mergeCell ref="H748:H749"/>
    <mergeCell ref="I748:I749"/>
    <mergeCell ref="J748:J749"/>
    <mergeCell ref="X746:X747"/>
    <mergeCell ref="Y746:Y747"/>
    <mergeCell ref="Z746:Z747"/>
    <mergeCell ref="AA746:AA747"/>
    <mergeCell ref="AB746:AB747"/>
    <mergeCell ref="K746:K747"/>
    <mergeCell ref="L746:L747"/>
    <mergeCell ref="M746:M747"/>
    <mergeCell ref="N746:N747"/>
    <mergeCell ref="O746:O747"/>
    <mergeCell ref="A746:A747"/>
    <mergeCell ref="E746:E747"/>
    <mergeCell ref="H746:H747"/>
    <mergeCell ref="I746:I747"/>
    <mergeCell ref="J746:J747"/>
    <mergeCell ref="X744:X745"/>
    <mergeCell ref="Y744:Y745"/>
    <mergeCell ref="Z744:Z745"/>
    <mergeCell ref="AA744:AA745"/>
    <mergeCell ref="AB744:AB745"/>
    <mergeCell ref="K744:K745"/>
    <mergeCell ref="L744:L745"/>
    <mergeCell ref="M744:M745"/>
    <mergeCell ref="N744:N745"/>
    <mergeCell ref="O744:O745"/>
    <mergeCell ref="A744:A745"/>
    <mergeCell ref="E744:E745"/>
    <mergeCell ref="H744:H745"/>
    <mergeCell ref="I744:I745"/>
    <mergeCell ref="J744:J745"/>
    <mergeCell ref="X742:X743"/>
    <mergeCell ref="Y742:Y743"/>
    <mergeCell ref="Z742:Z743"/>
    <mergeCell ref="AA742:AA743"/>
    <mergeCell ref="AB742:AB743"/>
    <mergeCell ref="K742:K743"/>
    <mergeCell ref="L742:L743"/>
    <mergeCell ref="M742:M743"/>
    <mergeCell ref="N742:N743"/>
    <mergeCell ref="O742:O743"/>
    <mergeCell ref="A742:A743"/>
    <mergeCell ref="E742:E743"/>
    <mergeCell ref="H742:H743"/>
    <mergeCell ref="I742:I743"/>
    <mergeCell ref="J742:J743"/>
    <mergeCell ref="X740:X741"/>
    <mergeCell ref="Y740:Y741"/>
    <mergeCell ref="Z740:Z741"/>
    <mergeCell ref="AA740:AA741"/>
    <mergeCell ref="AB740:AB741"/>
    <mergeCell ref="K740:K741"/>
    <mergeCell ref="L740:L741"/>
    <mergeCell ref="M740:M741"/>
    <mergeCell ref="N740:N741"/>
    <mergeCell ref="O740:O741"/>
    <mergeCell ref="A740:A741"/>
    <mergeCell ref="E740:E741"/>
    <mergeCell ref="H740:H741"/>
    <mergeCell ref="I740:I741"/>
    <mergeCell ref="J740:J741"/>
    <mergeCell ref="X738:X739"/>
    <mergeCell ref="Y738:Y739"/>
    <mergeCell ref="Z738:Z739"/>
    <mergeCell ref="AA738:AA739"/>
    <mergeCell ref="AB738:AB739"/>
    <mergeCell ref="K738:K739"/>
    <mergeCell ref="L738:L739"/>
    <mergeCell ref="M738:M739"/>
    <mergeCell ref="N738:N739"/>
    <mergeCell ref="O738:O739"/>
    <mergeCell ref="A738:A739"/>
    <mergeCell ref="E738:E739"/>
    <mergeCell ref="H738:H739"/>
    <mergeCell ref="I738:I739"/>
    <mergeCell ref="J738:J739"/>
    <mergeCell ref="X736:X737"/>
    <mergeCell ref="Y736:Y737"/>
    <mergeCell ref="Z736:Z737"/>
    <mergeCell ref="AA736:AA737"/>
    <mergeCell ref="AB736:AB737"/>
    <mergeCell ref="K736:K737"/>
    <mergeCell ref="L736:L737"/>
    <mergeCell ref="M736:M737"/>
    <mergeCell ref="N736:N737"/>
    <mergeCell ref="O736:O737"/>
    <mergeCell ref="A736:A737"/>
    <mergeCell ref="E736:E737"/>
    <mergeCell ref="H736:H737"/>
    <mergeCell ref="I736:I737"/>
    <mergeCell ref="J736:J737"/>
    <mergeCell ref="X734:X735"/>
    <mergeCell ref="Y734:Y735"/>
    <mergeCell ref="Z734:Z735"/>
    <mergeCell ref="AA734:AA735"/>
    <mergeCell ref="AB734:AB735"/>
    <mergeCell ref="K734:K735"/>
    <mergeCell ref="L734:L735"/>
    <mergeCell ref="M734:M735"/>
    <mergeCell ref="N734:N735"/>
    <mergeCell ref="O734:O735"/>
    <mergeCell ref="A734:A735"/>
    <mergeCell ref="E734:E735"/>
    <mergeCell ref="H734:H735"/>
    <mergeCell ref="I734:I735"/>
    <mergeCell ref="J734:J735"/>
    <mergeCell ref="X732:X733"/>
    <mergeCell ref="Y732:Y733"/>
    <mergeCell ref="Z732:Z733"/>
    <mergeCell ref="AA732:AA733"/>
    <mergeCell ref="AB732:AB733"/>
    <mergeCell ref="K732:K733"/>
    <mergeCell ref="L732:L733"/>
    <mergeCell ref="M732:M733"/>
    <mergeCell ref="N732:N733"/>
    <mergeCell ref="O732:O733"/>
    <mergeCell ref="A732:A733"/>
    <mergeCell ref="E732:E733"/>
    <mergeCell ref="H732:H733"/>
    <mergeCell ref="I732:I733"/>
    <mergeCell ref="J732:J733"/>
    <mergeCell ref="X730:X731"/>
    <mergeCell ref="Y730:Y731"/>
    <mergeCell ref="Z730:Z731"/>
    <mergeCell ref="AA730:AA731"/>
    <mergeCell ref="AB730:AB731"/>
    <mergeCell ref="K730:K731"/>
    <mergeCell ref="L730:L731"/>
    <mergeCell ref="M730:M731"/>
    <mergeCell ref="N730:N731"/>
    <mergeCell ref="O730:O731"/>
    <mergeCell ref="A730:A731"/>
    <mergeCell ref="E730:E731"/>
    <mergeCell ref="H730:H731"/>
    <mergeCell ref="I730:I731"/>
    <mergeCell ref="J730:J731"/>
    <mergeCell ref="X728:X729"/>
    <mergeCell ref="Y728:Y729"/>
    <mergeCell ref="Z728:Z729"/>
    <mergeCell ref="AA728:AA729"/>
    <mergeCell ref="AB728:AB729"/>
    <mergeCell ref="K728:K729"/>
    <mergeCell ref="L728:L729"/>
    <mergeCell ref="M728:M729"/>
    <mergeCell ref="N728:N729"/>
    <mergeCell ref="O728:O729"/>
    <mergeCell ref="A728:A729"/>
    <mergeCell ref="E728:E729"/>
    <mergeCell ref="H728:H729"/>
    <mergeCell ref="I728:I729"/>
    <mergeCell ref="J728:J729"/>
    <mergeCell ref="X726:X727"/>
    <mergeCell ref="Y726:Y727"/>
    <mergeCell ref="Z726:Z727"/>
    <mergeCell ref="AA726:AA727"/>
    <mergeCell ref="AB726:AB727"/>
    <mergeCell ref="K726:K727"/>
    <mergeCell ref="L726:L727"/>
    <mergeCell ref="M726:M727"/>
    <mergeCell ref="N726:N727"/>
    <mergeCell ref="O726:O727"/>
    <mergeCell ref="A726:A727"/>
    <mergeCell ref="E726:E727"/>
    <mergeCell ref="H726:H727"/>
    <mergeCell ref="I726:I727"/>
    <mergeCell ref="J726:J727"/>
    <mergeCell ref="X724:X725"/>
    <mergeCell ref="Y724:Y725"/>
    <mergeCell ref="Z724:Z725"/>
    <mergeCell ref="AA724:AA725"/>
    <mergeCell ref="AB724:AB725"/>
    <mergeCell ref="K724:K725"/>
    <mergeCell ref="L724:L725"/>
    <mergeCell ref="M724:M725"/>
    <mergeCell ref="N724:N725"/>
    <mergeCell ref="O724:O725"/>
    <mergeCell ref="A724:A725"/>
    <mergeCell ref="E724:E725"/>
    <mergeCell ref="H724:H725"/>
    <mergeCell ref="I724:I725"/>
    <mergeCell ref="J724:J725"/>
    <mergeCell ref="X722:X723"/>
    <mergeCell ref="Y722:Y723"/>
    <mergeCell ref="Z722:Z723"/>
    <mergeCell ref="AA722:AA723"/>
    <mergeCell ref="AB722:AB723"/>
    <mergeCell ref="K722:K723"/>
    <mergeCell ref="L722:L723"/>
    <mergeCell ref="M722:M723"/>
    <mergeCell ref="N722:N723"/>
    <mergeCell ref="O722:O723"/>
    <mergeCell ref="A722:A723"/>
    <mergeCell ref="E722:E723"/>
    <mergeCell ref="H722:H723"/>
    <mergeCell ref="I722:I723"/>
    <mergeCell ref="J722:J723"/>
    <mergeCell ref="X720:X721"/>
    <mergeCell ref="Y720:Y721"/>
    <mergeCell ref="Z720:Z721"/>
    <mergeCell ref="AA720:AA721"/>
    <mergeCell ref="AB720:AB721"/>
    <mergeCell ref="K720:K721"/>
    <mergeCell ref="L720:L721"/>
    <mergeCell ref="M720:M721"/>
    <mergeCell ref="N720:N721"/>
    <mergeCell ref="O720:O721"/>
    <mergeCell ref="A720:A721"/>
    <mergeCell ref="E720:E721"/>
    <mergeCell ref="H720:H721"/>
    <mergeCell ref="I720:I721"/>
    <mergeCell ref="J720:J721"/>
    <mergeCell ref="X718:X719"/>
    <mergeCell ref="Y718:Y719"/>
    <mergeCell ref="Z718:Z719"/>
    <mergeCell ref="AA718:AA719"/>
    <mergeCell ref="AB718:AB719"/>
    <mergeCell ref="K718:K719"/>
    <mergeCell ref="L718:L719"/>
    <mergeCell ref="M718:M719"/>
    <mergeCell ref="N718:N719"/>
    <mergeCell ref="O718:O719"/>
    <mergeCell ref="A718:A719"/>
    <mergeCell ref="E718:E719"/>
    <mergeCell ref="H718:H719"/>
    <mergeCell ref="I718:I719"/>
    <mergeCell ref="J718:J719"/>
    <mergeCell ref="X716:X717"/>
    <mergeCell ref="Y716:Y717"/>
    <mergeCell ref="Z716:Z717"/>
    <mergeCell ref="AA716:AA717"/>
    <mergeCell ref="AB716:AB717"/>
    <mergeCell ref="K716:K717"/>
    <mergeCell ref="L716:L717"/>
    <mergeCell ref="M716:M717"/>
    <mergeCell ref="N716:N717"/>
    <mergeCell ref="O716:O717"/>
    <mergeCell ref="A716:A717"/>
    <mergeCell ref="E716:E717"/>
    <mergeCell ref="H716:H717"/>
    <mergeCell ref="I716:I717"/>
    <mergeCell ref="J716:J717"/>
    <mergeCell ref="X714:X715"/>
    <mergeCell ref="Y714:Y715"/>
    <mergeCell ref="Z714:Z715"/>
    <mergeCell ref="AA714:AA715"/>
    <mergeCell ref="AB714:AB715"/>
    <mergeCell ref="K714:K715"/>
    <mergeCell ref="L714:L715"/>
    <mergeCell ref="M714:M715"/>
    <mergeCell ref="N714:N715"/>
    <mergeCell ref="O714:O715"/>
    <mergeCell ref="A714:A715"/>
    <mergeCell ref="E714:E715"/>
    <mergeCell ref="H714:H715"/>
    <mergeCell ref="I714:I715"/>
    <mergeCell ref="J714:J715"/>
    <mergeCell ref="X712:X713"/>
    <mergeCell ref="Y712:Y713"/>
    <mergeCell ref="Z712:Z713"/>
    <mergeCell ref="AA712:AA713"/>
    <mergeCell ref="AB712:AB713"/>
    <mergeCell ref="K712:K713"/>
    <mergeCell ref="L712:L713"/>
    <mergeCell ref="M712:M713"/>
    <mergeCell ref="N712:N713"/>
    <mergeCell ref="O712:O713"/>
    <mergeCell ref="A712:A713"/>
    <mergeCell ref="E712:E713"/>
    <mergeCell ref="H712:H713"/>
    <mergeCell ref="I712:I713"/>
    <mergeCell ref="J712:J713"/>
    <mergeCell ref="X710:X711"/>
    <mergeCell ref="Y710:Y711"/>
    <mergeCell ref="Z710:Z711"/>
    <mergeCell ref="AA710:AA711"/>
    <mergeCell ref="AB710:AB711"/>
    <mergeCell ref="K710:K711"/>
    <mergeCell ref="L710:L711"/>
    <mergeCell ref="M710:M711"/>
    <mergeCell ref="N710:N711"/>
    <mergeCell ref="O710:O711"/>
    <mergeCell ref="A710:A711"/>
    <mergeCell ref="E710:E711"/>
    <mergeCell ref="H710:H711"/>
    <mergeCell ref="I710:I711"/>
    <mergeCell ref="J710:J711"/>
    <mergeCell ref="X708:X709"/>
    <mergeCell ref="Y708:Y709"/>
    <mergeCell ref="Z708:Z709"/>
    <mergeCell ref="AA708:AA709"/>
    <mergeCell ref="AB708:AB709"/>
    <mergeCell ref="K708:K709"/>
    <mergeCell ref="L708:L709"/>
    <mergeCell ref="M708:M709"/>
    <mergeCell ref="N708:N709"/>
    <mergeCell ref="O708:O709"/>
    <mergeCell ref="A708:A709"/>
    <mergeCell ref="E708:E709"/>
    <mergeCell ref="H708:H709"/>
    <mergeCell ref="I708:I709"/>
    <mergeCell ref="J708:J709"/>
    <mergeCell ref="X706:X707"/>
    <mergeCell ref="Y706:Y707"/>
    <mergeCell ref="Z706:Z707"/>
    <mergeCell ref="AA706:AA707"/>
    <mergeCell ref="AB706:AB707"/>
    <mergeCell ref="K706:K707"/>
    <mergeCell ref="L706:L707"/>
    <mergeCell ref="M706:M707"/>
    <mergeCell ref="N706:N707"/>
    <mergeCell ref="O706:O707"/>
    <mergeCell ref="A706:A707"/>
    <mergeCell ref="E706:E707"/>
    <mergeCell ref="H706:H707"/>
    <mergeCell ref="I706:I707"/>
    <mergeCell ref="J706:J707"/>
    <mergeCell ref="X704:X705"/>
    <mergeCell ref="Y704:Y705"/>
    <mergeCell ref="Z704:Z705"/>
    <mergeCell ref="AA704:AA705"/>
    <mergeCell ref="AB704:AB705"/>
    <mergeCell ref="K704:K705"/>
    <mergeCell ref="L704:L705"/>
    <mergeCell ref="M704:M705"/>
    <mergeCell ref="N704:N705"/>
    <mergeCell ref="O704:O705"/>
    <mergeCell ref="A704:A705"/>
    <mergeCell ref="E704:E705"/>
    <mergeCell ref="H704:H705"/>
    <mergeCell ref="I704:I705"/>
    <mergeCell ref="J704:J705"/>
    <mergeCell ref="X702:X703"/>
    <mergeCell ref="Y702:Y703"/>
    <mergeCell ref="Z702:Z703"/>
    <mergeCell ref="AA702:AA703"/>
    <mergeCell ref="AB702:AB703"/>
    <mergeCell ref="K702:K703"/>
    <mergeCell ref="L702:L703"/>
    <mergeCell ref="M702:M703"/>
    <mergeCell ref="N702:N703"/>
    <mergeCell ref="O702:O703"/>
    <mergeCell ref="A702:A703"/>
    <mergeCell ref="E702:E703"/>
    <mergeCell ref="H702:H703"/>
    <mergeCell ref="I702:I703"/>
    <mergeCell ref="J702:J703"/>
    <mergeCell ref="X700:X701"/>
    <mergeCell ref="Y700:Y701"/>
    <mergeCell ref="Z700:Z701"/>
    <mergeCell ref="AA700:AA701"/>
    <mergeCell ref="AB700:AB701"/>
    <mergeCell ref="K700:K701"/>
    <mergeCell ref="L700:L701"/>
    <mergeCell ref="M700:M701"/>
    <mergeCell ref="N700:N701"/>
    <mergeCell ref="O700:O701"/>
    <mergeCell ref="A700:A701"/>
    <mergeCell ref="E700:E701"/>
    <mergeCell ref="H700:H701"/>
    <mergeCell ref="I700:I701"/>
    <mergeCell ref="J700:J701"/>
    <mergeCell ref="X698:X699"/>
    <mergeCell ref="Y698:Y699"/>
    <mergeCell ref="Z698:Z699"/>
    <mergeCell ref="AA698:AA699"/>
    <mergeCell ref="AB698:AB699"/>
    <mergeCell ref="K698:K699"/>
    <mergeCell ref="L698:L699"/>
    <mergeCell ref="M698:M699"/>
    <mergeCell ref="N698:N699"/>
    <mergeCell ref="O698:O699"/>
    <mergeCell ref="A698:A699"/>
    <mergeCell ref="E698:E699"/>
    <mergeCell ref="H698:H699"/>
    <mergeCell ref="I698:I699"/>
    <mergeCell ref="J698:J699"/>
    <mergeCell ref="X696:X697"/>
    <mergeCell ref="Y696:Y697"/>
    <mergeCell ref="Z696:Z697"/>
    <mergeCell ref="AA696:AA697"/>
    <mergeCell ref="AB696:AB697"/>
    <mergeCell ref="K696:K697"/>
    <mergeCell ref="L696:L697"/>
    <mergeCell ref="M696:M697"/>
    <mergeCell ref="N696:N697"/>
    <mergeCell ref="O696:O697"/>
    <mergeCell ref="A696:A697"/>
    <mergeCell ref="E696:E697"/>
    <mergeCell ref="H696:H697"/>
    <mergeCell ref="I696:I697"/>
    <mergeCell ref="J696:J697"/>
    <mergeCell ref="X694:X695"/>
    <mergeCell ref="Y694:Y695"/>
    <mergeCell ref="Z694:Z695"/>
    <mergeCell ref="AA694:AA695"/>
    <mergeCell ref="AB694:AB695"/>
    <mergeCell ref="K694:K695"/>
    <mergeCell ref="L694:L695"/>
    <mergeCell ref="M694:M695"/>
    <mergeCell ref="N694:N695"/>
    <mergeCell ref="O694:O695"/>
    <mergeCell ref="A694:A695"/>
    <mergeCell ref="E694:E695"/>
    <mergeCell ref="H694:H695"/>
    <mergeCell ref="I694:I695"/>
    <mergeCell ref="J694:J695"/>
    <mergeCell ref="X692:X693"/>
    <mergeCell ref="Y692:Y693"/>
    <mergeCell ref="Z692:Z693"/>
    <mergeCell ref="AA692:AA693"/>
    <mergeCell ref="AB692:AB693"/>
    <mergeCell ref="K692:K693"/>
    <mergeCell ref="L692:L693"/>
    <mergeCell ref="M692:M693"/>
    <mergeCell ref="N692:N693"/>
    <mergeCell ref="O692:O693"/>
    <mergeCell ref="A692:A693"/>
    <mergeCell ref="E692:E693"/>
    <mergeCell ref="H692:H693"/>
    <mergeCell ref="I692:I693"/>
    <mergeCell ref="J692:J693"/>
    <mergeCell ref="X690:X691"/>
    <mergeCell ref="Y690:Y691"/>
    <mergeCell ref="Z690:Z691"/>
    <mergeCell ref="AA690:AA691"/>
    <mergeCell ref="AB690:AB691"/>
    <mergeCell ref="K690:K691"/>
    <mergeCell ref="L690:L691"/>
    <mergeCell ref="M690:M691"/>
    <mergeCell ref="N690:N691"/>
    <mergeCell ref="O690:O691"/>
    <mergeCell ref="A690:A691"/>
    <mergeCell ref="E690:E691"/>
    <mergeCell ref="H690:H691"/>
    <mergeCell ref="I690:I691"/>
    <mergeCell ref="J690:J691"/>
    <mergeCell ref="X688:X689"/>
    <mergeCell ref="Y688:Y689"/>
    <mergeCell ref="Z688:Z689"/>
    <mergeCell ref="AA688:AA689"/>
    <mergeCell ref="AB688:AB689"/>
    <mergeCell ref="K688:K689"/>
    <mergeCell ref="L688:L689"/>
    <mergeCell ref="M688:M689"/>
    <mergeCell ref="N688:N689"/>
    <mergeCell ref="O688:O689"/>
    <mergeCell ref="A688:A689"/>
    <mergeCell ref="E688:E689"/>
    <mergeCell ref="H688:H689"/>
    <mergeCell ref="I688:I689"/>
    <mergeCell ref="J688:J689"/>
    <mergeCell ref="X686:X687"/>
    <mergeCell ref="Y686:Y687"/>
    <mergeCell ref="Z686:Z687"/>
    <mergeCell ref="AA686:AA687"/>
    <mergeCell ref="AB686:AB687"/>
    <mergeCell ref="K686:K687"/>
    <mergeCell ref="L686:L687"/>
    <mergeCell ref="M686:M687"/>
    <mergeCell ref="N686:N687"/>
    <mergeCell ref="O686:O687"/>
    <mergeCell ref="A686:A687"/>
    <mergeCell ref="E686:E687"/>
    <mergeCell ref="H686:H687"/>
    <mergeCell ref="I686:I687"/>
    <mergeCell ref="J686:J687"/>
    <mergeCell ref="X684:X685"/>
    <mergeCell ref="Y684:Y685"/>
    <mergeCell ref="Z684:Z685"/>
    <mergeCell ref="AA684:AA685"/>
    <mergeCell ref="AB684:AB685"/>
    <mergeCell ref="K684:K685"/>
    <mergeCell ref="L684:L685"/>
    <mergeCell ref="M684:M685"/>
    <mergeCell ref="N684:N685"/>
    <mergeCell ref="O684:O685"/>
    <mergeCell ref="A684:A685"/>
    <mergeCell ref="E684:E685"/>
    <mergeCell ref="H684:H685"/>
    <mergeCell ref="I684:I685"/>
    <mergeCell ref="J684:J685"/>
    <mergeCell ref="X682:X683"/>
    <mergeCell ref="Y682:Y683"/>
    <mergeCell ref="Z682:Z683"/>
    <mergeCell ref="AA682:AA683"/>
    <mergeCell ref="AB682:AB683"/>
    <mergeCell ref="K682:K683"/>
    <mergeCell ref="L682:L683"/>
    <mergeCell ref="M682:M683"/>
    <mergeCell ref="N682:N683"/>
    <mergeCell ref="O682:O683"/>
    <mergeCell ref="A682:A683"/>
    <mergeCell ref="E682:E683"/>
    <mergeCell ref="H682:H683"/>
    <mergeCell ref="I682:I683"/>
    <mergeCell ref="J682:J683"/>
    <mergeCell ref="X680:X681"/>
    <mergeCell ref="Y680:Y681"/>
    <mergeCell ref="Z680:Z681"/>
    <mergeCell ref="AA680:AA681"/>
    <mergeCell ref="AB680:AB681"/>
    <mergeCell ref="K680:K681"/>
    <mergeCell ref="L680:L681"/>
    <mergeCell ref="M680:M681"/>
    <mergeCell ref="N680:N681"/>
    <mergeCell ref="O680:O681"/>
    <mergeCell ref="A680:A681"/>
    <mergeCell ref="E680:E681"/>
    <mergeCell ref="H680:H681"/>
    <mergeCell ref="I680:I681"/>
    <mergeCell ref="J680:J681"/>
    <mergeCell ref="X678:X679"/>
    <mergeCell ref="Y678:Y679"/>
    <mergeCell ref="Z678:Z679"/>
    <mergeCell ref="AA678:AA679"/>
    <mergeCell ref="AB678:AB679"/>
    <mergeCell ref="K678:K679"/>
    <mergeCell ref="L678:L679"/>
    <mergeCell ref="M678:M679"/>
    <mergeCell ref="N678:N679"/>
    <mergeCell ref="O678:O679"/>
    <mergeCell ref="A678:A679"/>
    <mergeCell ref="E678:E679"/>
    <mergeCell ref="H678:H679"/>
    <mergeCell ref="I678:I679"/>
    <mergeCell ref="J678:J679"/>
    <mergeCell ref="X676:X677"/>
    <mergeCell ref="Y676:Y677"/>
    <mergeCell ref="Z676:Z677"/>
    <mergeCell ref="AA676:AA677"/>
    <mergeCell ref="AB676:AB677"/>
    <mergeCell ref="K676:K677"/>
    <mergeCell ref="L676:L677"/>
    <mergeCell ref="M676:M677"/>
    <mergeCell ref="N676:N677"/>
    <mergeCell ref="O676:O677"/>
    <mergeCell ref="A676:A677"/>
    <mergeCell ref="E676:E677"/>
    <mergeCell ref="H676:H677"/>
    <mergeCell ref="I676:I677"/>
    <mergeCell ref="J676:J677"/>
    <mergeCell ref="X674:X675"/>
    <mergeCell ref="Y674:Y675"/>
    <mergeCell ref="Z674:Z675"/>
    <mergeCell ref="AA674:AA675"/>
    <mergeCell ref="AB674:AB675"/>
    <mergeCell ref="K674:K675"/>
    <mergeCell ref="L674:L675"/>
    <mergeCell ref="M674:M675"/>
    <mergeCell ref="N674:N675"/>
    <mergeCell ref="O674:O675"/>
    <mergeCell ref="A674:A675"/>
    <mergeCell ref="E674:E675"/>
    <mergeCell ref="H674:H675"/>
    <mergeCell ref="I674:I675"/>
    <mergeCell ref="J674:J675"/>
    <mergeCell ref="X672:X673"/>
    <mergeCell ref="Y672:Y673"/>
    <mergeCell ref="Z672:Z673"/>
    <mergeCell ref="AA672:AA673"/>
    <mergeCell ref="AB672:AB673"/>
    <mergeCell ref="K672:K673"/>
    <mergeCell ref="L672:L673"/>
    <mergeCell ref="M672:M673"/>
    <mergeCell ref="N672:N673"/>
    <mergeCell ref="O672:O673"/>
    <mergeCell ref="A672:A673"/>
    <mergeCell ref="E672:E673"/>
    <mergeCell ref="H672:H673"/>
    <mergeCell ref="I672:I673"/>
    <mergeCell ref="J672:J673"/>
    <mergeCell ref="X670:X671"/>
    <mergeCell ref="Y670:Y671"/>
    <mergeCell ref="Z670:Z671"/>
    <mergeCell ref="AA670:AA671"/>
    <mergeCell ref="AB670:AB671"/>
    <mergeCell ref="K670:K671"/>
    <mergeCell ref="L670:L671"/>
    <mergeCell ref="M670:M671"/>
    <mergeCell ref="N670:N671"/>
    <mergeCell ref="O670:O671"/>
    <mergeCell ref="A670:A671"/>
    <mergeCell ref="E670:E671"/>
    <mergeCell ref="H670:H671"/>
    <mergeCell ref="I670:I671"/>
    <mergeCell ref="J670:J671"/>
    <mergeCell ref="X668:X669"/>
    <mergeCell ref="Y668:Y669"/>
    <mergeCell ref="Z668:Z669"/>
    <mergeCell ref="AA668:AA669"/>
    <mergeCell ref="AB668:AB669"/>
    <mergeCell ref="K668:K669"/>
    <mergeCell ref="L668:L669"/>
    <mergeCell ref="M668:M669"/>
    <mergeCell ref="N668:N669"/>
    <mergeCell ref="O668:O669"/>
    <mergeCell ref="A668:A669"/>
    <mergeCell ref="E668:E669"/>
    <mergeCell ref="H668:H669"/>
    <mergeCell ref="I668:I669"/>
    <mergeCell ref="J668:J669"/>
    <mergeCell ref="X666:X667"/>
    <mergeCell ref="Y666:Y667"/>
    <mergeCell ref="Z666:Z667"/>
    <mergeCell ref="AA666:AA667"/>
    <mergeCell ref="AB666:AB667"/>
    <mergeCell ref="K666:K667"/>
    <mergeCell ref="L666:L667"/>
    <mergeCell ref="M666:M667"/>
    <mergeCell ref="N666:N667"/>
    <mergeCell ref="O666:O667"/>
    <mergeCell ref="A666:A667"/>
    <mergeCell ref="E666:E667"/>
    <mergeCell ref="H666:H667"/>
    <mergeCell ref="I666:I667"/>
    <mergeCell ref="J666:J667"/>
    <mergeCell ref="X664:X665"/>
    <mergeCell ref="Y664:Y665"/>
    <mergeCell ref="Z664:Z665"/>
    <mergeCell ref="AA664:AA665"/>
    <mergeCell ref="AB664:AB665"/>
    <mergeCell ref="K664:K665"/>
    <mergeCell ref="L664:L665"/>
    <mergeCell ref="M664:M665"/>
    <mergeCell ref="N664:N665"/>
    <mergeCell ref="O664:O665"/>
    <mergeCell ref="A664:A665"/>
    <mergeCell ref="E664:E665"/>
    <mergeCell ref="H664:H665"/>
    <mergeCell ref="I664:I665"/>
    <mergeCell ref="J664:J665"/>
    <mergeCell ref="X662:X663"/>
    <mergeCell ref="Y662:Y663"/>
    <mergeCell ref="Z662:Z663"/>
    <mergeCell ref="AA662:AA663"/>
    <mergeCell ref="AB662:AB663"/>
    <mergeCell ref="K662:K663"/>
    <mergeCell ref="L662:L663"/>
    <mergeCell ref="M662:M663"/>
    <mergeCell ref="N662:N663"/>
    <mergeCell ref="O662:O663"/>
    <mergeCell ref="A662:A663"/>
    <mergeCell ref="E662:E663"/>
    <mergeCell ref="H662:H663"/>
    <mergeCell ref="I662:I663"/>
    <mergeCell ref="J662:J663"/>
    <mergeCell ref="X660:X661"/>
    <mergeCell ref="Y660:Y661"/>
    <mergeCell ref="Z660:Z661"/>
    <mergeCell ref="AA660:AA661"/>
    <mergeCell ref="AB660:AB661"/>
    <mergeCell ref="K660:K661"/>
    <mergeCell ref="L660:L661"/>
    <mergeCell ref="M660:M661"/>
    <mergeCell ref="N660:N661"/>
    <mergeCell ref="O660:O661"/>
    <mergeCell ref="A660:A661"/>
    <mergeCell ref="E660:E661"/>
    <mergeCell ref="H660:H661"/>
    <mergeCell ref="I660:I661"/>
    <mergeCell ref="J660:J661"/>
    <mergeCell ref="X658:X659"/>
    <mergeCell ref="Y658:Y659"/>
    <mergeCell ref="Z658:Z659"/>
    <mergeCell ref="AA658:AA659"/>
    <mergeCell ref="AB658:AB659"/>
    <mergeCell ref="K658:K659"/>
    <mergeCell ref="L658:L659"/>
    <mergeCell ref="M658:M659"/>
    <mergeCell ref="N658:N659"/>
    <mergeCell ref="O658:O659"/>
    <mergeCell ref="A658:A659"/>
    <mergeCell ref="E658:E659"/>
    <mergeCell ref="H658:H659"/>
    <mergeCell ref="I658:I659"/>
    <mergeCell ref="J658:J659"/>
    <mergeCell ref="X656:X657"/>
    <mergeCell ref="Y656:Y657"/>
    <mergeCell ref="Z656:Z657"/>
    <mergeCell ref="AA656:AA657"/>
    <mergeCell ref="AB656:AB657"/>
    <mergeCell ref="K656:K657"/>
    <mergeCell ref="L656:L657"/>
    <mergeCell ref="M656:M657"/>
    <mergeCell ref="N656:N657"/>
    <mergeCell ref="O656:O657"/>
    <mergeCell ref="A656:A657"/>
    <mergeCell ref="E656:E657"/>
    <mergeCell ref="H656:H657"/>
    <mergeCell ref="I656:I657"/>
    <mergeCell ref="J656:J657"/>
    <mergeCell ref="X654:X655"/>
    <mergeCell ref="Y654:Y655"/>
    <mergeCell ref="Z654:Z655"/>
    <mergeCell ref="AA654:AA655"/>
    <mergeCell ref="AB654:AB655"/>
    <mergeCell ref="K654:K655"/>
    <mergeCell ref="L654:L655"/>
    <mergeCell ref="M654:M655"/>
    <mergeCell ref="N654:N655"/>
    <mergeCell ref="O654:O655"/>
    <mergeCell ref="A654:A655"/>
    <mergeCell ref="E654:E655"/>
    <mergeCell ref="H654:H655"/>
    <mergeCell ref="I654:I655"/>
    <mergeCell ref="J654:J655"/>
    <mergeCell ref="X652:X653"/>
    <mergeCell ref="Y652:Y653"/>
    <mergeCell ref="Z652:Z653"/>
    <mergeCell ref="AA652:AA653"/>
    <mergeCell ref="AB652:AB653"/>
    <mergeCell ref="K652:K653"/>
    <mergeCell ref="L652:L653"/>
    <mergeCell ref="M652:M653"/>
    <mergeCell ref="N652:N653"/>
    <mergeCell ref="O652:O653"/>
    <mergeCell ref="A652:A653"/>
    <mergeCell ref="E652:E653"/>
    <mergeCell ref="H652:H653"/>
    <mergeCell ref="I652:I653"/>
    <mergeCell ref="J652:J653"/>
    <mergeCell ref="X650:X651"/>
    <mergeCell ref="Y650:Y651"/>
    <mergeCell ref="Z650:Z651"/>
    <mergeCell ref="AA650:AA651"/>
    <mergeCell ref="AB650:AB651"/>
    <mergeCell ref="K650:K651"/>
    <mergeCell ref="L650:L651"/>
    <mergeCell ref="M650:M651"/>
    <mergeCell ref="N650:N651"/>
    <mergeCell ref="O650:O651"/>
    <mergeCell ref="A650:A651"/>
    <mergeCell ref="E650:E651"/>
    <mergeCell ref="H650:H651"/>
    <mergeCell ref="I650:I651"/>
    <mergeCell ref="J650:J651"/>
    <mergeCell ref="X648:X649"/>
    <mergeCell ref="Y648:Y649"/>
    <mergeCell ref="Z648:Z649"/>
    <mergeCell ref="AA648:AA649"/>
    <mergeCell ref="AB648:AB649"/>
    <mergeCell ref="K648:K649"/>
    <mergeCell ref="L648:L649"/>
    <mergeCell ref="M648:M649"/>
    <mergeCell ref="N648:N649"/>
    <mergeCell ref="O648:O649"/>
    <mergeCell ref="A648:A649"/>
    <mergeCell ref="E648:E649"/>
    <mergeCell ref="H648:H649"/>
    <mergeCell ref="I648:I649"/>
    <mergeCell ref="J648:J649"/>
    <mergeCell ref="X646:X647"/>
    <mergeCell ref="Y646:Y647"/>
    <mergeCell ref="Z646:Z647"/>
    <mergeCell ref="AA646:AA647"/>
    <mergeCell ref="AB646:AB647"/>
    <mergeCell ref="K646:K647"/>
    <mergeCell ref="L646:L647"/>
    <mergeCell ref="M646:M647"/>
    <mergeCell ref="N646:N647"/>
    <mergeCell ref="O646:O647"/>
    <mergeCell ref="A646:A647"/>
    <mergeCell ref="E646:E647"/>
    <mergeCell ref="H646:H647"/>
    <mergeCell ref="I646:I647"/>
    <mergeCell ref="J646:J647"/>
    <mergeCell ref="X644:X645"/>
    <mergeCell ref="Y644:Y645"/>
    <mergeCell ref="Z644:Z645"/>
    <mergeCell ref="AA644:AA645"/>
    <mergeCell ref="AB644:AB645"/>
    <mergeCell ref="K644:K645"/>
    <mergeCell ref="L644:L645"/>
    <mergeCell ref="M644:M645"/>
    <mergeCell ref="N644:N645"/>
    <mergeCell ref="O644:O645"/>
    <mergeCell ref="A644:A645"/>
    <mergeCell ref="E644:E645"/>
    <mergeCell ref="H644:H645"/>
    <mergeCell ref="I644:I645"/>
    <mergeCell ref="J644:J645"/>
    <mergeCell ref="X642:X643"/>
    <mergeCell ref="Y642:Y643"/>
    <mergeCell ref="Z642:Z643"/>
    <mergeCell ref="AA642:AA643"/>
    <mergeCell ref="AB642:AB643"/>
    <mergeCell ref="K642:K643"/>
    <mergeCell ref="L642:L643"/>
    <mergeCell ref="M642:M643"/>
    <mergeCell ref="N642:N643"/>
    <mergeCell ref="O642:O643"/>
    <mergeCell ref="A642:A643"/>
    <mergeCell ref="E642:E643"/>
    <mergeCell ref="H642:H643"/>
    <mergeCell ref="I642:I643"/>
    <mergeCell ref="J642:J643"/>
    <mergeCell ref="X640:X641"/>
    <mergeCell ref="Y640:Y641"/>
    <mergeCell ref="Z640:Z641"/>
    <mergeCell ref="AA640:AA641"/>
    <mergeCell ref="AB640:AB641"/>
    <mergeCell ref="K640:K641"/>
    <mergeCell ref="L640:L641"/>
    <mergeCell ref="M640:M641"/>
    <mergeCell ref="N640:N641"/>
    <mergeCell ref="O640:O641"/>
    <mergeCell ref="A640:A641"/>
    <mergeCell ref="E640:E641"/>
    <mergeCell ref="H640:H641"/>
    <mergeCell ref="I640:I641"/>
    <mergeCell ref="J640:J641"/>
    <mergeCell ref="X638:X639"/>
    <mergeCell ref="Y638:Y639"/>
    <mergeCell ref="Z638:Z639"/>
    <mergeCell ref="AA638:AA639"/>
    <mergeCell ref="AB638:AB639"/>
    <mergeCell ref="K638:K639"/>
    <mergeCell ref="L638:L639"/>
    <mergeCell ref="M638:M639"/>
    <mergeCell ref="N638:N639"/>
    <mergeCell ref="O638:O639"/>
    <mergeCell ref="A638:A639"/>
    <mergeCell ref="E638:E639"/>
    <mergeCell ref="H638:H639"/>
    <mergeCell ref="I638:I639"/>
    <mergeCell ref="J638:J639"/>
    <mergeCell ref="X636:X637"/>
    <mergeCell ref="Y636:Y637"/>
    <mergeCell ref="Z636:Z637"/>
    <mergeCell ref="AA636:AA637"/>
    <mergeCell ref="AB636:AB637"/>
    <mergeCell ref="K636:K637"/>
    <mergeCell ref="L636:L637"/>
    <mergeCell ref="M636:M637"/>
    <mergeCell ref="N636:N637"/>
    <mergeCell ref="O636:O637"/>
    <mergeCell ref="A636:A637"/>
    <mergeCell ref="E636:E637"/>
    <mergeCell ref="H636:H637"/>
    <mergeCell ref="I636:I637"/>
    <mergeCell ref="J636:J637"/>
    <mergeCell ref="X634:X635"/>
    <mergeCell ref="Y634:Y635"/>
    <mergeCell ref="Z634:Z635"/>
    <mergeCell ref="AA634:AA635"/>
    <mergeCell ref="AB634:AB635"/>
    <mergeCell ref="K634:K635"/>
    <mergeCell ref="L634:L635"/>
    <mergeCell ref="M634:M635"/>
    <mergeCell ref="N634:N635"/>
    <mergeCell ref="O634:O635"/>
    <mergeCell ref="A634:A635"/>
    <mergeCell ref="E634:E635"/>
    <mergeCell ref="H634:H635"/>
    <mergeCell ref="I634:I635"/>
    <mergeCell ref="J634:J635"/>
    <mergeCell ref="X632:X633"/>
    <mergeCell ref="Y632:Y633"/>
    <mergeCell ref="Z632:Z633"/>
    <mergeCell ref="AA632:AA633"/>
    <mergeCell ref="AB632:AB633"/>
    <mergeCell ref="K632:K633"/>
    <mergeCell ref="L632:L633"/>
    <mergeCell ref="M632:M633"/>
    <mergeCell ref="N632:N633"/>
    <mergeCell ref="O632:O633"/>
    <mergeCell ref="A632:A633"/>
    <mergeCell ref="E632:E633"/>
    <mergeCell ref="H632:H633"/>
    <mergeCell ref="I632:I633"/>
    <mergeCell ref="J632:J633"/>
    <mergeCell ref="X630:X631"/>
    <mergeCell ref="Y630:Y631"/>
    <mergeCell ref="Z630:Z631"/>
    <mergeCell ref="AA630:AA631"/>
    <mergeCell ref="AB630:AB631"/>
    <mergeCell ref="K630:K631"/>
    <mergeCell ref="L630:L631"/>
    <mergeCell ref="M630:M631"/>
    <mergeCell ref="N630:N631"/>
    <mergeCell ref="O630:O631"/>
    <mergeCell ref="A630:A631"/>
    <mergeCell ref="E630:E631"/>
    <mergeCell ref="H630:H631"/>
    <mergeCell ref="I630:I631"/>
    <mergeCell ref="J630:J631"/>
    <mergeCell ref="X628:X629"/>
    <mergeCell ref="Y628:Y629"/>
    <mergeCell ref="Z628:Z629"/>
    <mergeCell ref="AA628:AA629"/>
    <mergeCell ref="AB628:AB629"/>
    <mergeCell ref="K628:K629"/>
    <mergeCell ref="L628:L629"/>
    <mergeCell ref="M628:M629"/>
    <mergeCell ref="N628:N629"/>
    <mergeCell ref="O628:O629"/>
    <mergeCell ref="A628:A629"/>
    <mergeCell ref="E628:E629"/>
    <mergeCell ref="H628:H629"/>
    <mergeCell ref="I628:I629"/>
    <mergeCell ref="J628:J629"/>
    <mergeCell ref="X626:X627"/>
    <mergeCell ref="Y626:Y627"/>
    <mergeCell ref="Z626:Z627"/>
    <mergeCell ref="AA626:AA627"/>
    <mergeCell ref="AB626:AB627"/>
    <mergeCell ref="K626:K627"/>
    <mergeCell ref="L626:L627"/>
    <mergeCell ref="M626:M627"/>
    <mergeCell ref="N626:N627"/>
    <mergeCell ref="O626:O627"/>
    <mergeCell ref="A626:A627"/>
    <mergeCell ref="E626:E627"/>
    <mergeCell ref="H626:H627"/>
    <mergeCell ref="I626:I627"/>
    <mergeCell ref="J626:J627"/>
    <mergeCell ref="X624:X625"/>
    <mergeCell ref="Y624:Y625"/>
    <mergeCell ref="Z624:Z625"/>
    <mergeCell ref="AA624:AA625"/>
    <mergeCell ref="AB624:AB625"/>
    <mergeCell ref="K624:K625"/>
    <mergeCell ref="L624:L625"/>
    <mergeCell ref="M624:M625"/>
    <mergeCell ref="N624:N625"/>
    <mergeCell ref="O624:O625"/>
    <mergeCell ref="A624:A625"/>
    <mergeCell ref="E624:E625"/>
    <mergeCell ref="H624:H625"/>
    <mergeCell ref="I624:I625"/>
    <mergeCell ref="J624:J625"/>
    <mergeCell ref="X622:X623"/>
    <mergeCell ref="Y622:Y623"/>
    <mergeCell ref="Z622:Z623"/>
    <mergeCell ref="AA622:AA623"/>
    <mergeCell ref="AB622:AB623"/>
    <mergeCell ref="K622:K623"/>
    <mergeCell ref="L622:L623"/>
    <mergeCell ref="M622:M623"/>
    <mergeCell ref="N622:N623"/>
    <mergeCell ref="O622:O623"/>
    <mergeCell ref="A622:A623"/>
    <mergeCell ref="E622:E623"/>
    <mergeCell ref="H622:H623"/>
    <mergeCell ref="I622:I623"/>
    <mergeCell ref="J622:J623"/>
    <mergeCell ref="X620:X621"/>
    <mergeCell ref="Y620:Y621"/>
    <mergeCell ref="Z620:Z621"/>
    <mergeCell ref="AA620:AA621"/>
    <mergeCell ref="AB620:AB621"/>
    <mergeCell ref="K620:K621"/>
    <mergeCell ref="L620:L621"/>
    <mergeCell ref="M620:M621"/>
    <mergeCell ref="N620:N621"/>
    <mergeCell ref="O620:O621"/>
    <mergeCell ref="A620:A621"/>
    <mergeCell ref="E620:E621"/>
    <mergeCell ref="H620:H621"/>
    <mergeCell ref="I620:I621"/>
    <mergeCell ref="J620:J621"/>
    <mergeCell ref="X618:X619"/>
    <mergeCell ref="Y618:Y619"/>
    <mergeCell ref="Z618:Z619"/>
    <mergeCell ref="AA618:AA619"/>
    <mergeCell ref="AB618:AB619"/>
    <mergeCell ref="K618:K619"/>
    <mergeCell ref="L618:L619"/>
    <mergeCell ref="M618:M619"/>
    <mergeCell ref="N618:N619"/>
    <mergeCell ref="O618:O619"/>
    <mergeCell ref="A618:A619"/>
    <mergeCell ref="E618:E619"/>
    <mergeCell ref="H618:H619"/>
    <mergeCell ref="I618:I619"/>
    <mergeCell ref="J618:J619"/>
    <mergeCell ref="X616:X617"/>
    <mergeCell ref="Y616:Y617"/>
    <mergeCell ref="Z616:Z617"/>
    <mergeCell ref="AA616:AA617"/>
    <mergeCell ref="AB616:AB617"/>
    <mergeCell ref="K616:K617"/>
    <mergeCell ref="L616:L617"/>
    <mergeCell ref="M616:M617"/>
    <mergeCell ref="N616:N617"/>
    <mergeCell ref="O616:O617"/>
    <mergeCell ref="A616:A617"/>
    <mergeCell ref="E616:E617"/>
    <mergeCell ref="H616:H617"/>
    <mergeCell ref="I616:I617"/>
    <mergeCell ref="J616:J617"/>
    <mergeCell ref="X614:X615"/>
    <mergeCell ref="Y614:Y615"/>
    <mergeCell ref="Z614:Z615"/>
    <mergeCell ref="AA614:AA615"/>
    <mergeCell ref="AB614:AB615"/>
    <mergeCell ref="K614:K615"/>
    <mergeCell ref="L614:L615"/>
    <mergeCell ref="M614:M615"/>
    <mergeCell ref="N614:N615"/>
    <mergeCell ref="O614:O615"/>
    <mergeCell ref="A614:A615"/>
    <mergeCell ref="E614:E615"/>
    <mergeCell ref="H614:H615"/>
    <mergeCell ref="I614:I615"/>
    <mergeCell ref="J614:J615"/>
    <mergeCell ref="X612:X613"/>
    <mergeCell ref="Y612:Y613"/>
    <mergeCell ref="Z612:Z613"/>
    <mergeCell ref="AA612:AA613"/>
    <mergeCell ref="AB612:AB613"/>
    <mergeCell ref="K612:K613"/>
    <mergeCell ref="L612:L613"/>
    <mergeCell ref="M612:M613"/>
    <mergeCell ref="N612:N613"/>
    <mergeCell ref="O612:O613"/>
    <mergeCell ref="A612:A613"/>
    <mergeCell ref="E612:E613"/>
    <mergeCell ref="H612:H613"/>
    <mergeCell ref="I612:I613"/>
    <mergeCell ref="J612:J613"/>
    <mergeCell ref="X610:X611"/>
    <mergeCell ref="Y610:Y611"/>
    <mergeCell ref="Z610:Z611"/>
    <mergeCell ref="AA610:AA611"/>
    <mergeCell ref="AB610:AB611"/>
    <mergeCell ref="K610:K611"/>
    <mergeCell ref="L610:L611"/>
    <mergeCell ref="M610:M611"/>
    <mergeCell ref="N610:N611"/>
    <mergeCell ref="O610:O611"/>
    <mergeCell ref="A610:A611"/>
    <mergeCell ref="E610:E611"/>
    <mergeCell ref="H610:H611"/>
    <mergeCell ref="I610:I611"/>
    <mergeCell ref="J610:J611"/>
    <mergeCell ref="X608:X609"/>
    <mergeCell ref="Y608:Y609"/>
    <mergeCell ref="Z608:Z609"/>
    <mergeCell ref="AA608:AA609"/>
    <mergeCell ref="AB608:AB609"/>
    <mergeCell ref="K608:K609"/>
    <mergeCell ref="L608:L609"/>
    <mergeCell ref="M608:M609"/>
    <mergeCell ref="N608:N609"/>
    <mergeCell ref="O608:O609"/>
    <mergeCell ref="A608:A609"/>
    <mergeCell ref="E608:E609"/>
    <mergeCell ref="H608:H609"/>
    <mergeCell ref="I608:I609"/>
    <mergeCell ref="J608:J609"/>
    <mergeCell ref="X606:X607"/>
    <mergeCell ref="Y606:Y607"/>
    <mergeCell ref="Z606:Z607"/>
    <mergeCell ref="AA606:AA607"/>
    <mergeCell ref="AB606:AB607"/>
    <mergeCell ref="K606:K607"/>
    <mergeCell ref="L606:L607"/>
    <mergeCell ref="M606:M607"/>
    <mergeCell ref="N606:N607"/>
    <mergeCell ref="O606:O607"/>
    <mergeCell ref="A606:A607"/>
    <mergeCell ref="E606:E607"/>
    <mergeCell ref="H606:H607"/>
    <mergeCell ref="I606:I607"/>
    <mergeCell ref="J606:J607"/>
    <mergeCell ref="X604:X605"/>
    <mergeCell ref="Y604:Y605"/>
    <mergeCell ref="Z604:Z605"/>
    <mergeCell ref="AA604:AA605"/>
    <mergeCell ref="AB604:AB605"/>
    <mergeCell ref="K604:K605"/>
    <mergeCell ref="L604:L605"/>
    <mergeCell ref="M604:M605"/>
    <mergeCell ref="N604:N605"/>
    <mergeCell ref="O604:O605"/>
    <mergeCell ref="A604:A605"/>
    <mergeCell ref="E604:E605"/>
    <mergeCell ref="H604:H605"/>
    <mergeCell ref="I604:I605"/>
    <mergeCell ref="J604:J605"/>
    <mergeCell ref="X602:X603"/>
    <mergeCell ref="Y602:Y603"/>
    <mergeCell ref="Z602:Z603"/>
    <mergeCell ref="AA602:AA603"/>
    <mergeCell ref="AB602:AB603"/>
    <mergeCell ref="K602:K603"/>
    <mergeCell ref="L602:L603"/>
    <mergeCell ref="M602:M603"/>
    <mergeCell ref="N602:N603"/>
    <mergeCell ref="O602:O603"/>
    <mergeCell ref="A602:A603"/>
    <mergeCell ref="E602:E603"/>
    <mergeCell ref="H602:H603"/>
    <mergeCell ref="I602:I603"/>
    <mergeCell ref="J602:J603"/>
    <mergeCell ref="X600:X601"/>
    <mergeCell ref="Y600:Y601"/>
    <mergeCell ref="Z600:Z601"/>
    <mergeCell ref="AA600:AA601"/>
    <mergeCell ref="AB600:AB601"/>
    <mergeCell ref="K600:K601"/>
    <mergeCell ref="L600:L601"/>
    <mergeCell ref="M600:M601"/>
    <mergeCell ref="N600:N601"/>
    <mergeCell ref="O600:O601"/>
    <mergeCell ref="A600:A601"/>
    <mergeCell ref="E600:E601"/>
    <mergeCell ref="H600:H601"/>
    <mergeCell ref="I600:I601"/>
    <mergeCell ref="J600:J601"/>
    <mergeCell ref="X598:X599"/>
    <mergeCell ref="Y598:Y599"/>
    <mergeCell ref="Z598:Z599"/>
    <mergeCell ref="AA598:AA599"/>
    <mergeCell ref="AB598:AB599"/>
    <mergeCell ref="K598:K599"/>
    <mergeCell ref="L598:L599"/>
    <mergeCell ref="M598:M599"/>
    <mergeCell ref="N598:N599"/>
    <mergeCell ref="O598:O599"/>
    <mergeCell ref="A598:A599"/>
    <mergeCell ref="E598:E599"/>
    <mergeCell ref="H598:H599"/>
    <mergeCell ref="I598:I599"/>
    <mergeCell ref="J598:J599"/>
    <mergeCell ref="X596:X597"/>
    <mergeCell ref="Y596:Y597"/>
    <mergeCell ref="Z596:Z597"/>
    <mergeCell ref="AA596:AA597"/>
    <mergeCell ref="AB596:AB597"/>
    <mergeCell ref="K596:K597"/>
    <mergeCell ref="L596:L597"/>
    <mergeCell ref="M596:M597"/>
    <mergeCell ref="N596:N597"/>
    <mergeCell ref="O596:O597"/>
    <mergeCell ref="A596:A597"/>
    <mergeCell ref="E596:E597"/>
    <mergeCell ref="H596:H597"/>
    <mergeCell ref="I596:I597"/>
    <mergeCell ref="J596:J597"/>
    <mergeCell ref="X594:X595"/>
    <mergeCell ref="Y594:Y595"/>
    <mergeCell ref="Z594:Z595"/>
    <mergeCell ref="AA594:AA595"/>
    <mergeCell ref="AB594:AB595"/>
    <mergeCell ref="K594:K595"/>
    <mergeCell ref="L594:L595"/>
    <mergeCell ref="M594:M595"/>
    <mergeCell ref="N594:N595"/>
    <mergeCell ref="O594:O595"/>
    <mergeCell ref="A594:A595"/>
    <mergeCell ref="E594:E595"/>
    <mergeCell ref="H594:H595"/>
    <mergeCell ref="I594:I595"/>
    <mergeCell ref="J594:J595"/>
    <mergeCell ref="X592:X593"/>
    <mergeCell ref="Y592:Y593"/>
    <mergeCell ref="Z592:Z593"/>
    <mergeCell ref="AA592:AA593"/>
    <mergeCell ref="AB592:AB593"/>
    <mergeCell ref="K592:K593"/>
    <mergeCell ref="L592:L593"/>
    <mergeCell ref="M592:M593"/>
    <mergeCell ref="N592:N593"/>
    <mergeCell ref="O592:O593"/>
    <mergeCell ref="A592:A593"/>
    <mergeCell ref="E592:E593"/>
    <mergeCell ref="H592:H593"/>
    <mergeCell ref="I592:I593"/>
    <mergeCell ref="J592:J593"/>
    <mergeCell ref="X590:X591"/>
    <mergeCell ref="Y590:Y591"/>
    <mergeCell ref="Z590:Z591"/>
    <mergeCell ref="AA590:AA591"/>
    <mergeCell ref="AB590:AB591"/>
    <mergeCell ref="K590:K591"/>
    <mergeCell ref="L590:L591"/>
    <mergeCell ref="M590:M591"/>
    <mergeCell ref="N590:N591"/>
    <mergeCell ref="O590:O591"/>
    <mergeCell ref="A590:A591"/>
    <mergeCell ref="E590:E591"/>
    <mergeCell ref="H590:H591"/>
    <mergeCell ref="I590:I591"/>
    <mergeCell ref="J590:J591"/>
    <mergeCell ref="X588:X589"/>
    <mergeCell ref="Y588:Y589"/>
    <mergeCell ref="Z588:Z589"/>
    <mergeCell ref="AA588:AA589"/>
    <mergeCell ref="AB588:AB589"/>
    <mergeCell ref="K588:K589"/>
    <mergeCell ref="L588:L589"/>
    <mergeCell ref="M588:M589"/>
    <mergeCell ref="N588:N589"/>
    <mergeCell ref="O588:O589"/>
    <mergeCell ref="A588:A589"/>
    <mergeCell ref="E588:E589"/>
    <mergeCell ref="H588:H589"/>
    <mergeCell ref="I588:I589"/>
    <mergeCell ref="J588:J589"/>
    <mergeCell ref="X586:X587"/>
    <mergeCell ref="Y586:Y587"/>
    <mergeCell ref="Z586:Z587"/>
    <mergeCell ref="AA586:AA587"/>
    <mergeCell ref="AB586:AB587"/>
    <mergeCell ref="K586:K587"/>
    <mergeCell ref="L586:L587"/>
    <mergeCell ref="M586:M587"/>
    <mergeCell ref="N586:N587"/>
    <mergeCell ref="O586:O587"/>
    <mergeCell ref="A586:A587"/>
    <mergeCell ref="E586:E587"/>
    <mergeCell ref="H586:H587"/>
    <mergeCell ref="I586:I587"/>
    <mergeCell ref="J586:J587"/>
    <mergeCell ref="X584:X585"/>
    <mergeCell ref="Y584:Y585"/>
    <mergeCell ref="Z584:Z585"/>
    <mergeCell ref="AA584:AA585"/>
    <mergeCell ref="AB584:AB585"/>
    <mergeCell ref="K584:K585"/>
    <mergeCell ref="L584:L585"/>
    <mergeCell ref="M584:M585"/>
    <mergeCell ref="N584:N585"/>
    <mergeCell ref="O584:O585"/>
    <mergeCell ref="A584:A585"/>
    <mergeCell ref="E584:E585"/>
    <mergeCell ref="H584:H585"/>
    <mergeCell ref="I584:I585"/>
    <mergeCell ref="J584:J585"/>
    <mergeCell ref="X582:X583"/>
    <mergeCell ref="Y582:Y583"/>
    <mergeCell ref="Z582:Z583"/>
    <mergeCell ref="AA582:AA583"/>
    <mergeCell ref="AB582:AB583"/>
    <mergeCell ref="K582:K583"/>
    <mergeCell ref="L582:L583"/>
    <mergeCell ref="M582:M583"/>
    <mergeCell ref="N582:N583"/>
    <mergeCell ref="O582:O583"/>
    <mergeCell ref="A582:A583"/>
    <mergeCell ref="E582:E583"/>
    <mergeCell ref="H582:H583"/>
    <mergeCell ref="I582:I583"/>
    <mergeCell ref="J582:J583"/>
    <mergeCell ref="X580:X581"/>
    <mergeCell ref="Y580:Y581"/>
    <mergeCell ref="Z580:Z581"/>
    <mergeCell ref="AA580:AA581"/>
    <mergeCell ref="AB580:AB581"/>
    <mergeCell ref="K580:K581"/>
    <mergeCell ref="L580:L581"/>
    <mergeCell ref="M580:M581"/>
    <mergeCell ref="N580:N581"/>
    <mergeCell ref="O580:O581"/>
    <mergeCell ref="A580:A581"/>
    <mergeCell ref="E580:E581"/>
    <mergeCell ref="H580:H581"/>
    <mergeCell ref="I580:I581"/>
    <mergeCell ref="J580:J581"/>
    <mergeCell ref="X578:X579"/>
    <mergeCell ref="Y578:Y579"/>
    <mergeCell ref="Z578:Z579"/>
    <mergeCell ref="AA578:AA579"/>
    <mergeCell ref="AB578:AB579"/>
    <mergeCell ref="K578:K579"/>
    <mergeCell ref="L578:L579"/>
    <mergeCell ref="M578:M579"/>
    <mergeCell ref="N578:N579"/>
    <mergeCell ref="O578:O579"/>
    <mergeCell ref="A578:A579"/>
    <mergeCell ref="E578:E579"/>
    <mergeCell ref="H578:H579"/>
    <mergeCell ref="I578:I579"/>
    <mergeCell ref="J578:J579"/>
    <mergeCell ref="X576:X577"/>
    <mergeCell ref="Y576:Y577"/>
    <mergeCell ref="Z576:Z577"/>
    <mergeCell ref="AA576:AA577"/>
    <mergeCell ref="AB576:AB577"/>
    <mergeCell ref="K576:K577"/>
    <mergeCell ref="L576:L577"/>
    <mergeCell ref="M576:M577"/>
    <mergeCell ref="N576:N577"/>
    <mergeCell ref="O576:O577"/>
    <mergeCell ref="A576:A577"/>
    <mergeCell ref="E576:E577"/>
    <mergeCell ref="H576:H577"/>
    <mergeCell ref="I576:I577"/>
    <mergeCell ref="J576:J577"/>
    <mergeCell ref="X574:X575"/>
    <mergeCell ref="Y574:Y575"/>
    <mergeCell ref="Z574:Z575"/>
    <mergeCell ref="AA574:AA575"/>
    <mergeCell ref="AB574:AB575"/>
    <mergeCell ref="K574:K575"/>
    <mergeCell ref="L574:L575"/>
    <mergeCell ref="M574:M575"/>
    <mergeCell ref="N574:N575"/>
    <mergeCell ref="O574:O575"/>
    <mergeCell ref="A574:A575"/>
    <mergeCell ref="E574:E575"/>
    <mergeCell ref="H574:H575"/>
    <mergeCell ref="I574:I575"/>
    <mergeCell ref="J574:J575"/>
    <mergeCell ref="X572:X573"/>
    <mergeCell ref="Y572:Y573"/>
    <mergeCell ref="Z572:Z573"/>
    <mergeCell ref="AA572:AA573"/>
    <mergeCell ref="AB572:AB573"/>
    <mergeCell ref="K572:K573"/>
    <mergeCell ref="L572:L573"/>
    <mergeCell ref="M572:M573"/>
    <mergeCell ref="N572:N573"/>
    <mergeCell ref="O572:O573"/>
    <mergeCell ref="A572:A573"/>
    <mergeCell ref="E572:E573"/>
    <mergeCell ref="H572:H573"/>
    <mergeCell ref="I572:I573"/>
    <mergeCell ref="J572:J573"/>
    <mergeCell ref="X570:X571"/>
    <mergeCell ref="Y570:Y571"/>
    <mergeCell ref="Z570:Z571"/>
    <mergeCell ref="AA570:AA571"/>
    <mergeCell ref="AB570:AB571"/>
    <mergeCell ref="K570:K571"/>
    <mergeCell ref="L570:L571"/>
    <mergeCell ref="M570:M571"/>
    <mergeCell ref="N570:N571"/>
    <mergeCell ref="O570:O571"/>
    <mergeCell ref="A570:A571"/>
    <mergeCell ref="E570:E571"/>
    <mergeCell ref="H570:H571"/>
    <mergeCell ref="I570:I571"/>
    <mergeCell ref="J570:J571"/>
    <mergeCell ref="X568:X569"/>
    <mergeCell ref="Y568:Y569"/>
    <mergeCell ref="Z568:Z569"/>
    <mergeCell ref="AA568:AA569"/>
    <mergeCell ref="AB568:AB569"/>
    <mergeCell ref="K568:K569"/>
    <mergeCell ref="L568:L569"/>
    <mergeCell ref="M568:M569"/>
    <mergeCell ref="N568:N569"/>
    <mergeCell ref="O568:O569"/>
    <mergeCell ref="A568:A569"/>
    <mergeCell ref="E568:E569"/>
    <mergeCell ref="H568:H569"/>
    <mergeCell ref="I568:I569"/>
    <mergeCell ref="J568:J569"/>
    <mergeCell ref="X566:X567"/>
    <mergeCell ref="Y566:Y567"/>
    <mergeCell ref="Z566:Z567"/>
    <mergeCell ref="AA566:AA567"/>
    <mergeCell ref="AB566:AB567"/>
    <mergeCell ref="K566:K567"/>
    <mergeCell ref="L566:L567"/>
    <mergeCell ref="M566:M567"/>
    <mergeCell ref="N566:N567"/>
    <mergeCell ref="O566:O567"/>
    <mergeCell ref="A566:A567"/>
    <mergeCell ref="E566:E567"/>
    <mergeCell ref="H566:H567"/>
    <mergeCell ref="I566:I567"/>
    <mergeCell ref="J566:J567"/>
    <mergeCell ref="X564:X565"/>
    <mergeCell ref="Y564:Y565"/>
    <mergeCell ref="Z564:Z565"/>
    <mergeCell ref="AA564:AA565"/>
    <mergeCell ref="AB564:AB565"/>
    <mergeCell ref="K564:K565"/>
    <mergeCell ref="L564:L565"/>
    <mergeCell ref="M564:M565"/>
    <mergeCell ref="N564:N565"/>
    <mergeCell ref="O564:O565"/>
    <mergeCell ref="A564:A565"/>
    <mergeCell ref="E564:E565"/>
    <mergeCell ref="H564:H565"/>
    <mergeCell ref="I564:I565"/>
    <mergeCell ref="J564:J565"/>
    <mergeCell ref="X562:X563"/>
    <mergeCell ref="Y562:Y563"/>
    <mergeCell ref="Z562:Z563"/>
    <mergeCell ref="AA562:AA563"/>
    <mergeCell ref="AB562:AB563"/>
    <mergeCell ref="K562:K563"/>
    <mergeCell ref="L562:L563"/>
    <mergeCell ref="M562:M563"/>
    <mergeCell ref="N562:N563"/>
    <mergeCell ref="O562:O563"/>
    <mergeCell ref="A562:A563"/>
    <mergeCell ref="E562:E563"/>
    <mergeCell ref="H562:H563"/>
    <mergeCell ref="I562:I563"/>
    <mergeCell ref="J562:J563"/>
    <mergeCell ref="X560:X561"/>
    <mergeCell ref="Y560:Y561"/>
    <mergeCell ref="Z560:Z561"/>
    <mergeCell ref="AA560:AA561"/>
    <mergeCell ref="AB560:AB561"/>
    <mergeCell ref="K560:K561"/>
    <mergeCell ref="L560:L561"/>
    <mergeCell ref="M560:M561"/>
    <mergeCell ref="N560:N561"/>
    <mergeCell ref="O560:O561"/>
    <mergeCell ref="A560:A561"/>
    <mergeCell ref="E560:E561"/>
    <mergeCell ref="H560:H561"/>
    <mergeCell ref="I560:I561"/>
    <mergeCell ref="J560:J561"/>
    <mergeCell ref="X558:X559"/>
    <mergeCell ref="Y558:Y559"/>
    <mergeCell ref="Z558:Z559"/>
    <mergeCell ref="AA558:AA559"/>
    <mergeCell ref="AB558:AB559"/>
    <mergeCell ref="K558:K559"/>
    <mergeCell ref="L558:L559"/>
    <mergeCell ref="M558:M559"/>
    <mergeCell ref="N558:N559"/>
    <mergeCell ref="O558:O559"/>
    <mergeCell ref="A558:A559"/>
    <mergeCell ref="E558:E559"/>
    <mergeCell ref="H558:H559"/>
    <mergeCell ref="I558:I559"/>
    <mergeCell ref="J558:J559"/>
    <mergeCell ref="X556:X557"/>
    <mergeCell ref="Y556:Y557"/>
    <mergeCell ref="Z556:Z557"/>
    <mergeCell ref="AA556:AA557"/>
    <mergeCell ref="AB556:AB557"/>
    <mergeCell ref="K556:K557"/>
    <mergeCell ref="L556:L557"/>
    <mergeCell ref="M556:M557"/>
    <mergeCell ref="N556:N557"/>
    <mergeCell ref="O556:O557"/>
    <mergeCell ref="A556:A557"/>
    <mergeCell ref="E556:E557"/>
    <mergeCell ref="H556:H557"/>
    <mergeCell ref="I556:I557"/>
    <mergeCell ref="J556:J557"/>
    <mergeCell ref="X554:X555"/>
    <mergeCell ref="Y554:Y555"/>
    <mergeCell ref="Z554:Z555"/>
    <mergeCell ref="AA554:AA555"/>
    <mergeCell ref="AB554:AB555"/>
    <mergeCell ref="K554:K555"/>
    <mergeCell ref="L554:L555"/>
    <mergeCell ref="M554:M555"/>
    <mergeCell ref="N554:N555"/>
    <mergeCell ref="O554:O555"/>
    <mergeCell ref="A554:A555"/>
    <mergeCell ref="E554:E555"/>
    <mergeCell ref="H554:H555"/>
    <mergeCell ref="I554:I555"/>
    <mergeCell ref="J554:J555"/>
    <mergeCell ref="X552:X553"/>
    <mergeCell ref="Y552:Y553"/>
    <mergeCell ref="Z552:Z553"/>
    <mergeCell ref="AA552:AA553"/>
    <mergeCell ref="AB552:AB553"/>
    <mergeCell ref="K552:K553"/>
    <mergeCell ref="L552:L553"/>
    <mergeCell ref="M552:M553"/>
    <mergeCell ref="N552:N553"/>
    <mergeCell ref="O552:O553"/>
    <mergeCell ref="A552:A553"/>
    <mergeCell ref="E552:E553"/>
    <mergeCell ref="H552:H553"/>
    <mergeCell ref="I552:I553"/>
    <mergeCell ref="J552:J553"/>
    <mergeCell ref="X550:X551"/>
    <mergeCell ref="Y550:Y551"/>
    <mergeCell ref="Z550:Z551"/>
    <mergeCell ref="AA550:AA551"/>
    <mergeCell ref="AB550:AB551"/>
    <mergeCell ref="K550:K551"/>
    <mergeCell ref="L550:L551"/>
    <mergeCell ref="M550:M551"/>
    <mergeCell ref="N550:N551"/>
    <mergeCell ref="O550:O551"/>
    <mergeCell ref="A550:A551"/>
    <mergeCell ref="E550:E551"/>
    <mergeCell ref="H550:H551"/>
    <mergeCell ref="I550:I551"/>
    <mergeCell ref="J550:J551"/>
    <mergeCell ref="X548:X549"/>
    <mergeCell ref="Y548:Y549"/>
    <mergeCell ref="Z548:Z549"/>
    <mergeCell ref="AA548:AA549"/>
    <mergeCell ref="AB548:AB549"/>
    <mergeCell ref="K548:K549"/>
    <mergeCell ref="L548:L549"/>
    <mergeCell ref="M548:M549"/>
    <mergeCell ref="N548:N549"/>
    <mergeCell ref="O548:O549"/>
    <mergeCell ref="A548:A549"/>
    <mergeCell ref="E548:E549"/>
    <mergeCell ref="H548:H549"/>
    <mergeCell ref="I548:I549"/>
    <mergeCell ref="J548:J549"/>
    <mergeCell ref="X546:X547"/>
    <mergeCell ref="Y546:Y547"/>
    <mergeCell ref="Z546:Z547"/>
    <mergeCell ref="AA546:AA547"/>
    <mergeCell ref="AB546:AB547"/>
    <mergeCell ref="K546:K547"/>
    <mergeCell ref="L546:L547"/>
    <mergeCell ref="M546:M547"/>
    <mergeCell ref="N546:N547"/>
    <mergeCell ref="O546:O547"/>
    <mergeCell ref="A546:A547"/>
    <mergeCell ref="E546:E547"/>
    <mergeCell ref="H546:H547"/>
    <mergeCell ref="I546:I547"/>
    <mergeCell ref="J546:J547"/>
    <mergeCell ref="X544:X545"/>
    <mergeCell ref="Y544:Y545"/>
    <mergeCell ref="Z544:Z545"/>
    <mergeCell ref="AA544:AA545"/>
    <mergeCell ref="AB544:AB545"/>
    <mergeCell ref="K544:K545"/>
    <mergeCell ref="L544:L545"/>
    <mergeCell ref="M544:M545"/>
    <mergeCell ref="N544:N545"/>
    <mergeCell ref="O544:O545"/>
    <mergeCell ref="A544:A545"/>
    <mergeCell ref="E544:E545"/>
    <mergeCell ref="H544:H545"/>
    <mergeCell ref="I544:I545"/>
    <mergeCell ref="J544:J545"/>
    <mergeCell ref="X542:X543"/>
    <mergeCell ref="Y542:Y543"/>
    <mergeCell ref="Z542:Z543"/>
    <mergeCell ref="AA542:AA543"/>
    <mergeCell ref="AB542:AB543"/>
    <mergeCell ref="K542:K543"/>
    <mergeCell ref="L542:L543"/>
    <mergeCell ref="M542:M543"/>
    <mergeCell ref="N542:N543"/>
    <mergeCell ref="O542:O543"/>
    <mergeCell ref="A542:A543"/>
    <mergeCell ref="E542:E543"/>
    <mergeCell ref="H542:H543"/>
    <mergeCell ref="I542:I543"/>
    <mergeCell ref="J542:J543"/>
    <mergeCell ref="X540:X541"/>
    <mergeCell ref="Y540:Y541"/>
    <mergeCell ref="Z540:Z541"/>
    <mergeCell ref="AA540:AA541"/>
    <mergeCell ref="AB540:AB541"/>
    <mergeCell ref="K540:K541"/>
    <mergeCell ref="L540:L541"/>
    <mergeCell ref="M540:M541"/>
    <mergeCell ref="N540:N541"/>
    <mergeCell ref="O540:O541"/>
    <mergeCell ref="A540:A541"/>
    <mergeCell ref="E540:E541"/>
    <mergeCell ref="H540:H541"/>
    <mergeCell ref="I540:I541"/>
    <mergeCell ref="J540:J541"/>
    <mergeCell ref="X538:X539"/>
    <mergeCell ref="Y538:Y539"/>
    <mergeCell ref="Z538:Z539"/>
    <mergeCell ref="AA538:AA539"/>
    <mergeCell ref="AB538:AB539"/>
    <mergeCell ref="K538:K539"/>
    <mergeCell ref="L538:L539"/>
    <mergeCell ref="M538:M539"/>
    <mergeCell ref="N538:N539"/>
    <mergeCell ref="O538:O539"/>
    <mergeCell ref="A538:A539"/>
    <mergeCell ref="E538:E539"/>
    <mergeCell ref="H538:H539"/>
    <mergeCell ref="I538:I539"/>
    <mergeCell ref="J538:J539"/>
    <mergeCell ref="X536:X537"/>
    <mergeCell ref="Y536:Y537"/>
    <mergeCell ref="Z536:Z537"/>
    <mergeCell ref="AA536:AA537"/>
    <mergeCell ref="AB536:AB537"/>
    <mergeCell ref="K536:K537"/>
    <mergeCell ref="L536:L537"/>
    <mergeCell ref="M536:M537"/>
    <mergeCell ref="N536:N537"/>
    <mergeCell ref="O536:O537"/>
    <mergeCell ref="A536:A537"/>
    <mergeCell ref="E536:E537"/>
    <mergeCell ref="H536:H537"/>
    <mergeCell ref="I536:I537"/>
    <mergeCell ref="J536:J537"/>
    <mergeCell ref="X534:X535"/>
    <mergeCell ref="Y534:Y535"/>
    <mergeCell ref="Z534:Z535"/>
    <mergeCell ref="AA534:AA535"/>
    <mergeCell ref="AB534:AB535"/>
    <mergeCell ref="K534:K535"/>
    <mergeCell ref="L534:L535"/>
    <mergeCell ref="M534:M535"/>
    <mergeCell ref="N534:N535"/>
    <mergeCell ref="O534:O535"/>
    <mergeCell ref="A534:A535"/>
    <mergeCell ref="E534:E535"/>
    <mergeCell ref="H534:H535"/>
    <mergeCell ref="I534:I535"/>
    <mergeCell ref="J534:J535"/>
    <mergeCell ref="X532:X533"/>
    <mergeCell ref="Y532:Y533"/>
    <mergeCell ref="Z532:Z533"/>
    <mergeCell ref="AA532:AA533"/>
    <mergeCell ref="AB532:AB533"/>
    <mergeCell ref="K532:K533"/>
    <mergeCell ref="L532:L533"/>
    <mergeCell ref="M532:M533"/>
    <mergeCell ref="N532:N533"/>
    <mergeCell ref="O532:O533"/>
    <mergeCell ref="A532:A533"/>
    <mergeCell ref="E532:E533"/>
    <mergeCell ref="H532:H533"/>
    <mergeCell ref="I532:I533"/>
    <mergeCell ref="J532:J533"/>
    <mergeCell ref="X530:X531"/>
    <mergeCell ref="Y530:Y531"/>
    <mergeCell ref="Z530:Z531"/>
    <mergeCell ref="AA530:AA531"/>
    <mergeCell ref="AB530:AB531"/>
    <mergeCell ref="K530:K531"/>
    <mergeCell ref="L530:L531"/>
    <mergeCell ref="M530:M531"/>
    <mergeCell ref="N530:N531"/>
    <mergeCell ref="O530:O531"/>
    <mergeCell ref="A530:A531"/>
    <mergeCell ref="E530:E531"/>
    <mergeCell ref="H530:H531"/>
    <mergeCell ref="I530:I531"/>
    <mergeCell ref="J530:J531"/>
    <mergeCell ref="X528:X529"/>
    <mergeCell ref="Y528:Y529"/>
    <mergeCell ref="Z528:Z529"/>
    <mergeCell ref="AA528:AA529"/>
    <mergeCell ref="AB528:AB529"/>
    <mergeCell ref="K528:K529"/>
    <mergeCell ref="L528:L529"/>
    <mergeCell ref="M528:M529"/>
    <mergeCell ref="N528:N529"/>
    <mergeCell ref="O528:O529"/>
    <mergeCell ref="A528:A529"/>
    <mergeCell ref="E528:E529"/>
    <mergeCell ref="H528:H529"/>
    <mergeCell ref="I528:I529"/>
    <mergeCell ref="J528:J529"/>
    <mergeCell ref="X526:X527"/>
    <mergeCell ref="Y526:Y527"/>
    <mergeCell ref="Z526:Z527"/>
    <mergeCell ref="AA526:AA527"/>
    <mergeCell ref="AB526:AB527"/>
    <mergeCell ref="K526:K527"/>
    <mergeCell ref="L526:L527"/>
    <mergeCell ref="M526:M527"/>
    <mergeCell ref="N526:N527"/>
    <mergeCell ref="O526:O527"/>
    <mergeCell ref="A526:A527"/>
    <mergeCell ref="E526:E527"/>
    <mergeCell ref="H526:H527"/>
    <mergeCell ref="I526:I527"/>
    <mergeCell ref="J526:J527"/>
    <mergeCell ref="X524:X525"/>
    <mergeCell ref="Y524:Y525"/>
    <mergeCell ref="Z524:Z525"/>
    <mergeCell ref="AA524:AA525"/>
    <mergeCell ref="AB524:AB525"/>
    <mergeCell ref="K524:K525"/>
    <mergeCell ref="L524:L525"/>
    <mergeCell ref="M524:M525"/>
    <mergeCell ref="N524:N525"/>
    <mergeCell ref="O524:O525"/>
    <mergeCell ref="A524:A525"/>
    <mergeCell ref="E524:E525"/>
    <mergeCell ref="H524:H525"/>
    <mergeCell ref="I524:I525"/>
    <mergeCell ref="J524:J525"/>
    <mergeCell ref="X522:X523"/>
    <mergeCell ref="Y522:Y523"/>
    <mergeCell ref="Z522:Z523"/>
    <mergeCell ref="AA522:AA523"/>
    <mergeCell ref="AB522:AB523"/>
    <mergeCell ref="K522:K523"/>
    <mergeCell ref="L522:L523"/>
    <mergeCell ref="M522:M523"/>
    <mergeCell ref="N522:N523"/>
    <mergeCell ref="O522:O523"/>
    <mergeCell ref="A522:A523"/>
    <mergeCell ref="E522:E523"/>
    <mergeCell ref="H522:H523"/>
    <mergeCell ref="I522:I523"/>
    <mergeCell ref="J522:J523"/>
    <mergeCell ref="X520:X521"/>
    <mergeCell ref="Y520:Y521"/>
    <mergeCell ref="Z520:Z521"/>
    <mergeCell ref="AA520:AA521"/>
    <mergeCell ref="AB520:AB521"/>
    <mergeCell ref="K520:K521"/>
    <mergeCell ref="L520:L521"/>
    <mergeCell ref="M520:M521"/>
    <mergeCell ref="N520:N521"/>
    <mergeCell ref="O520:O521"/>
    <mergeCell ref="A520:A521"/>
    <mergeCell ref="E520:E521"/>
    <mergeCell ref="H520:H521"/>
    <mergeCell ref="I520:I521"/>
    <mergeCell ref="J520:J521"/>
    <mergeCell ref="X518:X519"/>
    <mergeCell ref="Y518:Y519"/>
    <mergeCell ref="Z518:Z519"/>
    <mergeCell ref="AA518:AA519"/>
    <mergeCell ref="AB518:AB519"/>
    <mergeCell ref="K518:K519"/>
    <mergeCell ref="L518:L519"/>
    <mergeCell ref="M518:M519"/>
    <mergeCell ref="N518:N519"/>
    <mergeCell ref="O518:O519"/>
    <mergeCell ref="A518:A519"/>
    <mergeCell ref="E518:E519"/>
    <mergeCell ref="H518:H519"/>
    <mergeCell ref="I518:I519"/>
    <mergeCell ref="J518:J519"/>
    <mergeCell ref="X516:X517"/>
    <mergeCell ref="Y516:Y517"/>
    <mergeCell ref="Z516:Z517"/>
    <mergeCell ref="AA516:AA517"/>
    <mergeCell ref="AB516:AB517"/>
    <mergeCell ref="K516:K517"/>
    <mergeCell ref="L516:L517"/>
    <mergeCell ref="M516:M517"/>
    <mergeCell ref="N516:N517"/>
    <mergeCell ref="O516:O517"/>
    <mergeCell ref="A516:A517"/>
    <mergeCell ref="E516:E517"/>
    <mergeCell ref="H516:H517"/>
    <mergeCell ref="I516:I517"/>
    <mergeCell ref="J516:J517"/>
    <mergeCell ref="X514:X515"/>
    <mergeCell ref="Y514:Y515"/>
    <mergeCell ref="Z514:Z515"/>
    <mergeCell ref="AA514:AA515"/>
    <mergeCell ref="AB514:AB515"/>
    <mergeCell ref="K514:K515"/>
    <mergeCell ref="L514:L515"/>
    <mergeCell ref="M514:M515"/>
    <mergeCell ref="N514:N515"/>
    <mergeCell ref="O514:O515"/>
    <mergeCell ref="A514:A515"/>
    <mergeCell ref="E514:E515"/>
    <mergeCell ref="H514:H515"/>
    <mergeCell ref="I514:I515"/>
    <mergeCell ref="J514:J515"/>
    <mergeCell ref="X512:X513"/>
    <mergeCell ref="Y512:Y513"/>
    <mergeCell ref="Z512:Z513"/>
    <mergeCell ref="AA512:AA513"/>
    <mergeCell ref="AB512:AB513"/>
    <mergeCell ref="K512:K513"/>
    <mergeCell ref="L512:L513"/>
    <mergeCell ref="M512:M513"/>
    <mergeCell ref="N512:N513"/>
    <mergeCell ref="O512:O513"/>
    <mergeCell ref="A512:A513"/>
    <mergeCell ref="E512:E513"/>
    <mergeCell ref="H512:H513"/>
    <mergeCell ref="I512:I513"/>
    <mergeCell ref="J512:J513"/>
    <mergeCell ref="X510:X511"/>
    <mergeCell ref="Y510:Y511"/>
    <mergeCell ref="Z510:Z511"/>
    <mergeCell ref="AA510:AA511"/>
    <mergeCell ref="AB510:AB511"/>
    <mergeCell ref="K510:K511"/>
    <mergeCell ref="L510:L511"/>
    <mergeCell ref="M510:M511"/>
    <mergeCell ref="N510:N511"/>
    <mergeCell ref="O510:O511"/>
    <mergeCell ref="A510:A511"/>
    <mergeCell ref="E510:E511"/>
    <mergeCell ref="H510:H511"/>
    <mergeCell ref="I510:I511"/>
    <mergeCell ref="J510:J511"/>
    <mergeCell ref="X508:X509"/>
    <mergeCell ref="Y508:Y509"/>
    <mergeCell ref="Z508:Z509"/>
    <mergeCell ref="AA508:AA509"/>
    <mergeCell ref="AB508:AB509"/>
    <mergeCell ref="K508:K509"/>
    <mergeCell ref="L508:L509"/>
    <mergeCell ref="M508:M509"/>
    <mergeCell ref="N508:N509"/>
    <mergeCell ref="O508:O509"/>
    <mergeCell ref="A508:A509"/>
    <mergeCell ref="E508:E509"/>
    <mergeCell ref="H508:H509"/>
    <mergeCell ref="I508:I509"/>
    <mergeCell ref="J508:J509"/>
    <mergeCell ref="X506:X507"/>
    <mergeCell ref="Y506:Y507"/>
    <mergeCell ref="Z506:Z507"/>
    <mergeCell ref="AA506:AA507"/>
    <mergeCell ref="AB506:AB507"/>
    <mergeCell ref="K506:K507"/>
    <mergeCell ref="L506:L507"/>
    <mergeCell ref="M506:M507"/>
    <mergeCell ref="N506:N507"/>
    <mergeCell ref="O506:O507"/>
    <mergeCell ref="A506:A507"/>
    <mergeCell ref="E506:E507"/>
    <mergeCell ref="H506:H507"/>
    <mergeCell ref="I506:I507"/>
    <mergeCell ref="J506:J507"/>
    <mergeCell ref="X504:X505"/>
    <mergeCell ref="Y504:Y505"/>
    <mergeCell ref="Z504:Z505"/>
    <mergeCell ref="AA504:AA505"/>
    <mergeCell ref="AB504:AB505"/>
    <mergeCell ref="K504:K505"/>
    <mergeCell ref="L504:L505"/>
    <mergeCell ref="M504:M505"/>
    <mergeCell ref="N504:N505"/>
    <mergeCell ref="O504:O505"/>
    <mergeCell ref="A504:A505"/>
    <mergeCell ref="E504:E505"/>
    <mergeCell ref="H504:H505"/>
    <mergeCell ref="I504:I505"/>
    <mergeCell ref="J504:J505"/>
    <mergeCell ref="X502:X503"/>
    <mergeCell ref="Y502:Y503"/>
    <mergeCell ref="Z502:Z503"/>
    <mergeCell ref="AA502:AA503"/>
    <mergeCell ref="AB502:AB503"/>
    <mergeCell ref="K502:K503"/>
    <mergeCell ref="L502:L503"/>
    <mergeCell ref="M502:M503"/>
    <mergeCell ref="N502:N503"/>
    <mergeCell ref="O502:O503"/>
    <mergeCell ref="A502:A503"/>
    <mergeCell ref="E502:E503"/>
    <mergeCell ref="H502:H503"/>
    <mergeCell ref="I502:I503"/>
    <mergeCell ref="J502:J503"/>
    <mergeCell ref="X500:X501"/>
    <mergeCell ref="Y500:Y501"/>
    <mergeCell ref="Z500:Z501"/>
    <mergeCell ref="AA500:AA501"/>
    <mergeCell ref="AB500:AB501"/>
    <mergeCell ref="K500:K501"/>
    <mergeCell ref="L500:L501"/>
    <mergeCell ref="M500:M501"/>
    <mergeCell ref="N500:N501"/>
    <mergeCell ref="O500:O501"/>
    <mergeCell ref="A500:A501"/>
    <mergeCell ref="E500:E501"/>
    <mergeCell ref="H500:H501"/>
    <mergeCell ref="I500:I501"/>
    <mergeCell ref="J500:J501"/>
    <mergeCell ref="X498:X499"/>
    <mergeCell ref="Y498:Y499"/>
    <mergeCell ref="Z498:Z499"/>
    <mergeCell ref="AA498:AA499"/>
    <mergeCell ref="AB498:AB499"/>
    <mergeCell ref="K498:K499"/>
    <mergeCell ref="L498:L499"/>
    <mergeCell ref="M498:M499"/>
    <mergeCell ref="N498:N499"/>
    <mergeCell ref="O498:O499"/>
    <mergeCell ref="A498:A499"/>
    <mergeCell ref="E498:E499"/>
    <mergeCell ref="H498:H499"/>
    <mergeCell ref="I498:I499"/>
    <mergeCell ref="J498:J499"/>
    <mergeCell ref="X496:X497"/>
    <mergeCell ref="Y496:Y497"/>
    <mergeCell ref="Z496:Z497"/>
    <mergeCell ref="AA496:AA497"/>
    <mergeCell ref="AB496:AB497"/>
    <mergeCell ref="K496:K497"/>
    <mergeCell ref="L496:L497"/>
    <mergeCell ref="M496:M497"/>
    <mergeCell ref="N496:N497"/>
    <mergeCell ref="O496:O497"/>
    <mergeCell ref="A496:A497"/>
    <mergeCell ref="E496:E497"/>
    <mergeCell ref="H496:H497"/>
    <mergeCell ref="I496:I497"/>
    <mergeCell ref="J496:J497"/>
    <mergeCell ref="X494:X495"/>
    <mergeCell ref="Y494:Y495"/>
    <mergeCell ref="Z494:Z495"/>
    <mergeCell ref="AA494:AA495"/>
    <mergeCell ref="AB494:AB495"/>
    <mergeCell ref="K494:K495"/>
    <mergeCell ref="L494:L495"/>
    <mergeCell ref="M494:M495"/>
    <mergeCell ref="N494:N495"/>
    <mergeCell ref="O494:O495"/>
    <mergeCell ref="A494:A495"/>
    <mergeCell ref="E494:E495"/>
    <mergeCell ref="H494:H495"/>
    <mergeCell ref="I494:I495"/>
    <mergeCell ref="J494:J495"/>
    <mergeCell ref="X492:X493"/>
    <mergeCell ref="Y492:Y493"/>
    <mergeCell ref="Z492:Z493"/>
    <mergeCell ref="AA492:AA493"/>
    <mergeCell ref="AB492:AB493"/>
    <mergeCell ref="K492:K493"/>
    <mergeCell ref="L492:L493"/>
    <mergeCell ref="M492:M493"/>
    <mergeCell ref="N492:N493"/>
    <mergeCell ref="O492:O493"/>
    <mergeCell ref="A492:A493"/>
    <mergeCell ref="E492:E493"/>
    <mergeCell ref="H492:H493"/>
    <mergeCell ref="I492:I493"/>
    <mergeCell ref="J492:J493"/>
    <mergeCell ref="X490:X491"/>
    <mergeCell ref="Y490:Y491"/>
    <mergeCell ref="Z490:Z491"/>
    <mergeCell ref="AA490:AA491"/>
    <mergeCell ref="AB490:AB491"/>
    <mergeCell ref="K490:K491"/>
    <mergeCell ref="L490:L491"/>
    <mergeCell ref="M490:M491"/>
    <mergeCell ref="N490:N491"/>
    <mergeCell ref="O490:O491"/>
    <mergeCell ref="A490:A491"/>
    <mergeCell ref="E490:E491"/>
    <mergeCell ref="H490:H491"/>
    <mergeCell ref="I490:I491"/>
    <mergeCell ref="J490:J491"/>
    <mergeCell ref="X488:X489"/>
    <mergeCell ref="Y488:Y489"/>
    <mergeCell ref="Z488:Z489"/>
    <mergeCell ref="AA488:AA489"/>
    <mergeCell ref="AB488:AB489"/>
    <mergeCell ref="K488:K489"/>
    <mergeCell ref="L488:L489"/>
    <mergeCell ref="M488:M489"/>
    <mergeCell ref="N488:N489"/>
    <mergeCell ref="O488:O489"/>
    <mergeCell ref="A488:A489"/>
    <mergeCell ref="E488:E489"/>
    <mergeCell ref="H488:H489"/>
    <mergeCell ref="I488:I489"/>
    <mergeCell ref="J488:J489"/>
    <mergeCell ref="X486:X487"/>
    <mergeCell ref="Y486:Y487"/>
    <mergeCell ref="Z486:Z487"/>
    <mergeCell ref="AA486:AA487"/>
    <mergeCell ref="AB486:AB487"/>
    <mergeCell ref="K486:K487"/>
    <mergeCell ref="L486:L487"/>
    <mergeCell ref="M486:M487"/>
    <mergeCell ref="N486:N487"/>
    <mergeCell ref="O486:O487"/>
    <mergeCell ref="A486:A487"/>
    <mergeCell ref="E486:E487"/>
    <mergeCell ref="H486:H487"/>
    <mergeCell ref="I486:I487"/>
    <mergeCell ref="J486:J487"/>
    <mergeCell ref="X484:X485"/>
    <mergeCell ref="Y484:Y485"/>
    <mergeCell ref="Z484:Z485"/>
    <mergeCell ref="AA484:AA485"/>
    <mergeCell ref="AB484:AB485"/>
    <mergeCell ref="K484:K485"/>
    <mergeCell ref="L484:L485"/>
    <mergeCell ref="M484:M485"/>
    <mergeCell ref="N484:N485"/>
    <mergeCell ref="O484:O485"/>
    <mergeCell ref="A484:A485"/>
    <mergeCell ref="E484:E485"/>
    <mergeCell ref="H484:H485"/>
    <mergeCell ref="I484:I485"/>
    <mergeCell ref="J484:J485"/>
    <mergeCell ref="X482:X483"/>
    <mergeCell ref="Y482:Y483"/>
    <mergeCell ref="Z482:Z483"/>
    <mergeCell ref="AA482:AA483"/>
    <mergeCell ref="AB482:AB483"/>
    <mergeCell ref="K482:K483"/>
    <mergeCell ref="L482:L483"/>
    <mergeCell ref="M482:M483"/>
    <mergeCell ref="N482:N483"/>
    <mergeCell ref="O482:O483"/>
    <mergeCell ref="A482:A483"/>
    <mergeCell ref="E482:E483"/>
    <mergeCell ref="H482:H483"/>
    <mergeCell ref="I482:I483"/>
    <mergeCell ref="J482:J483"/>
    <mergeCell ref="X480:X481"/>
    <mergeCell ref="Y480:Y481"/>
    <mergeCell ref="Z480:Z481"/>
    <mergeCell ref="AA480:AA481"/>
    <mergeCell ref="AB480:AB481"/>
    <mergeCell ref="K480:K481"/>
    <mergeCell ref="L480:L481"/>
    <mergeCell ref="M480:M481"/>
    <mergeCell ref="N480:N481"/>
    <mergeCell ref="O480:O481"/>
    <mergeCell ref="A480:A481"/>
    <mergeCell ref="E480:E481"/>
    <mergeCell ref="H480:H481"/>
    <mergeCell ref="I480:I481"/>
    <mergeCell ref="J480:J481"/>
    <mergeCell ref="X478:X479"/>
    <mergeCell ref="Y478:Y479"/>
    <mergeCell ref="Z478:Z479"/>
    <mergeCell ref="AA478:AA479"/>
    <mergeCell ref="AB478:AB479"/>
    <mergeCell ref="K478:K479"/>
    <mergeCell ref="L478:L479"/>
    <mergeCell ref="M478:M479"/>
    <mergeCell ref="N478:N479"/>
    <mergeCell ref="O478:O479"/>
    <mergeCell ref="A478:A479"/>
    <mergeCell ref="E478:E479"/>
    <mergeCell ref="H478:H479"/>
    <mergeCell ref="I478:I479"/>
    <mergeCell ref="J478:J479"/>
    <mergeCell ref="X476:X477"/>
    <mergeCell ref="Y476:Y477"/>
    <mergeCell ref="Z476:Z477"/>
    <mergeCell ref="AA476:AA477"/>
    <mergeCell ref="AB476:AB477"/>
    <mergeCell ref="K476:K477"/>
    <mergeCell ref="L476:L477"/>
    <mergeCell ref="M476:M477"/>
    <mergeCell ref="N476:N477"/>
    <mergeCell ref="O476:O477"/>
    <mergeCell ref="A476:A477"/>
    <mergeCell ref="E476:E477"/>
    <mergeCell ref="H476:H477"/>
    <mergeCell ref="I476:I477"/>
    <mergeCell ref="J476:J477"/>
    <mergeCell ref="X474:X475"/>
    <mergeCell ref="Y474:Y475"/>
    <mergeCell ref="Z474:Z475"/>
    <mergeCell ref="AA474:AA475"/>
    <mergeCell ref="AB474:AB475"/>
    <mergeCell ref="K474:K475"/>
    <mergeCell ref="L474:L475"/>
    <mergeCell ref="M474:M475"/>
    <mergeCell ref="N474:N475"/>
    <mergeCell ref="O474:O475"/>
    <mergeCell ref="A474:A475"/>
    <mergeCell ref="E474:E475"/>
    <mergeCell ref="H474:H475"/>
    <mergeCell ref="I474:I475"/>
    <mergeCell ref="J474:J475"/>
    <mergeCell ref="X472:X473"/>
    <mergeCell ref="Y472:Y473"/>
    <mergeCell ref="Z472:Z473"/>
    <mergeCell ref="AA472:AA473"/>
    <mergeCell ref="AB472:AB473"/>
    <mergeCell ref="K472:K473"/>
    <mergeCell ref="L472:L473"/>
    <mergeCell ref="M472:M473"/>
    <mergeCell ref="N472:N473"/>
    <mergeCell ref="O472:O473"/>
    <mergeCell ref="A472:A473"/>
    <mergeCell ref="E472:E473"/>
    <mergeCell ref="H472:H473"/>
    <mergeCell ref="I472:I473"/>
    <mergeCell ref="J472:J473"/>
    <mergeCell ref="X470:X471"/>
    <mergeCell ref="Y470:Y471"/>
    <mergeCell ref="Z470:Z471"/>
    <mergeCell ref="AA470:AA471"/>
    <mergeCell ref="AB470:AB471"/>
    <mergeCell ref="K470:K471"/>
    <mergeCell ref="L470:L471"/>
    <mergeCell ref="M470:M471"/>
    <mergeCell ref="N470:N471"/>
    <mergeCell ref="O470:O471"/>
    <mergeCell ref="A470:A471"/>
    <mergeCell ref="E470:E471"/>
    <mergeCell ref="H470:H471"/>
    <mergeCell ref="I470:I471"/>
    <mergeCell ref="J470:J471"/>
    <mergeCell ref="X468:X469"/>
    <mergeCell ref="Y468:Y469"/>
    <mergeCell ref="Z468:Z469"/>
    <mergeCell ref="AA468:AA469"/>
    <mergeCell ref="AB468:AB469"/>
    <mergeCell ref="K468:K469"/>
    <mergeCell ref="L468:L469"/>
    <mergeCell ref="M468:M469"/>
    <mergeCell ref="N468:N469"/>
    <mergeCell ref="O468:O469"/>
    <mergeCell ref="A468:A469"/>
    <mergeCell ref="E468:E469"/>
    <mergeCell ref="H468:H469"/>
    <mergeCell ref="I468:I469"/>
    <mergeCell ref="J468:J469"/>
    <mergeCell ref="X466:X467"/>
    <mergeCell ref="Y466:Y467"/>
    <mergeCell ref="Z466:Z467"/>
    <mergeCell ref="AA466:AA467"/>
    <mergeCell ref="AB466:AB467"/>
    <mergeCell ref="K466:K467"/>
    <mergeCell ref="L466:L467"/>
    <mergeCell ref="M466:M467"/>
    <mergeCell ref="N466:N467"/>
    <mergeCell ref="O466:O467"/>
    <mergeCell ref="A466:A467"/>
    <mergeCell ref="E466:E467"/>
    <mergeCell ref="H466:H467"/>
    <mergeCell ref="I466:I467"/>
    <mergeCell ref="J466:J467"/>
    <mergeCell ref="X464:X465"/>
    <mergeCell ref="Y464:Y465"/>
    <mergeCell ref="Z464:Z465"/>
    <mergeCell ref="AA464:AA465"/>
    <mergeCell ref="AB464:AB465"/>
    <mergeCell ref="K464:K465"/>
    <mergeCell ref="L464:L465"/>
    <mergeCell ref="M464:M465"/>
    <mergeCell ref="N464:N465"/>
    <mergeCell ref="O464:O465"/>
    <mergeCell ref="A464:A465"/>
    <mergeCell ref="E464:E465"/>
    <mergeCell ref="H464:H465"/>
    <mergeCell ref="I464:I465"/>
    <mergeCell ref="J464:J465"/>
    <mergeCell ref="X462:X463"/>
    <mergeCell ref="Y462:Y463"/>
    <mergeCell ref="Z462:Z463"/>
    <mergeCell ref="AA462:AA463"/>
    <mergeCell ref="AB462:AB463"/>
    <mergeCell ref="K462:K463"/>
    <mergeCell ref="L462:L463"/>
    <mergeCell ref="M462:M463"/>
    <mergeCell ref="N462:N463"/>
    <mergeCell ref="O462:O463"/>
    <mergeCell ref="A462:A463"/>
    <mergeCell ref="E462:E463"/>
    <mergeCell ref="H462:H463"/>
    <mergeCell ref="I462:I463"/>
    <mergeCell ref="J462:J463"/>
    <mergeCell ref="X460:X461"/>
    <mergeCell ref="Y460:Y461"/>
    <mergeCell ref="Z460:Z461"/>
    <mergeCell ref="AA460:AA461"/>
    <mergeCell ref="AB460:AB461"/>
    <mergeCell ref="K460:K461"/>
    <mergeCell ref="L460:L461"/>
    <mergeCell ref="M460:M461"/>
    <mergeCell ref="N460:N461"/>
    <mergeCell ref="O460:O461"/>
    <mergeCell ref="A460:A461"/>
    <mergeCell ref="E460:E461"/>
    <mergeCell ref="H460:H461"/>
    <mergeCell ref="I460:I461"/>
    <mergeCell ref="J460:J461"/>
    <mergeCell ref="X458:X459"/>
    <mergeCell ref="Y458:Y459"/>
    <mergeCell ref="Z458:Z459"/>
    <mergeCell ref="AA458:AA459"/>
    <mergeCell ref="AB458:AB459"/>
    <mergeCell ref="K458:K459"/>
    <mergeCell ref="L458:L459"/>
    <mergeCell ref="M458:M459"/>
    <mergeCell ref="N458:N459"/>
    <mergeCell ref="O458:O459"/>
    <mergeCell ref="A458:A459"/>
    <mergeCell ref="E458:E459"/>
    <mergeCell ref="H458:H459"/>
    <mergeCell ref="I458:I459"/>
    <mergeCell ref="J458:J459"/>
    <mergeCell ref="X456:X457"/>
    <mergeCell ref="Y456:Y457"/>
    <mergeCell ref="Z456:Z457"/>
    <mergeCell ref="AA456:AA457"/>
    <mergeCell ref="AB456:AB457"/>
    <mergeCell ref="K456:K457"/>
    <mergeCell ref="L456:L457"/>
    <mergeCell ref="M456:M457"/>
    <mergeCell ref="N456:N457"/>
    <mergeCell ref="O456:O457"/>
    <mergeCell ref="A456:A457"/>
    <mergeCell ref="E456:E457"/>
    <mergeCell ref="H456:H457"/>
    <mergeCell ref="I456:I457"/>
    <mergeCell ref="J456:J457"/>
    <mergeCell ref="X454:X455"/>
    <mergeCell ref="Y454:Y455"/>
    <mergeCell ref="Z454:Z455"/>
    <mergeCell ref="AA454:AA455"/>
    <mergeCell ref="AB454:AB455"/>
    <mergeCell ref="K454:K455"/>
    <mergeCell ref="L454:L455"/>
    <mergeCell ref="M454:M455"/>
    <mergeCell ref="N454:N455"/>
    <mergeCell ref="O454:O455"/>
    <mergeCell ref="A454:A455"/>
    <mergeCell ref="E454:E455"/>
    <mergeCell ref="H454:H455"/>
    <mergeCell ref="I454:I455"/>
    <mergeCell ref="J454:J455"/>
    <mergeCell ref="X452:X453"/>
    <mergeCell ref="Y452:Y453"/>
    <mergeCell ref="Z452:Z453"/>
    <mergeCell ref="AA452:AA453"/>
    <mergeCell ref="AB452:AB453"/>
    <mergeCell ref="K452:K453"/>
    <mergeCell ref="L452:L453"/>
    <mergeCell ref="M452:M453"/>
    <mergeCell ref="N452:N453"/>
    <mergeCell ref="O452:O453"/>
    <mergeCell ref="A452:A453"/>
    <mergeCell ref="E452:E453"/>
    <mergeCell ref="H452:H453"/>
    <mergeCell ref="I452:I453"/>
    <mergeCell ref="J452:J453"/>
    <mergeCell ref="X450:X451"/>
    <mergeCell ref="Y450:Y451"/>
    <mergeCell ref="Z450:Z451"/>
    <mergeCell ref="AA450:AA451"/>
    <mergeCell ref="AB450:AB451"/>
    <mergeCell ref="K450:K451"/>
    <mergeCell ref="L450:L451"/>
    <mergeCell ref="M450:M451"/>
    <mergeCell ref="N450:N451"/>
    <mergeCell ref="O450:O451"/>
    <mergeCell ref="A450:A451"/>
    <mergeCell ref="E450:E451"/>
    <mergeCell ref="H450:H451"/>
    <mergeCell ref="I450:I451"/>
    <mergeCell ref="J450:J451"/>
    <mergeCell ref="X448:X449"/>
    <mergeCell ref="Y448:Y449"/>
    <mergeCell ref="Z448:Z449"/>
    <mergeCell ref="AA448:AA449"/>
    <mergeCell ref="AB448:AB449"/>
    <mergeCell ref="K448:K449"/>
    <mergeCell ref="L448:L449"/>
    <mergeCell ref="M448:M449"/>
    <mergeCell ref="N448:N449"/>
    <mergeCell ref="O448:O449"/>
    <mergeCell ref="A448:A449"/>
    <mergeCell ref="E448:E449"/>
    <mergeCell ref="H448:H449"/>
    <mergeCell ref="I448:I449"/>
    <mergeCell ref="J448:J449"/>
    <mergeCell ref="X446:X447"/>
    <mergeCell ref="Y446:Y447"/>
    <mergeCell ref="Z446:Z447"/>
    <mergeCell ref="AA446:AA447"/>
    <mergeCell ref="AB446:AB447"/>
    <mergeCell ref="K446:K447"/>
    <mergeCell ref="L446:L447"/>
    <mergeCell ref="M446:M447"/>
    <mergeCell ref="N446:N447"/>
    <mergeCell ref="O446:O447"/>
    <mergeCell ref="A446:A447"/>
    <mergeCell ref="E446:E447"/>
    <mergeCell ref="H446:H447"/>
    <mergeCell ref="I446:I447"/>
    <mergeCell ref="J446:J447"/>
    <mergeCell ref="X444:X445"/>
    <mergeCell ref="Y444:Y445"/>
    <mergeCell ref="Z444:Z445"/>
    <mergeCell ref="AA444:AA445"/>
    <mergeCell ref="AB444:AB445"/>
    <mergeCell ref="K444:K445"/>
    <mergeCell ref="L444:L445"/>
    <mergeCell ref="M444:M445"/>
    <mergeCell ref="N444:N445"/>
    <mergeCell ref="O444:O445"/>
    <mergeCell ref="A444:A445"/>
    <mergeCell ref="E444:E445"/>
    <mergeCell ref="H444:H445"/>
    <mergeCell ref="I444:I445"/>
    <mergeCell ref="J444:J445"/>
    <mergeCell ref="X442:X443"/>
    <mergeCell ref="Y442:Y443"/>
    <mergeCell ref="Z442:Z443"/>
    <mergeCell ref="AA442:AA443"/>
    <mergeCell ref="AB442:AB443"/>
    <mergeCell ref="K442:K443"/>
    <mergeCell ref="L442:L443"/>
    <mergeCell ref="M442:M443"/>
    <mergeCell ref="N442:N443"/>
    <mergeCell ref="O442:O443"/>
    <mergeCell ref="A442:A443"/>
    <mergeCell ref="E442:E443"/>
    <mergeCell ref="H442:H443"/>
    <mergeCell ref="I442:I443"/>
    <mergeCell ref="J442:J443"/>
    <mergeCell ref="X440:X441"/>
    <mergeCell ref="Y440:Y441"/>
    <mergeCell ref="Z440:Z441"/>
    <mergeCell ref="AA440:AA441"/>
    <mergeCell ref="AB440:AB441"/>
    <mergeCell ref="K440:K441"/>
    <mergeCell ref="L440:L441"/>
    <mergeCell ref="M440:M441"/>
    <mergeCell ref="N440:N441"/>
    <mergeCell ref="O440:O441"/>
    <mergeCell ref="A440:A441"/>
    <mergeCell ref="E440:E441"/>
    <mergeCell ref="H440:H441"/>
    <mergeCell ref="I440:I441"/>
    <mergeCell ref="J440:J441"/>
    <mergeCell ref="X438:X439"/>
    <mergeCell ref="Y438:Y439"/>
    <mergeCell ref="Z438:Z439"/>
    <mergeCell ref="AA438:AA439"/>
    <mergeCell ref="AB438:AB439"/>
    <mergeCell ref="K438:K439"/>
    <mergeCell ref="L438:L439"/>
    <mergeCell ref="M438:M439"/>
    <mergeCell ref="N438:N439"/>
    <mergeCell ref="O438:O439"/>
    <mergeCell ref="A438:A439"/>
    <mergeCell ref="E438:E439"/>
    <mergeCell ref="H438:H439"/>
    <mergeCell ref="I438:I439"/>
    <mergeCell ref="J438:J439"/>
    <mergeCell ref="X436:X437"/>
    <mergeCell ref="Y436:Y437"/>
    <mergeCell ref="Z436:Z437"/>
    <mergeCell ref="AA436:AA437"/>
    <mergeCell ref="AB436:AB437"/>
    <mergeCell ref="K436:K437"/>
    <mergeCell ref="L436:L437"/>
    <mergeCell ref="M436:M437"/>
    <mergeCell ref="N436:N437"/>
    <mergeCell ref="O436:O437"/>
    <mergeCell ref="A436:A437"/>
    <mergeCell ref="E436:E437"/>
    <mergeCell ref="H436:H437"/>
    <mergeCell ref="I436:I437"/>
    <mergeCell ref="J436:J437"/>
    <mergeCell ref="X434:X435"/>
    <mergeCell ref="Y434:Y435"/>
    <mergeCell ref="Z434:Z435"/>
    <mergeCell ref="AA434:AA435"/>
    <mergeCell ref="AB434:AB435"/>
    <mergeCell ref="K434:K435"/>
    <mergeCell ref="L434:L435"/>
    <mergeCell ref="M434:M435"/>
    <mergeCell ref="N434:N435"/>
    <mergeCell ref="O434:O435"/>
    <mergeCell ref="A434:A435"/>
    <mergeCell ref="E434:E435"/>
    <mergeCell ref="H434:H435"/>
    <mergeCell ref="I434:I435"/>
    <mergeCell ref="J434:J435"/>
    <mergeCell ref="X432:X433"/>
    <mergeCell ref="Y432:Y433"/>
    <mergeCell ref="Z432:Z433"/>
    <mergeCell ref="AA432:AA433"/>
    <mergeCell ref="AB432:AB433"/>
    <mergeCell ref="K432:K433"/>
    <mergeCell ref="L432:L433"/>
    <mergeCell ref="M432:M433"/>
    <mergeCell ref="N432:N433"/>
    <mergeCell ref="O432:O433"/>
    <mergeCell ref="A432:A433"/>
    <mergeCell ref="E432:E433"/>
    <mergeCell ref="H432:H433"/>
    <mergeCell ref="I432:I433"/>
    <mergeCell ref="J432:J433"/>
    <mergeCell ref="X430:X431"/>
    <mergeCell ref="Y430:Y431"/>
    <mergeCell ref="Z430:Z431"/>
    <mergeCell ref="AA430:AA431"/>
    <mergeCell ref="AB430:AB431"/>
    <mergeCell ref="K430:K431"/>
    <mergeCell ref="L430:L431"/>
    <mergeCell ref="M430:M431"/>
    <mergeCell ref="N430:N431"/>
    <mergeCell ref="O430:O431"/>
    <mergeCell ref="A430:A431"/>
    <mergeCell ref="E430:E431"/>
    <mergeCell ref="H430:H431"/>
    <mergeCell ref="I430:I431"/>
    <mergeCell ref="J430:J431"/>
    <mergeCell ref="X428:X429"/>
    <mergeCell ref="Y428:Y429"/>
    <mergeCell ref="Z428:Z429"/>
    <mergeCell ref="AA428:AA429"/>
    <mergeCell ref="AB428:AB429"/>
    <mergeCell ref="K428:K429"/>
    <mergeCell ref="L428:L429"/>
    <mergeCell ref="M428:M429"/>
    <mergeCell ref="N428:N429"/>
    <mergeCell ref="O428:O429"/>
    <mergeCell ref="A428:A429"/>
    <mergeCell ref="E428:E429"/>
    <mergeCell ref="H428:H429"/>
    <mergeCell ref="I428:I429"/>
    <mergeCell ref="J428:J429"/>
    <mergeCell ref="X426:X427"/>
    <mergeCell ref="Y426:Y427"/>
    <mergeCell ref="Z426:Z427"/>
    <mergeCell ref="AA426:AA427"/>
    <mergeCell ref="AB426:AB427"/>
    <mergeCell ref="K426:K427"/>
    <mergeCell ref="L426:L427"/>
    <mergeCell ref="M426:M427"/>
    <mergeCell ref="N426:N427"/>
    <mergeCell ref="O426:O427"/>
    <mergeCell ref="A426:A427"/>
    <mergeCell ref="E426:E427"/>
    <mergeCell ref="H426:H427"/>
    <mergeCell ref="I426:I427"/>
    <mergeCell ref="J426:J427"/>
    <mergeCell ref="X424:X425"/>
    <mergeCell ref="Y424:Y425"/>
    <mergeCell ref="Z424:Z425"/>
    <mergeCell ref="AA424:AA425"/>
    <mergeCell ref="AB424:AB425"/>
    <mergeCell ref="K424:K425"/>
    <mergeCell ref="L424:L425"/>
    <mergeCell ref="M424:M425"/>
    <mergeCell ref="N424:N425"/>
    <mergeCell ref="O424:O425"/>
    <mergeCell ref="A424:A425"/>
    <mergeCell ref="E424:E425"/>
    <mergeCell ref="H424:H425"/>
    <mergeCell ref="I424:I425"/>
    <mergeCell ref="J424:J425"/>
    <mergeCell ref="X422:X423"/>
    <mergeCell ref="Y422:Y423"/>
    <mergeCell ref="Z422:Z423"/>
    <mergeCell ref="AA422:AA423"/>
    <mergeCell ref="AB422:AB423"/>
    <mergeCell ref="K422:K423"/>
    <mergeCell ref="L422:L423"/>
    <mergeCell ref="M422:M423"/>
    <mergeCell ref="N422:N423"/>
    <mergeCell ref="O422:O423"/>
    <mergeCell ref="A422:A423"/>
    <mergeCell ref="E422:E423"/>
    <mergeCell ref="H422:H423"/>
    <mergeCell ref="I422:I423"/>
    <mergeCell ref="J422:J423"/>
    <mergeCell ref="X420:X421"/>
    <mergeCell ref="Y420:Y421"/>
    <mergeCell ref="Z420:Z421"/>
    <mergeCell ref="AA420:AA421"/>
    <mergeCell ref="AB420:AB421"/>
    <mergeCell ref="K420:K421"/>
    <mergeCell ref="L420:L421"/>
    <mergeCell ref="M420:M421"/>
    <mergeCell ref="N420:N421"/>
    <mergeCell ref="O420:O421"/>
    <mergeCell ref="A420:A421"/>
    <mergeCell ref="E420:E421"/>
    <mergeCell ref="H420:H421"/>
    <mergeCell ref="I420:I421"/>
    <mergeCell ref="J420:J421"/>
    <mergeCell ref="X418:X419"/>
    <mergeCell ref="Y418:Y419"/>
    <mergeCell ref="Z418:Z419"/>
    <mergeCell ref="AA418:AA419"/>
    <mergeCell ref="AB418:AB419"/>
    <mergeCell ref="K418:K419"/>
    <mergeCell ref="L418:L419"/>
    <mergeCell ref="M418:M419"/>
    <mergeCell ref="N418:N419"/>
    <mergeCell ref="O418:O419"/>
    <mergeCell ref="A418:A419"/>
    <mergeCell ref="E418:E419"/>
    <mergeCell ref="H418:H419"/>
    <mergeCell ref="I418:I419"/>
    <mergeCell ref="J418:J419"/>
    <mergeCell ref="X416:X417"/>
    <mergeCell ref="Y416:Y417"/>
    <mergeCell ref="Z416:Z417"/>
    <mergeCell ref="AA416:AA417"/>
    <mergeCell ref="AB416:AB417"/>
    <mergeCell ref="K416:K417"/>
    <mergeCell ref="L416:L417"/>
    <mergeCell ref="M416:M417"/>
    <mergeCell ref="N416:N417"/>
    <mergeCell ref="O416:O417"/>
    <mergeCell ref="A416:A417"/>
    <mergeCell ref="E416:E417"/>
    <mergeCell ref="H416:H417"/>
    <mergeCell ref="I416:I417"/>
    <mergeCell ref="J416:J417"/>
    <mergeCell ref="X414:X415"/>
    <mergeCell ref="Y414:Y415"/>
    <mergeCell ref="Z414:Z415"/>
    <mergeCell ref="AA414:AA415"/>
    <mergeCell ref="AB414:AB415"/>
    <mergeCell ref="K414:K415"/>
    <mergeCell ref="L414:L415"/>
    <mergeCell ref="M414:M415"/>
    <mergeCell ref="N414:N415"/>
    <mergeCell ref="O414:O415"/>
    <mergeCell ref="A414:A415"/>
    <mergeCell ref="E414:E415"/>
    <mergeCell ref="H414:H415"/>
    <mergeCell ref="I414:I415"/>
    <mergeCell ref="J414:J415"/>
    <mergeCell ref="X412:X413"/>
    <mergeCell ref="Y412:Y413"/>
    <mergeCell ref="Z412:Z413"/>
    <mergeCell ref="AA412:AA413"/>
    <mergeCell ref="AB412:AB413"/>
    <mergeCell ref="K412:K413"/>
    <mergeCell ref="L412:L413"/>
    <mergeCell ref="M412:M413"/>
    <mergeCell ref="N412:N413"/>
    <mergeCell ref="O412:O413"/>
    <mergeCell ref="A412:A413"/>
    <mergeCell ref="E412:E413"/>
    <mergeCell ref="H412:H413"/>
    <mergeCell ref="I412:I413"/>
    <mergeCell ref="J412:J413"/>
    <mergeCell ref="X410:X411"/>
    <mergeCell ref="Y410:Y411"/>
    <mergeCell ref="Z410:Z411"/>
    <mergeCell ref="AA410:AA411"/>
    <mergeCell ref="AB410:AB411"/>
    <mergeCell ref="K410:K411"/>
    <mergeCell ref="L410:L411"/>
    <mergeCell ref="M410:M411"/>
    <mergeCell ref="N410:N411"/>
    <mergeCell ref="O410:O411"/>
    <mergeCell ref="A410:A411"/>
    <mergeCell ref="E410:E411"/>
    <mergeCell ref="H410:H411"/>
    <mergeCell ref="I410:I411"/>
    <mergeCell ref="J410:J411"/>
    <mergeCell ref="X408:X409"/>
    <mergeCell ref="Y408:Y409"/>
    <mergeCell ref="Z408:Z409"/>
    <mergeCell ref="AA408:AA409"/>
    <mergeCell ref="AB408:AB409"/>
    <mergeCell ref="K408:K409"/>
    <mergeCell ref="L408:L409"/>
    <mergeCell ref="M408:M409"/>
    <mergeCell ref="N408:N409"/>
    <mergeCell ref="O408:O409"/>
    <mergeCell ref="A408:A409"/>
    <mergeCell ref="E408:E409"/>
    <mergeCell ref="H408:H409"/>
    <mergeCell ref="I408:I409"/>
    <mergeCell ref="J408:J409"/>
    <mergeCell ref="X406:X407"/>
    <mergeCell ref="Y406:Y407"/>
    <mergeCell ref="Z406:Z407"/>
    <mergeCell ref="AA406:AA407"/>
    <mergeCell ref="AB406:AB407"/>
    <mergeCell ref="K406:K407"/>
    <mergeCell ref="L406:L407"/>
    <mergeCell ref="M406:M407"/>
    <mergeCell ref="N406:N407"/>
    <mergeCell ref="O406:O407"/>
    <mergeCell ref="A406:A407"/>
    <mergeCell ref="E406:E407"/>
    <mergeCell ref="H406:H407"/>
    <mergeCell ref="I406:I407"/>
    <mergeCell ref="J406:J407"/>
    <mergeCell ref="X404:X405"/>
    <mergeCell ref="Y404:Y405"/>
    <mergeCell ref="Z404:Z405"/>
    <mergeCell ref="AA404:AA405"/>
    <mergeCell ref="AB404:AB405"/>
    <mergeCell ref="K404:K405"/>
    <mergeCell ref="L404:L405"/>
    <mergeCell ref="M404:M405"/>
    <mergeCell ref="N404:N405"/>
    <mergeCell ref="O404:O405"/>
    <mergeCell ref="A404:A405"/>
    <mergeCell ref="E404:E405"/>
    <mergeCell ref="H404:H405"/>
    <mergeCell ref="I404:I405"/>
    <mergeCell ref="J404:J405"/>
    <mergeCell ref="X402:X403"/>
    <mergeCell ref="Y402:Y403"/>
    <mergeCell ref="Z402:Z403"/>
    <mergeCell ref="AA402:AA403"/>
    <mergeCell ref="AB402:AB403"/>
    <mergeCell ref="K402:K403"/>
    <mergeCell ref="L402:L403"/>
    <mergeCell ref="M402:M403"/>
    <mergeCell ref="N402:N403"/>
    <mergeCell ref="O402:O403"/>
    <mergeCell ref="A402:A403"/>
    <mergeCell ref="E402:E403"/>
    <mergeCell ref="H402:H403"/>
    <mergeCell ref="I402:I403"/>
    <mergeCell ref="J402:J403"/>
    <mergeCell ref="X400:X401"/>
    <mergeCell ref="Y400:Y401"/>
    <mergeCell ref="Z400:Z401"/>
    <mergeCell ref="AA400:AA401"/>
    <mergeCell ref="AB400:AB401"/>
    <mergeCell ref="K400:K401"/>
    <mergeCell ref="L400:L401"/>
    <mergeCell ref="M400:M401"/>
    <mergeCell ref="N400:N401"/>
    <mergeCell ref="O400:O401"/>
    <mergeCell ref="A400:A401"/>
    <mergeCell ref="E400:E401"/>
    <mergeCell ref="H400:H401"/>
    <mergeCell ref="I400:I401"/>
    <mergeCell ref="J400:J401"/>
    <mergeCell ref="X398:X399"/>
    <mergeCell ref="Y398:Y399"/>
    <mergeCell ref="Z398:Z399"/>
    <mergeCell ref="AA398:AA399"/>
    <mergeCell ref="AB398:AB399"/>
    <mergeCell ref="K398:K399"/>
    <mergeCell ref="L398:L399"/>
    <mergeCell ref="M398:M399"/>
    <mergeCell ref="N398:N399"/>
    <mergeCell ref="O398:O399"/>
    <mergeCell ref="A398:A399"/>
    <mergeCell ref="E398:E399"/>
    <mergeCell ref="H398:H399"/>
    <mergeCell ref="I398:I399"/>
    <mergeCell ref="J398:J399"/>
    <mergeCell ref="X396:X397"/>
    <mergeCell ref="Y396:Y397"/>
    <mergeCell ref="Z396:Z397"/>
    <mergeCell ref="AA396:AA397"/>
    <mergeCell ref="AB396:AB397"/>
    <mergeCell ref="K396:K397"/>
    <mergeCell ref="L396:L397"/>
    <mergeCell ref="M396:M397"/>
    <mergeCell ref="N396:N397"/>
    <mergeCell ref="O396:O397"/>
    <mergeCell ref="A396:A397"/>
    <mergeCell ref="E396:E397"/>
    <mergeCell ref="H396:H397"/>
    <mergeCell ref="I396:I397"/>
    <mergeCell ref="J396:J397"/>
    <mergeCell ref="X394:X395"/>
    <mergeCell ref="Y394:Y395"/>
    <mergeCell ref="Z394:Z395"/>
    <mergeCell ref="AA394:AA395"/>
    <mergeCell ref="AB394:AB395"/>
    <mergeCell ref="K394:K395"/>
    <mergeCell ref="L394:L395"/>
    <mergeCell ref="M394:M395"/>
    <mergeCell ref="N394:N395"/>
    <mergeCell ref="O394:O395"/>
    <mergeCell ref="A394:A395"/>
    <mergeCell ref="E394:E395"/>
    <mergeCell ref="H394:H395"/>
    <mergeCell ref="I394:I395"/>
    <mergeCell ref="J394:J395"/>
    <mergeCell ref="X392:X393"/>
    <mergeCell ref="Y392:Y393"/>
    <mergeCell ref="Z392:Z393"/>
    <mergeCell ref="AA392:AA393"/>
    <mergeCell ref="AB392:AB393"/>
    <mergeCell ref="K392:K393"/>
    <mergeCell ref="L392:L393"/>
    <mergeCell ref="M392:M393"/>
    <mergeCell ref="N392:N393"/>
    <mergeCell ref="O392:O393"/>
    <mergeCell ref="A392:A393"/>
    <mergeCell ref="E392:E393"/>
    <mergeCell ref="H392:H393"/>
    <mergeCell ref="I392:I393"/>
    <mergeCell ref="J392:J393"/>
    <mergeCell ref="X390:X391"/>
    <mergeCell ref="Y390:Y391"/>
    <mergeCell ref="Z390:Z391"/>
    <mergeCell ref="AA390:AA391"/>
    <mergeCell ref="AB390:AB391"/>
    <mergeCell ref="K390:K391"/>
    <mergeCell ref="L390:L391"/>
    <mergeCell ref="M390:M391"/>
    <mergeCell ref="N390:N391"/>
    <mergeCell ref="O390:O391"/>
    <mergeCell ref="A390:A391"/>
    <mergeCell ref="E390:E391"/>
    <mergeCell ref="H390:H391"/>
    <mergeCell ref="I390:I391"/>
    <mergeCell ref="J390:J391"/>
    <mergeCell ref="X388:X389"/>
    <mergeCell ref="Y388:Y389"/>
    <mergeCell ref="Z388:Z389"/>
    <mergeCell ref="AA388:AA389"/>
    <mergeCell ref="AB388:AB389"/>
    <mergeCell ref="K388:K389"/>
    <mergeCell ref="L388:L389"/>
    <mergeCell ref="M388:M389"/>
    <mergeCell ref="N388:N389"/>
    <mergeCell ref="O388:O389"/>
    <mergeCell ref="A388:A389"/>
    <mergeCell ref="E388:E389"/>
    <mergeCell ref="H388:H389"/>
    <mergeCell ref="I388:I389"/>
    <mergeCell ref="J388:J389"/>
    <mergeCell ref="X386:X387"/>
    <mergeCell ref="Y386:Y387"/>
    <mergeCell ref="Z386:Z387"/>
    <mergeCell ref="AA386:AA387"/>
    <mergeCell ref="AB386:AB387"/>
    <mergeCell ref="K386:K387"/>
    <mergeCell ref="L386:L387"/>
    <mergeCell ref="M386:M387"/>
    <mergeCell ref="N386:N387"/>
    <mergeCell ref="O386:O387"/>
    <mergeCell ref="A386:A387"/>
    <mergeCell ref="E386:E387"/>
    <mergeCell ref="H386:H387"/>
    <mergeCell ref="I386:I387"/>
    <mergeCell ref="J386:J387"/>
    <mergeCell ref="X384:X385"/>
    <mergeCell ref="Y384:Y385"/>
    <mergeCell ref="Z384:Z385"/>
    <mergeCell ref="AA384:AA385"/>
    <mergeCell ref="AB384:AB385"/>
    <mergeCell ref="K384:K385"/>
    <mergeCell ref="L384:L385"/>
    <mergeCell ref="M384:M385"/>
    <mergeCell ref="N384:N385"/>
    <mergeCell ref="O384:O385"/>
    <mergeCell ref="A384:A385"/>
    <mergeCell ref="E384:E385"/>
    <mergeCell ref="H384:H385"/>
    <mergeCell ref="I384:I385"/>
    <mergeCell ref="J384:J385"/>
    <mergeCell ref="X382:X383"/>
    <mergeCell ref="Y382:Y383"/>
    <mergeCell ref="Z382:Z383"/>
    <mergeCell ref="AA382:AA383"/>
    <mergeCell ref="AB382:AB383"/>
    <mergeCell ref="K382:K383"/>
    <mergeCell ref="L382:L383"/>
    <mergeCell ref="M382:M383"/>
    <mergeCell ref="N382:N383"/>
    <mergeCell ref="O382:O383"/>
    <mergeCell ref="A382:A383"/>
    <mergeCell ref="E382:E383"/>
    <mergeCell ref="H382:H383"/>
    <mergeCell ref="I382:I383"/>
    <mergeCell ref="J382:J383"/>
    <mergeCell ref="X380:X381"/>
    <mergeCell ref="Y380:Y381"/>
    <mergeCell ref="Z380:Z381"/>
    <mergeCell ref="AA380:AA381"/>
    <mergeCell ref="AB380:AB381"/>
    <mergeCell ref="K380:K381"/>
    <mergeCell ref="L380:L381"/>
    <mergeCell ref="M380:M381"/>
    <mergeCell ref="N380:N381"/>
    <mergeCell ref="O380:O381"/>
    <mergeCell ref="A380:A381"/>
    <mergeCell ref="E380:E381"/>
    <mergeCell ref="H380:H381"/>
    <mergeCell ref="I380:I381"/>
    <mergeCell ref="J380:J381"/>
    <mergeCell ref="X378:X379"/>
    <mergeCell ref="Y378:Y379"/>
    <mergeCell ref="Z378:Z379"/>
    <mergeCell ref="AA378:AA379"/>
    <mergeCell ref="AB378:AB379"/>
    <mergeCell ref="K378:K379"/>
    <mergeCell ref="L378:L379"/>
    <mergeCell ref="M378:M379"/>
    <mergeCell ref="N378:N379"/>
    <mergeCell ref="O378:O379"/>
    <mergeCell ref="A378:A379"/>
    <mergeCell ref="E378:E379"/>
    <mergeCell ref="H378:H379"/>
    <mergeCell ref="I378:I379"/>
    <mergeCell ref="J378:J379"/>
    <mergeCell ref="X376:X377"/>
    <mergeCell ref="Y376:Y377"/>
    <mergeCell ref="Z376:Z377"/>
    <mergeCell ref="AA376:AA377"/>
    <mergeCell ref="AB376:AB377"/>
    <mergeCell ref="K376:K377"/>
    <mergeCell ref="L376:L377"/>
    <mergeCell ref="M376:M377"/>
    <mergeCell ref="N376:N377"/>
    <mergeCell ref="O376:O377"/>
    <mergeCell ref="A376:A377"/>
    <mergeCell ref="E376:E377"/>
    <mergeCell ref="H376:H377"/>
    <mergeCell ref="I376:I377"/>
    <mergeCell ref="J376:J377"/>
    <mergeCell ref="X374:X375"/>
    <mergeCell ref="Y374:Y375"/>
    <mergeCell ref="Z374:Z375"/>
    <mergeCell ref="AA374:AA375"/>
    <mergeCell ref="AB374:AB375"/>
    <mergeCell ref="K374:K375"/>
    <mergeCell ref="L374:L375"/>
    <mergeCell ref="M374:M375"/>
    <mergeCell ref="N374:N375"/>
    <mergeCell ref="O374:O375"/>
    <mergeCell ref="A374:A375"/>
    <mergeCell ref="E374:E375"/>
    <mergeCell ref="H374:H375"/>
    <mergeCell ref="I374:I375"/>
    <mergeCell ref="J374:J375"/>
    <mergeCell ref="X372:X373"/>
    <mergeCell ref="Y372:Y373"/>
    <mergeCell ref="Z372:Z373"/>
    <mergeCell ref="AA372:AA373"/>
    <mergeCell ref="AB372:AB373"/>
    <mergeCell ref="K372:K373"/>
    <mergeCell ref="L372:L373"/>
    <mergeCell ref="M372:M373"/>
    <mergeCell ref="N372:N373"/>
    <mergeCell ref="O372:O373"/>
    <mergeCell ref="A372:A373"/>
    <mergeCell ref="E372:E373"/>
    <mergeCell ref="H372:H373"/>
    <mergeCell ref="I372:I373"/>
    <mergeCell ref="J372:J373"/>
    <mergeCell ref="X370:X371"/>
    <mergeCell ref="Y370:Y371"/>
    <mergeCell ref="Z370:Z371"/>
    <mergeCell ref="AA370:AA371"/>
    <mergeCell ref="AB370:AB371"/>
    <mergeCell ref="K370:K371"/>
    <mergeCell ref="L370:L371"/>
    <mergeCell ref="M370:M371"/>
    <mergeCell ref="N370:N371"/>
    <mergeCell ref="O370:O371"/>
    <mergeCell ref="A370:A371"/>
    <mergeCell ref="E370:E371"/>
    <mergeCell ref="H370:H371"/>
    <mergeCell ref="I370:I371"/>
    <mergeCell ref="J370:J371"/>
    <mergeCell ref="X368:X369"/>
    <mergeCell ref="Y368:Y369"/>
    <mergeCell ref="Z368:Z369"/>
    <mergeCell ref="AA368:AA369"/>
    <mergeCell ref="AB368:AB369"/>
    <mergeCell ref="K368:K369"/>
    <mergeCell ref="L368:L369"/>
    <mergeCell ref="M368:M369"/>
    <mergeCell ref="N368:N369"/>
    <mergeCell ref="O368:O369"/>
    <mergeCell ref="A368:A369"/>
    <mergeCell ref="E368:E369"/>
    <mergeCell ref="H368:H369"/>
    <mergeCell ref="I368:I369"/>
    <mergeCell ref="J368:J369"/>
    <mergeCell ref="X366:X367"/>
    <mergeCell ref="Y366:Y367"/>
    <mergeCell ref="Z366:Z367"/>
    <mergeCell ref="AA366:AA367"/>
    <mergeCell ref="AB366:AB367"/>
    <mergeCell ref="K366:K367"/>
    <mergeCell ref="L366:L367"/>
    <mergeCell ref="M366:M367"/>
    <mergeCell ref="N366:N367"/>
    <mergeCell ref="O366:O367"/>
    <mergeCell ref="A366:A367"/>
    <mergeCell ref="E366:E367"/>
    <mergeCell ref="H366:H367"/>
    <mergeCell ref="I366:I367"/>
    <mergeCell ref="J366:J367"/>
    <mergeCell ref="X364:X365"/>
    <mergeCell ref="Y364:Y365"/>
    <mergeCell ref="Z364:Z365"/>
    <mergeCell ref="AA364:AA365"/>
    <mergeCell ref="AB364:AB365"/>
    <mergeCell ref="K364:K365"/>
    <mergeCell ref="L364:L365"/>
    <mergeCell ref="M364:M365"/>
    <mergeCell ref="N364:N365"/>
    <mergeCell ref="O364:O365"/>
    <mergeCell ref="A364:A365"/>
    <mergeCell ref="E364:E365"/>
    <mergeCell ref="H364:H365"/>
    <mergeCell ref="I364:I365"/>
    <mergeCell ref="J364:J365"/>
    <mergeCell ref="X362:X363"/>
    <mergeCell ref="Y362:Y363"/>
    <mergeCell ref="Z362:Z363"/>
    <mergeCell ref="AA362:AA363"/>
    <mergeCell ref="AB362:AB363"/>
    <mergeCell ref="K362:K363"/>
    <mergeCell ref="L362:L363"/>
    <mergeCell ref="M362:M363"/>
    <mergeCell ref="N362:N363"/>
    <mergeCell ref="O362:O363"/>
    <mergeCell ref="A362:A363"/>
    <mergeCell ref="E362:E363"/>
    <mergeCell ref="H362:H363"/>
    <mergeCell ref="I362:I363"/>
    <mergeCell ref="J362:J363"/>
    <mergeCell ref="X360:X361"/>
    <mergeCell ref="Y360:Y361"/>
    <mergeCell ref="Z360:Z361"/>
    <mergeCell ref="AA360:AA361"/>
    <mergeCell ref="AB360:AB361"/>
    <mergeCell ref="K360:K361"/>
    <mergeCell ref="L360:L361"/>
    <mergeCell ref="M360:M361"/>
    <mergeCell ref="N360:N361"/>
    <mergeCell ref="O360:O361"/>
    <mergeCell ref="A360:A361"/>
    <mergeCell ref="E360:E361"/>
    <mergeCell ref="H360:H361"/>
    <mergeCell ref="I360:I361"/>
    <mergeCell ref="J360:J361"/>
    <mergeCell ref="X358:X359"/>
    <mergeCell ref="Y358:Y359"/>
    <mergeCell ref="Z358:Z359"/>
    <mergeCell ref="AA358:AA359"/>
    <mergeCell ref="AB358:AB359"/>
    <mergeCell ref="K358:K359"/>
    <mergeCell ref="L358:L359"/>
    <mergeCell ref="M358:M359"/>
    <mergeCell ref="N358:N359"/>
    <mergeCell ref="O358:O359"/>
    <mergeCell ref="A358:A359"/>
    <mergeCell ref="E358:E359"/>
    <mergeCell ref="H358:H359"/>
    <mergeCell ref="I358:I359"/>
    <mergeCell ref="J358:J359"/>
    <mergeCell ref="X356:X357"/>
    <mergeCell ref="Y356:Y357"/>
    <mergeCell ref="Z356:Z357"/>
    <mergeCell ref="AA356:AA357"/>
    <mergeCell ref="AB356:AB357"/>
    <mergeCell ref="K356:K357"/>
    <mergeCell ref="L356:L357"/>
    <mergeCell ref="M356:M357"/>
    <mergeCell ref="N356:N357"/>
    <mergeCell ref="O356:O357"/>
    <mergeCell ref="A356:A357"/>
    <mergeCell ref="E356:E357"/>
    <mergeCell ref="H356:H357"/>
    <mergeCell ref="I356:I357"/>
    <mergeCell ref="J356:J357"/>
    <mergeCell ref="X354:X355"/>
    <mergeCell ref="Y354:Y355"/>
    <mergeCell ref="Z354:Z355"/>
    <mergeCell ref="AA354:AA355"/>
    <mergeCell ref="AB354:AB355"/>
    <mergeCell ref="K354:K355"/>
    <mergeCell ref="L354:L355"/>
    <mergeCell ref="M354:M355"/>
    <mergeCell ref="N354:N355"/>
    <mergeCell ref="O354:O355"/>
    <mergeCell ref="A354:A355"/>
    <mergeCell ref="E354:E355"/>
    <mergeCell ref="H354:H355"/>
    <mergeCell ref="I354:I355"/>
    <mergeCell ref="J354:J355"/>
    <mergeCell ref="X352:X353"/>
    <mergeCell ref="Y352:Y353"/>
    <mergeCell ref="Z352:Z353"/>
    <mergeCell ref="AA352:AA353"/>
    <mergeCell ref="AB352:AB353"/>
    <mergeCell ref="K352:K353"/>
    <mergeCell ref="L352:L353"/>
    <mergeCell ref="M352:M353"/>
    <mergeCell ref="N352:N353"/>
    <mergeCell ref="O352:O353"/>
    <mergeCell ref="A352:A353"/>
    <mergeCell ref="E352:E353"/>
    <mergeCell ref="H352:H353"/>
    <mergeCell ref="I352:I353"/>
    <mergeCell ref="J352:J353"/>
    <mergeCell ref="X350:X351"/>
    <mergeCell ref="Y350:Y351"/>
    <mergeCell ref="Z350:Z351"/>
    <mergeCell ref="AA350:AA351"/>
    <mergeCell ref="AB350:AB351"/>
    <mergeCell ref="K350:K351"/>
    <mergeCell ref="L350:L351"/>
    <mergeCell ref="M350:M351"/>
    <mergeCell ref="N350:N351"/>
    <mergeCell ref="O350:O351"/>
    <mergeCell ref="A350:A351"/>
    <mergeCell ref="E350:E351"/>
    <mergeCell ref="H350:H351"/>
    <mergeCell ref="I350:I351"/>
    <mergeCell ref="J350:J351"/>
    <mergeCell ref="X348:X349"/>
    <mergeCell ref="Y348:Y349"/>
    <mergeCell ref="Z348:Z349"/>
    <mergeCell ref="AA348:AA349"/>
    <mergeCell ref="AB348:AB349"/>
    <mergeCell ref="K348:K349"/>
    <mergeCell ref="L348:L349"/>
    <mergeCell ref="M348:M349"/>
    <mergeCell ref="N348:N349"/>
    <mergeCell ref="O348:O349"/>
    <mergeCell ref="A348:A349"/>
    <mergeCell ref="E348:E349"/>
    <mergeCell ref="H348:H349"/>
    <mergeCell ref="I348:I349"/>
    <mergeCell ref="J348:J349"/>
    <mergeCell ref="X346:X347"/>
    <mergeCell ref="Y346:Y347"/>
    <mergeCell ref="Z346:Z347"/>
    <mergeCell ref="AA346:AA347"/>
    <mergeCell ref="AB346:AB347"/>
    <mergeCell ref="K346:K347"/>
    <mergeCell ref="L346:L347"/>
    <mergeCell ref="M346:M347"/>
    <mergeCell ref="N346:N347"/>
    <mergeCell ref="O346:O347"/>
    <mergeCell ref="A346:A347"/>
    <mergeCell ref="E346:E347"/>
    <mergeCell ref="H346:H347"/>
    <mergeCell ref="I346:I347"/>
    <mergeCell ref="J346:J347"/>
    <mergeCell ref="X344:X345"/>
    <mergeCell ref="Y344:Y345"/>
    <mergeCell ref="Z344:Z345"/>
    <mergeCell ref="AA344:AA345"/>
    <mergeCell ref="AB344:AB345"/>
    <mergeCell ref="K344:K345"/>
    <mergeCell ref="L344:L345"/>
    <mergeCell ref="M344:M345"/>
    <mergeCell ref="N344:N345"/>
    <mergeCell ref="O344:O345"/>
    <mergeCell ref="A344:A345"/>
    <mergeCell ref="E344:E345"/>
    <mergeCell ref="H344:H345"/>
    <mergeCell ref="I344:I345"/>
    <mergeCell ref="J344:J345"/>
    <mergeCell ref="X342:X343"/>
    <mergeCell ref="Y342:Y343"/>
    <mergeCell ref="Z342:Z343"/>
    <mergeCell ref="AA342:AA343"/>
    <mergeCell ref="AB342:AB343"/>
    <mergeCell ref="K342:K343"/>
    <mergeCell ref="L342:L343"/>
    <mergeCell ref="M342:M343"/>
    <mergeCell ref="N342:N343"/>
    <mergeCell ref="O342:O343"/>
    <mergeCell ref="A342:A343"/>
    <mergeCell ref="E342:E343"/>
    <mergeCell ref="H342:H343"/>
    <mergeCell ref="I342:I343"/>
    <mergeCell ref="J342:J343"/>
    <mergeCell ref="X340:X341"/>
    <mergeCell ref="Y340:Y341"/>
    <mergeCell ref="Z340:Z341"/>
    <mergeCell ref="AA340:AA341"/>
    <mergeCell ref="AB340:AB341"/>
    <mergeCell ref="K340:K341"/>
    <mergeCell ref="L340:L341"/>
    <mergeCell ref="M340:M341"/>
    <mergeCell ref="N340:N341"/>
    <mergeCell ref="O340:O341"/>
    <mergeCell ref="A340:A341"/>
    <mergeCell ref="E340:E341"/>
    <mergeCell ref="H340:H341"/>
    <mergeCell ref="I340:I341"/>
    <mergeCell ref="J340:J341"/>
    <mergeCell ref="X338:X339"/>
    <mergeCell ref="Y338:Y339"/>
    <mergeCell ref="Z338:Z339"/>
    <mergeCell ref="AA338:AA339"/>
    <mergeCell ref="AB338:AB339"/>
    <mergeCell ref="K338:K339"/>
    <mergeCell ref="L338:L339"/>
    <mergeCell ref="M338:M339"/>
    <mergeCell ref="N338:N339"/>
    <mergeCell ref="O338:O339"/>
    <mergeCell ref="A338:A339"/>
    <mergeCell ref="E338:E339"/>
    <mergeCell ref="H338:H339"/>
    <mergeCell ref="I338:I339"/>
    <mergeCell ref="J338:J339"/>
    <mergeCell ref="X336:X337"/>
    <mergeCell ref="Y336:Y337"/>
    <mergeCell ref="Z336:Z337"/>
    <mergeCell ref="AA336:AA337"/>
    <mergeCell ref="AB336:AB337"/>
    <mergeCell ref="K336:K337"/>
    <mergeCell ref="L336:L337"/>
    <mergeCell ref="M336:M337"/>
    <mergeCell ref="N336:N337"/>
    <mergeCell ref="O336:O337"/>
    <mergeCell ref="A336:A337"/>
    <mergeCell ref="E336:E337"/>
    <mergeCell ref="H336:H337"/>
    <mergeCell ref="I336:I337"/>
    <mergeCell ref="J336:J337"/>
    <mergeCell ref="X334:X335"/>
    <mergeCell ref="Y334:Y335"/>
    <mergeCell ref="Z334:Z335"/>
    <mergeCell ref="AA334:AA335"/>
    <mergeCell ref="AB334:AB335"/>
    <mergeCell ref="K334:K335"/>
    <mergeCell ref="L334:L335"/>
    <mergeCell ref="M334:M335"/>
    <mergeCell ref="N334:N335"/>
    <mergeCell ref="O334:O335"/>
    <mergeCell ref="A334:A335"/>
    <mergeCell ref="E334:E335"/>
    <mergeCell ref="H334:H335"/>
    <mergeCell ref="I334:I335"/>
    <mergeCell ref="J334:J335"/>
    <mergeCell ref="X332:X333"/>
    <mergeCell ref="Y332:Y333"/>
    <mergeCell ref="Z332:Z333"/>
    <mergeCell ref="AA332:AA333"/>
    <mergeCell ref="AB332:AB333"/>
    <mergeCell ref="K332:K333"/>
    <mergeCell ref="L332:L333"/>
    <mergeCell ref="M332:M333"/>
    <mergeCell ref="N332:N333"/>
    <mergeCell ref="O332:O333"/>
    <mergeCell ref="A332:A333"/>
    <mergeCell ref="E332:E333"/>
    <mergeCell ref="H332:H333"/>
    <mergeCell ref="I332:I333"/>
    <mergeCell ref="J332:J333"/>
    <mergeCell ref="X330:X331"/>
    <mergeCell ref="Y330:Y331"/>
    <mergeCell ref="Z330:Z331"/>
    <mergeCell ref="AA330:AA331"/>
    <mergeCell ref="AB330:AB331"/>
    <mergeCell ref="K330:K331"/>
    <mergeCell ref="L330:L331"/>
    <mergeCell ref="M330:M331"/>
    <mergeCell ref="N330:N331"/>
    <mergeCell ref="O330:O331"/>
    <mergeCell ref="A330:A331"/>
    <mergeCell ref="E330:E331"/>
    <mergeCell ref="H330:H331"/>
    <mergeCell ref="I330:I331"/>
    <mergeCell ref="J330:J331"/>
    <mergeCell ref="X328:X329"/>
    <mergeCell ref="Y328:Y329"/>
    <mergeCell ref="Z328:Z329"/>
    <mergeCell ref="AA328:AA329"/>
    <mergeCell ref="AB328:AB329"/>
    <mergeCell ref="K328:K329"/>
    <mergeCell ref="L328:L329"/>
    <mergeCell ref="M328:M329"/>
    <mergeCell ref="N328:N329"/>
    <mergeCell ref="O328:O329"/>
    <mergeCell ref="A328:A329"/>
    <mergeCell ref="E328:E329"/>
    <mergeCell ref="H328:H329"/>
    <mergeCell ref="I328:I329"/>
    <mergeCell ref="J328:J329"/>
    <mergeCell ref="X326:X327"/>
    <mergeCell ref="Y326:Y327"/>
    <mergeCell ref="Z326:Z327"/>
    <mergeCell ref="AA326:AA327"/>
    <mergeCell ref="AB326:AB327"/>
    <mergeCell ref="K326:K327"/>
    <mergeCell ref="L326:L327"/>
    <mergeCell ref="M326:M327"/>
    <mergeCell ref="N326:N327"/>
    <mergeCell ref="O326:O327"/>
    <mergeCell ref="A326:A327"/>
    <mergeCell ref="E326:E327"/>
    <mergeCell ref="H326:H327"/>
    <mergeCell ref="I326:I327"/>
    <mergeCell ref="J326:J327"/>
    <mergeCell ref="X324:X325"/>
    <mergeCell ref="Y324:Y325"/>
    <mergeCell ref="Z324:Z325"/>
    <mergeCell ref="AA324:AA325"/>
    <mergeCell ref="AB324:AB325"/>
    <mergeCell ref="K324:K325"/>
    <mergeCell ref="L324:L325"/>
    <mergeCell ref="M324:M325"/>
    <mergeCell ref="N324:N325"/>
    <mergeCell ref="O324:O325"/>
    <mergeCell ref="A324:A325"/>
    <mergeCell ref="E324:E325"/>
    <mergeCell ref="H324:H325"/>
    <mergeCell ref="I324:I325"/>
    <mergeCell ref="J324:J325"/>
    <mergeCell ref="X322:X323"/>
    <mergeCell ref="Y322:Y323"/>
    <mergeCell ref="Z322:Z323"/>
    <mergeCell ref="AA322:AA323"/>
    <mergeCell ref="AB322:AB323"/>
    <mergeCell ref="K322:K323"/>
    <mergeCell ref="L322:L323"/>
    <mergeCell ref="M322:M323"/>
    <mergeCell ref="N322:N323"/>
    <mergeCell ref="O322:O323"/>
    <mergeCell ref="A322:A323"/>
    <mergeCell ref="E322:E323"/>
    <mergeCell ref="H322:H323"/>
    <mergeCell ref="I322:I323"/>
    <mergeCell ref="J322:J323"/>
    <mergeCell ref="X320:X321"/>
    <mergeCell ref="Y320:Y321"/>
    <mergeCell ref="Z320:Z321"/>
    <mergeCell ref="AA320:AA321"/>
    <mergeCell ref="AB320:AB321"/>
    <mergeCell ref="K320:K321"/>
    <mergeCell ref="L320:L321"/>
    <mergeCell ref="M320:M321"/>
    <mergeCell ref="N320:N321"/>
    <mergeCell ref="O320:O321"/>
    <mergeCell ref="A320:A321"/>
    <mergeCell ref="E320:E321"/>
    <mergeCell ref="H320:H321"/>
    <mergeCell ref="I320:I321"/>
    <mergeCell ref="J320:J321"/>
    <mergeCell ref="X318:X319"/>
    <mergeCell ref="Y318:Y319"/>
    <mergeCell ref="Z318:Z319"/>
    <mergeCell ref="AA318:AA319"/>
    <mergeCell ref="AB318:AB319"/>
    <mergeCell ref="K318:K319"/>
    <mergeCell ref="L318:L319"/>
    <mergeCell ref="M318:M319"/>
    <mergeCell ref="N318:N319"/>
    <mergeCell ref="O318:O319"/>
    <mergeCell ref="A318:A319"/>
    <mergeCell ref="E318:E319"/>
    <mergeCell ref="H318:H319"/>
    <mergeCell ref="I318:I319"/>
    <mergeCell ref="J318:J319"/>
    <mergeCell ref="X316:X317"/>
    <mergeCell ref="Y316:Y317"/>
    <mergeCell ref="Z316:Z317"/>
    <mergeCell ref="AA316:AA317"/>
    <mergeCell ref="AB316:AB317"/>
    <mergeCell ref="K316:K317"/>
    <mergeCell ref="L316:L317"/>
    <mergeCell ref="M316:M317"/>
    <mergeCell ref="N316:N317"/>
    <mergeCell ref="O316:O317"/>
    <mergeCell ref="A316:A317"/>
    <mergeCell ref="E316:E317"/>
    <mergeCell ref="H316:H317"/>
    <mergeCell ref="I316:I317"/>
    <mergeCell ref="J316:J317"/>
    <mergeCell ref="X314:X315"/>
    <mergeCell ref="Y314:Y315"/>
    <mergeCell ref="Z314:Z315"/>
    <mergeCell ref="AA314:AA315"/>
    <mergeCell ref="AB314:AB315"/>
    <mergeCell ref="K314:K315"/>
    <mergeCell ref="L314:L315"/>
    <mergeCell ref="M314:M315"/>
    <mergeCell ref="N314:N315"/>
    <mergeCell ref="O314:O315"/>
    <mergeCell ref="A314:A315"/>
    <mergeCell ref="E314:E315"/>
    <mergeCell ref="H314:H315"/>
    <mergeCell ref="I314:I315"/>
    <mergeCell ref="J314:J315"/>
    <mergeCell ref="X312:X313"/>
    <mergeCell ref="Y312:Y313"/>
    <mergeCell ref="Z312:Z313"/>
    <mergeCell ref="AA312:AA313"/>
    <mergeCell ref="AB312:AB313"/>
    <mergeCell ref="K312:K313"/>
    <mergeCell ref="L312:L313"/>
    <mergeCell ref="M312:M313"/>
    <mergeCell ref="N312:N313"/>
    <mergeCell ref="O312:O313"/>
    <mergeCell ref="A312:A313"/>
    <mergeCell ref="E312:E313"/>
    <mergeCell ref="H312:H313"/>
    <mergeCell ref="I312:I313"/>
    <mergeCell ref="J312:J313"/>
    <mergeCell ref="X310:X311"/>
    <mergeCell ref="Y310:Y311"/>
    <mergeCell ref="Z310:Z311"/>
    <mergeCell ref="AA310:AA311"/>
    <mergeCell ref="AB310:AB311"/>
    <mergeCell ref="K310:K311"/>
    <mergeCell ref="L310:L311"/>
    <mergeCell ref="M310:M311"/>
    <mergeCell ref="N310:N311"/>
    <mergeCell ref="O310:O311"/>
    <mergeCell ref="A310:A311"/>
    <mergeCell ref="E310:E311"/>
    <mergeCell ref="H310:H311"/>
    <mergeCell ref="I310:I311"/>
    <mergeCell ref="J310:J311"/>
    <mergeCell ref="X308:X309"/>
    <mergeCell ref="Y308:Y309"/>
    <mergeCell ref="Z308:Z309"/>
    <mergeCell ref="AA308:AA309"/>
    <mergeCell ref="AB308:AB309"/>
    <mergeCell ref="K308:K309"/>
    <mergeCell ref="L308:L309"/>
    <mergeCell ref="M308:M309"/>
    <mergeCell ref="N308:N309"/>
    <mergeCell ref="O308:O309"/>
    <mergeCell ref="A308:A309"/>
    <mergeCell ref="E308:E309"/>
    <mergeCell ref="H308:H309"/>
    <mergeCell ref="I308:I309"/>
    <mergeCell ref="J308:J309"/>
    <mergeCell ref="X306:X307"/>
    <mergeCell ref="Y306:Y307"/>
    <mergeCell ref="Z306:Z307"/>
    <mergeCell ref="AA306:AA307"/>
    <mergeCell ref="AB306:AB307"/>
    <mergeCell ref="K306:K307"/>
    <mergeCell ref="L306:L307"/>
    <mergeCell ref="M306:M307"/>
    <mergeCell ref="N306:N307"/>
    <mergeCell ref="O306:O307"/>
    <mergeCell ref="A306:A307"/>
    <mergeCell ref="E306:E307"/>
    <mergeCell ref="H306:H307"/>
    <mergeCell ref="I306:I307"/>
    <mergeCell ref="J306:J307"/>
    <mergeCell ref="X304:X305"/>
    <mergeCell ref="Y304:Y305"/>
    <mergeCell ref="Z304:Z305"/>
    <mergeCell ref="AA304:AA305"/>
    <mergeCell ref="AB304:AB305"/>
    <mergeCell ref="K304:K305"/>
    <mergeCell ref="L304:L305"/>
    <mergeCell ref="M304:M305"/>
    <mergeCell ref="N304:N305"/>
    <mergeCell ref="O304:O305"/>
    <mergeCell ref="A304:A305"/>
    <mergeCell ref="E304:E305"/>
    <mergeCell ref="H304:H305"/>
    <mergeCell ref="I304:I305"/>
    <mergeCell ref="J304:J305"/>
    <mergeCell ref="X302:X303"/>
    <mergeCell ref="Y302:Y303"/>
    <mergeCell ref="Z302:Z303"/>
    <mergeCell ref="AA302:AA303"/>
    <mergeCell ref="AB302:AB303"/>
    <mergeCell ref="K302:K303"/>
    <mergeCell ref="L302:L303"/>
    <mergeCell ref="M302:M303"/>
    <mergeCell ref="N302:N303"/>
    <mergeCell ref="O302:O303"/>
    <mergeCell ref="A302:A303"/>
    <mergeCell ref="E302:E303"/>
    <mergeCell ref="H302:H303"/>
    <mergeCell ref="I302:I303"/>
    <mergeCell ref="J302:J303"/>
    <mergeCell ref="X300:X301"/>
    <mergeCell ref="Y300:Y301"/>
    <mergeCell ref="Z300:Z301"/>
    <mergeCell ref="AA300:AA301"/>
    <mergeCell ref="AB300:AB301"/>
    <mergeCell ref="K300:K301"/>
    <mergeCell ref="L300:L301"/>
    <mergeCell ref="M300:M301"/>
    <mergeCell ref="N300:N301"/>
    <mergeCell ref="O300:O301"/>
    <mergeCell ref="A300:A301"/>
    <mergeCell ref="E300:E301"/>
    <mergeCell ref="H300:H301"/>
    <mergeCell ref="I300:I301"/>
    <mergeCell ref="J300:J301"/>
    <mergeCell ref="X298:X299"/>
    <mergeCell ref="Y298:Y299"/>
    <mergeCell ref="Z298:Z299"/>
    <mergeCell ref="AA298:AA299"/>
    <mergeCell ref="AB298:AB299"/>
    <mergeCell ref="K298:K299"/>
    <mergeCell ref="L298:L299"/>
    <mergeCell ref="M298:M299"/>
    <mergeCell ref="N298:N299"/>
    <mergeCell ref="O298:O299"/>
    <mergeCell ref="A298:A299"/>
    <mergeCell ref="E298:E299"/>
    <mergeCell ref="H298:H299"/>
    <mergeCell ref="I298:I299"/>
    <mergeCell ref="J298:J299"/>
    <mergeCell ref="X296:X297"/>
    <mergeCell ref="Y296:Y297"/>
    <mergeCell ref="Z296:Z297"/>
    <mergeCell ref="AA296:AA297"/>
    <mergeCell ref="AB296:AB297"/>
    <mergeCell ref="K296:K297"/>
    <mergeCell ref="L296:L297"/>
    <mergeCell ref="M296:M297"/>
    <mergeCell ref="N296:N297"/>
    <mergeCell ref="O296:O297"/>
    <mergeCell ref="A296:A297"/>
    <mergeCell ref="E296:E297"/>
    <mergeCell ref="H296:H297"/>
    <mergeCell ref="I296:I297"/>
    <mergeCell ref="J296:J297"/>
    <mergeCell ref="X294:X295"/>
    <mergeCell ref="Y294:Y295"/>
    <mergeCell ref="Z294:Z295"/>
    <mergeCell ref="AA294:AA295"/>
    <mergeCell ref="AB294:AB295"/>
    <mergeCell ref="K294:K295"/>
    <mergeCell ref="L294:L295"/>
    <mergeCell ref="M294:M295"/>
    <mergeCell ref="N294:N295"/>
    <mergeCell ref="O294:O295"/>
    <mergeCell ref="A294:A295"/>
    <mergeCell ref="E294:E295"/>
    <mergeCell ref="H294:H295"/>
    <mergeCell ref="I294:I295"/>
    <mergeCell ref="J294:J295"/>
    <mergeCell ref="X292:X293"/>
    <mergeCell ref="Y292:Y293"/>
    <mergeCell ref="Z292:Z293"/>
    <mergeCell ref="AA292:AA293"/>
    <mergeCell ref="AB292:AB293"/>
    <mergeCell ref="K292:K293"/>
    <mergeCell ref="L292:L293"/>
    <mergeCell ref="M292:M293"/>
    <mergeCell ref="N292:N293"/>
    <mergeCell ref="O292:O293"/>
    <mergeCell ref="A292:A293"/>
    <mergeCell ref="E292:E293"/>
    <mergeCell ref="H292:H293"/>
    <mergeCell ref="I292:I293"/>
    <mergeCell ref="J292:J293"/>
    <mergeCell ref="X290:X291"/>
    <mergeCell ref="Y290:Y291"/>
    <mergeCell ref="Z290:Z291"/>
    <mergeCell ref="AA290:AA291"/>
    <mergeCell ref="AB290:AB291"/>
    <mergeCell ref="K290:K291"/>
    <mergeCell ref="L290:L291"/>
    <mergeCell ref="M290:M291"/>
    <mergeCell ref="N290:N291"/>
    <mergeCell ref="O290:O291"/>
    <mergeCell ref="A290:A291"/>
    <mergeCell ref="E290:E291"/>
    <mergeCell ref="H290:H291"/>
    <mergeCell ref="I290:I291"/>
    <mergeCell ref="J290:J291"/>
    <mergeCell ref="X288:X289"/>
    <mergeCell ref="Y288:Y289"/>
    <mergeCell ref="Z288:Z289"/>
    <mergeCell ref="AA288:AA289"/>
    <mergeCell ref="AB288:AB289"/>
    <mergeCell ref="K288:K289"/>
    <mergeCell ref="L288:L289"/>
    <mergeCell ref="M288:M289"/>
    <mergeCell ref="N288:N289"/>
    <mergeCell ref="O288:O289"/>
    <mergeCell ref="A288:A289"/>
    <mergeCell ref="E288:E289"/>
    <mergeCell ref="H288:H289"/>
    <mergeCell ref="I288:I289"/>
    <mergeCell ref="J288:J289"/>
    <mergeCell ref="X286:X287"/>
    <mergeCell ref="Y286:Y287"/>
    <mergeCell ref="Z286:Z287"/>
    <mergeCell ref="AA286:AA287"/>
    <mergeCell ref="AB286:AB287"/>
    <mergeCell ref="K286:K287"/>
    <mergeCell ref="L286:L287"/>
    <mergeCell ref="M286:M287"/>
    <mergeCell ref="N286:N287"/>
    <mergeCell ref="O286:O287"/>
    <mergeCell ref="A286:A287"/>
    <mergeCell ref="E286:E287"/>
    <mergeCell ref="H286:H287"/>
    <mergeCell ref="I286:I287"/>
    <mergeCell ref="J286:J287"/>
    <mergeCell ref="X284:X285"/>
    <mergeCell ref="Y284:Y285"/>
    <mergeCell ref="Z284:Z285"/>
    <mergeCell ref="AA284:AA285"/>
    <mergeCell ref="AB284:AB285"/>
    <mergeCell ref="K284:K285"/>
    <mergeCell ref="L284:L285"/>
    <mergeCell ref="M284:M285"/>
    <mergeCell ref="N284:N285"/>
    <mergeCell ref="O284:O285"/>
    <mergeCell ref="A284:A285"/>
    <mergeCell ref="E284:E285"/>
    <mergeCell ref="H284:H285"/>
    <mergeCell ref="I284:I285"/>
    <mergeCell ref="J284:J285"/>
    <mergeCell ref="X282:X283"/>
    <mergeCell ref="Y282:Y283"/>
    <mergeCell ref="Z282:Z283"/>
    <mergeCell ref="AA282:AA283"/>
    <mergeCell ref="AB282:AB283"/>
    <mergeCell ref="K282:K283"/>
    <mergeCell ref="L282:L283"/>
    <mergeCell ref="M282:M283"/>
    <mergeCell ref="N282:N283"/>
    <mergeCell ref="O282:O283"/>
    <mergeCell ref="A282:A283"/>
    <mergeCell ref="E282:E283"/>
    <mergeCell ref="H282:H283"/>
    <mergeCell ref="I282:I283"/>
    <mergeCell ref="J282:J283"/>
    <mergeCell ref="X280:X281"/>
    <mergeCell ref="Y280:Y281"/>
    <mergeCell ref="Z280:Z281"/>
    <mergeCell ref="AA280:AA281"/>
    <mergeCell ref="AB280:AB281"/>
    <mergeCell ref="K280:K281"/>
    <mergeCell ref="L280:L281"/>
    <mergeCell ref="M280:M281"/>
    <mergeCell ref="N280:N281"/>
    <mergeCell ref="O280:O281"/>
    <mergeCell ref="A280:A281"/>
    <mergeCell ref="E280:E281"/>
    <mergeCell ref="H280:H281"/>
    <mergeCell ref="I280:I281"/>
    <mergeCell ref="J280:J281"/>
    <mergeCell ref="X278:X279"/>
    <mergeCell ref="Y278:Y279"/>
    <mergeCell ref="Z278:Z279"/>
    <mergeCell ref="AA278:AA279"/>
    <mergeCell ref="AB278:AB279"/>
    <mergeCell ref="K278:K279"/>
    <mergeCell ref="L278:L279"/>
    <mergeCell ref="M278:M279"/>
    <mergeCell ref="N278:N279"/>
    <mergeCell ref="O278:O279"/>
    <mergeCell ref="A278:A279"/>
    <mergeCell ref="E278:E279"/>
    <mergeCell ref="H278:H279"/>
    <mergeCell ref="I278:I279"/>
    <mergeCell ref="J278:J279"/>
    <mergeCell ref="X276:X277"/>
    <mergeCell ref="Y276:Y277"/>
    <mergeCell ref="Z276:Z277"/>
    <mergeCell ref="AA276:AA277"/>
    <mergeCell ref="AB276:AB277"/>
    <mergeCell ref="K276:K277"/>
    <mergeCell ref="L276:L277"/>
    <mergeCell ref="M276:M277"/>
    <mergeCell ref="N276:N277"/>
    <mergeCell ref="O276:O277"/>
    <mergeCell ref="A276:A277"/>
    <mergeCell ref="E276:E277"/>
    <mergeCell ref="H276:H277"/>
    <mergeCell ref="I276:I277"/>
    <mergeCell ref="J276:J277"/>
    <mergeCell ref="X274:X275"/>
    <mergeCell ref="Y274:Y275"/>
    <mergeCell ref="Z274:Z275"/>
    <mergeCell ref="AA274:AA275"/>
    <mergeCell ref="AB274:AB275"/>
    <mergeCell ref="K274:K275"/>
    <mergeCell ref="L274:L275"/>
    <mergeCell ref="M274:M275"/>
    <mergeCell ref="N274:N275"/>
    <mergeCell ref="O274:O275"/>
    <mergeCell ref="A274:A275"/>
    <mergeCell ref="E274:E275"/>
    <mergeCell ref="H274:H275"/>
    <mergeCell ref="I274:I275"/>
    <mergeCell ref="J274:J275"/>
    <mergeCell ref="X272:X273"/>
    <mergeCell ref="Y272:Y273"/>
    <mergeCell ref="Z272:Z273"/>
    <mergeCell ref="AA272:AA273"/>
    <mergeCell ref="AB272:AB273"/>
    <mergeCell ref="K272:K273"/>
    <mergeCell ref="L272:L273"/>
    <mergeCell ref="M272:M273"/>
    <mergeCell ref="N272:N273"/>
    <mergeCell ref="O272:O273"/>
    <mergeCell ref="A272:A273"/>
    <mergeCell ref="E272:E273"/>
    <mergeCell ref="H272:H273"/>
    <mergeCell ref="I272:I273"/>
    <mergeCell ref="J272:J273"/>
    <mergeCell ref="X270:X271"/>
    <mergeCell ref="Y270:Y271"/>
    <mergeCell ref="Z270:Z271"/>
    <mergeCell ref="AA270:AA271"/>
    <mergeCell ref="AB270:AB271"/>
    <mergeCell ref="K270:K271"/>
    <mergeCell ref="L270:L271"/>
    <mergeCell ref="M270:M271"/>
    <mergeCell ref="N270:N271"/>
    <mergeCell ref="O270:O271"/>
    <mergeCell ref="A270:A271"/>
    <mergeCell ref="E270:E271"/>
    <mergeCell ref="H270:H271"/>
    <mergeCell ref="I270:I271"/>
    <mergeCell ref="J270:J271"/>
    <mergeCell ref="X268:X269"/>
    <mergeCell ref="Y268:Y269"/>
    <mergeCell ref="Z268:Z269"/>
    <mergeCell ref="AA268:AA269"/>
    <mergeCell ref="AB268:AB269"/>
    <mergeCell ref="K268:K269"/>
    <mergeCell ref="L268:L269"/>
    <mergeCell ref="M268:M269"/>
    <mergeCell ref="N268:N269"/>
    <mergeCell ref="O268:O269"/>
    <mergeCell ref="A268:A269"/>
    <mergeCell ref="E268:E269"/>
    <mergeCell ref="H268:H269"/>
    <mergeCell ref="I268:I269"/>
    <mergeCell ref="J268:J269"/>
    <mergeCell ref="X266:X267"/>
    <mergeCell ref="Y266:Y267"/>
    <mergeCell ref="Z266:Z267"/>
    <mergeCell ref="AA266:AA267"/>
    <mergeCell ref="AB266:AB267"/>
    <mergeCell ref="K266:K267"/>
    <mergeCell ref="L266:L267"/>
    <mergeCell ref="M266:M267"/>
    <mergeCell ref="N266:N267"/>
    <mergeCell ref="O266:O267"/>
    <mergeCell ref="A266:A267"/>
    <mergeCell ref="E266:E267"/>
    <mergeCell ref="H266:H267"/>
    <mergeCell ref="I266:I267"/>
    <mergeCell ref="J266:J267"/>
    <mergeCell ref="X264:X265"/>
    <mergeCell ref="Y264:Y265"/>
    <mergeCell ref="Z264:Z265"/>
    <mergeCell ref="AA264:AA265"/>
    <mergeCell ref="AB264:AB265"/>
    <mergeCell ref="K264:K265"/>
    <mergeCell ref="L264:L265"/>
    <mergeCell ref="M264:M265"/>
    <mergeCell ref="N264:N265"/>
    <mergeCell ref="O264:O265"/>
    <mergeCell ref="A264:A265"/>
    <mergeCell ref="E264:E265"/>
    <mergeCell ref="H264:H265"/>
    <mergeCell ref="I264:I265"/>
    <mergeCell ref="J264:J265"/>
    <mergeCell ref="X262:X263"/>
    <mergeCell ref="Y262:Y263"/>
    <mergeCell ref="Z262:Z263"/>
    <mergeCell ref="AA262:AA263"/>
    <mergeCell ref="AB262:AB263"/>
    <mergeCell ref="K262:K263"/>
    <mergeCell ref="L262:L263"/>
    <mergeCell ref="M262:M263"/>
    <mergeCell ref="N262:N263"/>
    <mergeCell ref="O262:O263"/>
    <mergeCell ref="A262:A263"/>
    <mergeCell ref="E262:E263"/>
    <mergeCell ref="H262:H263"/>
    <mergeCell ref="I262:I263"/>
    <mergeCell ref="J262:J263"/>
    <mergeCell ref="X260:X261"/>
    <mergeCell ref="Y260:Y261"/>
    <mergeCell ref="Z260:Z261"/>
    <mergeCell ref="AA260:AA261"/>
    <mergeCell ref="AB260:AB261"/>
    <mergeCell ref="K260:K261"/>
    <mergeCell ref="L260:L261"/>
    <mergeCell ref="M260:M261"/>
    <mergeCell ref="N260:N261"/>
    <mergeCell ref="O260:O261"/>
    <mergeCell ref="A260:A261"/>
    <mergeCell ref="E260:E261"/>
    <mergeCell ref="H260:H261"/>
    <mergeCell ref="I260:I261"/>
    <mergeCell ref="J260:J261"/>
    <mergeCell ref="X258:X259"/>
    <mergeCell ref="Y258:Y259"/>
    <mergeCell ref="Z258:Z259"/>
    <mergeCell ref="AA258:AA259"/>
    <mergeCell ref="AB258:AB259"/>
    <mergeCell ref="K258:K259"/>
    <mergeCell ref="L258:L259"/>
    <mergeCell ref="M258:M259"/>
    <mergeCell ref="N258:N259"/>
    <mergeCell ref="O258:O259"/>
    <mergeCell ref="A258:A259"/>
    <mergeCell ref="E258:E259"/>
    <mergeCell ref="H258:H259"/>
    <mergeCell ref="I258:I259"/>
    <mergeCell ref="J258:J259"/>
    <mergeCell ref="X256:X257"/>
    <mergeCell ref="Y256:Y257"/>
    <mergeCell ref="Z256:Z257"/>
    <mergeCell ref="AA256:AA257"/>
    <mergeCell ref="AB256:AB257"/>
    <mergeCell ref="K256:K257"/>
    <mergeCell ref="L256:L257"/>
    <mergeCell ref="M256:M257"/>
    <mergeCell ref="N256:N257"/>
    <mergeCell ref="O256:O257"/>
    <mergeCell ref="A256:A257"/>
    <mergeCell ref="E256:E257"/>
    <mergeCell ref="H256:H257"/>
    <mergeCell ref="I256:I257"/>
    <mergeCell ref="J256:J257"/>
    <mergeCell ref="X254:X255"/>
    <mergeCell ref="Y254:Y255"/>
    <mergeCell ref="Z254:Z255"/>
    <mergeCell ref="AA254:AA255"/>
    <mergeCell ref="AB254:AB255"/>
    <mergeCell ref="K254:K255"/>
    <mergeCell ref="L254:L255"/>
    <mergeCell ref="M254:M255"/>
    <mergeCell ref="N254:N255"/>
    <mergeCell ref="O254:O255"/>
    <mergeCell ref="A254:A255"/>
    <mergeCell ref="E254:E255"/>
    <mergeCell ref="H254:H255"/>
    <mergeCell ref="I254:I255"/>
    <mergeCell ref="J254:J255"/>
    <mergeCell ref="X252:X253"/>
    <mergeCell ref="Y252:Y253"/>
    <mergeCell ref="Z252:Z253"/>
    <mergeCell ref="AA252:AA253"/>
    <mergeCell ref="AB252:AB253"/>
    <mergeCell ref="K252:K253"/>
    <mergeCell ref="L252:L253"/>
    <mergeCell ref="M252:M253"/>
    <mergeCell ref="N252:N253"/>
    <mergeCell ref="O252:O253"/>
    <mergeCell ref="A252:A253"/>
    <mergeCell ref="E252:E253"/>
    <mergeCell ref="H252:H253"/>
    <mergeCell ref="I252:I253"/>
    <mergeCell ref="J252:J253"/>
    <mergeCell ref="X250:X251"/>
    <mergeCell ref="Y250:Y251"/>
    <mergeCell ref="Z250:Z251"/>
    <mergeCell ref="AA250:AA251"/>
    <mergeCell ref="AB250:AB251"/>
    <mergeCell ref="K250:K251"/>
    <mergeCell ref="L250:L251"/>
    <mergeCell ref="M250:M251"/>
    <mergeCell ref="N250:N251"/>
    <mergeCell ref="O250:O251"/>
    <mergeCell ref="A250:A251"/>
    <mergeCell ref="E250:E251"/>
    <mergeCell ref="H250:H251"/>
    <mergeCell ref="I250:I251"/>
    <mergeCell ref="J250:J251"/>
    <mergeCell ref="X248:X249"/>
    <mergeCell ref="Y248:Y249"/>
    <mergeCell ref="Z248:Z249"/>
    <mergeCell ref="AA248:AA249"/>
    <mergeCell ref="AB248:AB249"/>
    <mergeCell ref="K248:K249"/>
    <mergeCell ref="L248:L249"/>
    <mergeCell ref="M248:M249"/>
    <mergeCell ref="N248:N249"/>
    <mergeCell ref="O248:O249"/>
    <mergeCell ref="A248:A249"/>
    <mergeCell ref="E248:E249"/>
    <mergeCell ref="H248:H249"/>
    <mergeCell ref="I248:I249"/>
    <mergeCell ref="J248:J249"/>
    <mergeCell ref="X246:X247"/>
    <mergeCell ref="Y246:Y247"/>
    <mergeCell ref="Z246:Z247"/>
    <mergeCell ref="AA246:AA247"/>
    <mergeCell ref="AB246:AB247"/>
    <mergeCell ref="K246:K247"/>
    <mergeCell ref="L246:L247"/>
    <mergeCell ref="M246:M247"/>
    <mergeCell ref="N246:N247"/>
    <mergeCell ref="O246:O247"/>
    <mergeCell ref="A246:A247"/>
    <mergeCell ref="E246:E247"/>
    <mergeCell ref="H246:H247"/>
    <mergeCell ref="I246:I247"/>
    <mergeCell ref="J246:J247"/>
    <mergeCell ref="X244:X245"/>
    <mergeCell ref="Y244:Y245"/>
    <mergeCell ref="Z244:Z245"/>
    <mergeCell ref="AA244:AA245"/>
    <mergeCell ref="AB244:AB245"/>
    <mergeCell ref="K244:K245"/>
    <mergeCell ref="L244:L245"/>
    <mergeCell ref="M244:M245"/>
    <mergeCell ref="N244:N245"/>
    <mergeCell ref="O244:O245"/>
    <mergeCell ref="A244:A245"/>
    <mergeCell ref="E244:E245"/>
    <mergeCell ref="H244:H245"/>
    <mergeCell ref="I244:I245"/>
    <mergeCell ref="J244:J245"/>
    <mergeCell ref="X242:X243"/>
    <mergeCell ref="Y242:Y243"/>
    <mergeCell ref="Z242:Z243"/>
    <mergeCell ref="AA242:AA243"/>
    <mergeCell ref="AB242:AB243"/>
    <mergeCell ref="K242:K243"/>
    <mergeCell ref="L242:L243"/>
    <mergeCell ref="M242:M243"/>
    <mergeCell ref="N242:N243"/>
    <mergeCell ref="O242:O243"/>
    <mergeCell ref="A242:A243"/>
    <mergeCell ref="E242:E243"/>
    <mergeCell ref="H242:H243"/>
    <mergeCell ref="I242:I243"/>
    <mergeCell ref="J242:J243"/>
    <mergeCell ref="X240:X241"/>
    <mergeCell ref="Y240:Y241"/>
    <mergeCell ref="Z240:Z241"/>
    <mergeCell ref="AA240:AA241"/>
    <mergeCell ref="AB240:AB241"/>
    <mergeCell ref="K240:K241"/>
    <mergeCell ref="L240:L241"/>
    <mergeCell ref="M240:M241"/>
    <mergeCell ref="N240:N241"/>
    <mergeCell ref="O240:O241"/>
    <mergeCell ref="A240:A241"/>
    <mergeCell ref="E240:E241"/>
    <mergeCell ref="H240:H241"/>
    <mergeCell ref="I240:I241"/>
    <mergeCell ref="J240:J241"/>
    <mergeCell ref="X238:X239"/>
    <mergeCell ref="Y238:Y239"/>
    <mergeCell ref="Z238:Z239"/>
    <mergeCell ref="AA238:AA239"/>
    <mergeCell ref="AB238:AB239"/>
    <mergeCell ref="K238:K239"/>
    <mergeCell ref="L238:L239"/>
    <mergeCell ref="M238:M239"/>
    <mergeCell ref="N238:N239"/>
    <mergeCell ref="O238:O239"/>
    <mergeCell ref="A238:A239"/>
    <mergeCell ref="E238:E239"/>
    <mergeCell ref="H238:H239"/>
    <mergeCell ref="I238:I239"/>
    <mergeCell ref="J238:J239"/>
    <mergeCell ref="X236:X237"/>
    <mergeCell ref="Y236:Y237"/>
    <mergeCell ref="Z236:Z237"/>
    <mergeCell ref="AA236:AA237"/>
    <mergeCell ref="AB236:AB237"/>
    <mergeCell ref="K236:K237"/>
    <mergeCell ref="L236:L237"/>
    <mergeCell ref="M236:M237"/>
    <mergeCell ref="N236:N237"/>
    <mergeCell ref="O236:O237"/>
    <mergeCell ref="A236:A237"/>
    <mergeCell ref="E236:E237"/>
    <mergeCell ref="H236:H237"/>
    <mergeCell ref="I236:I237"/>
    <mergeCell ref="J236:J237"/>
    <mergeCell ref="X234:X235"/>
    <mergeCell ref="Y234:Y235"/>
    <mergeCell ref="Z234:Z235"/>
    <mergeCell ref="AA234:AA235"/>
    <mergeCell ref="AB234:AB235"/>
    <mergeCell ref="K234:K235"/>
    <mergeCell ref="L234:L235"/>
    <mergeCell ref="M234:M235"/>
    <mergeCell ref="N234:N235"/>
    <mergeCell ref="O234:O235"/>
    <mergeCell ref="A234:A235"/>
    <mergeCell ref="E234:E235"/>
    <mergeCell ref="H234:H235"/>
    <mergeCell ref="I234:I235"/>
    <mergeCell ref="J234:J235"/>
    <mergeCell ref="X232:X233"/>
    <mergeCell ref="Y232:Y233"/>
    <mergeCell ref="Z232:Z233"/>
    <mergeCell ref="AA232:AA233"/>
    <mergeCell ref="AB232:AB233"/>
    <mergeCell ref="K232:K233"/>
    <mergeCell ref="L232:L233"/>
    <mergeCell ref="M232:M233"/>
    <mergeCell ref="N232:N233"/>
    <mergeCell ref="O232:O233"/>
    <mergeCell ref="A232:A233"/>
    <mergeCell ref="E232:E233"/>
    <mergeCell ref="H232:H233"/>
    <mergeCell ref="I232:I233"/>
    <mergeCell ref="J232:J233"/>
    <mergeCell ref="X230:X231"/>
    <mergeCell ref="Y230:Y231"/>
    <mergeCell ref="Z230:Z231"/>
    <mergeCell ref="AA230:AA231"/>
    <mergeCell ref="AB230:AB231"/>
    <mergeCell ref="K230:K231"/>
    <mergeCell ref="L230:L231"/>
    <mergeCell ref="M230:M231"/>
    <mergeCell ref="N230:N231"/>
    <mergeCell ref="O230:O231"/>
    <mergeCell ref="A230:A231"/>
    <mergeCell ref="E230:E231"/>
    <mergeCell ref="H230:H231"/>
    <mergeCell ref="I230:I231"/>
    <mergeCell ref="J230:J231"/>
    <mergeCell ref="X228:X229"/>
    <mergeCell ref="Y228:Y229"/>
    <mergeCell ref="Z228:Z229"/>
    <mergeCell ref="AA228:AA229"/>
    <mergeCell ref="AB228:AB229"/>
    <mergeCell ref="K228:K229"/>
    <mergeCell ref="L228:L229"/>
    <mergeCell ref="M228:M229"/>
    <mergeCell ref="N228:N229"/>
    <mergeCell ref="O228:O229"/>
    <mergeCell ref="A228:A229"/>
    <mergeCell ref="E228:E229"/>
    <mergeCell ref="H228:H229"/>
    <mergeCell ref="I228:I229"/>
    <mergeCell ref="J228:J229"/>
    <mergeCell ref="X226:X227"/>
    <mergeCell ref="Y226:Y227"/>
    <mergeCell ref="Z226:Z227"/>
    <mergeCell ref="AA226:AA227"/>
    <mergeCell ref="AB226:AB227"/>
    <mergeCell ref="K226:K227"/>
    <mergeCell ref="L226:L227"/>
    <mergeCell ref="M226:M227"/>
    <mergeCell ref="N226:N227"/>
    <mergeCell ref="O226:O227"/>
    <mergeCell ref="A226:A227"/>
    <mergeCell ref="E226:E227"/>
    <mergeCell ref="H226:H227"/>
    <mergeCell ref="I226:I227"/>
    <mergeCell ref="J226:J227"/>
    <mergeCell ref="X224:X225"/>
    <mergeCell ref="Y224:Y225"/>
    <mergeCell ref="Z224:Z225"/>
    <mergeCell ref="AA224:AA225"/>
    <mergeCell ref="AB224:AB225"/>
    <mergeCell ref="K224:K225"/>
    <mergeCell ref="L224:L225"/>
    <mergeCell ref="M224:M225"/>
    <mergeCell ref="N224:N225"/>
    <mergeCell ref="O224:O225"/>
    <mergeCell ref="A224:A225"/>
    <mergeCell ref="E224:E225"/>
    <mergeCell ref="H224:H225"/>
    <mergeCell ref="I224:I225"/>
    <mergeCell ref="J224:J225"/>
    <mergeCell ref="X222:X223"/>
    <mergeCell ref="Y222:Y223"/>
    <mergeCell ref="Z222:Z223"/>
    <mergeCell ref="AA222:AA223"/>
    <mergeCell ref="AB222:AB223"/>
    <mergeCell ref="K222:K223"/>
    <mergeCell ref="L222:L223"/>
    <mergeCell ref="M222:M223"/>
    <mergeCell ref="N222:N223"/>
    <mergeCell ref="O222:O223"/>
    <mergeCell ref="A222:A223"/>
    <mergeCell ref="E222:E223"/>
    <mergeCell ref="H222:H223"/>
    <mergeCell ref="I222:I223"/>
    <mergeCell ref="J222:J223"/>
    <mergeCell ref="X220:X221"/>
    <mergeCell ref="Y220:Y221"/>
    <mergeCell ref="Z220:Z221"/>
    <mergeCell ref="AA220:AA221"/>
    <mergeCell ref="AB220:AB221"/>
    <mergeCell ref="K220:K221"/>
    <mergeCell ref="L220:L221"/>
    <mergeCell ref="M220:M221"/>
    <mergeCell ref="N220:N221"/>
    <mergeCell ref="O220:O221"/>
    <mergeCell ref="A220:A221"/>
    <mergeCell ref="E220:E221"/>
    <mergeCell ref="H220:H221"/>
    <mergeCell ref="I220:I221"/>
    <mergeCell ref="J220:J221"/>
    <mergeCell ref="X218:X219"/>
    <mergeCell ref="Y218:Y219"/>
    <mergeCell ref="Z218:Z219"/>
    <mergeCell ref="AA218:AA219"/>
    <mergeCell ref="AB218:AB219"/>
    <mergeCell ref="K218:K219"/>
    <mergeCell ref="L218:L219"/>
    <mergeCell ref="M218:M219"/>
    <mergeCell ref="N218:N219"/>
    <mergeCell ref="O218:O219"/>
    <mergeCell ref="A218:A219"/>
    <mergeCell ref="E218:E219"/>
    <mergeCell ref="H218:H219"/>
    <mergeCell ref="I218:I219"/>
    <mergeCell ref="J218:J219"/>
    <mergeCell ref="X216:X217"/>
    <mergeCell ref="Y216:Y217"/>
    <mergeCell ref="Z216:Z217"/>
    <mergeCell ref="AA216:AA217"/>
    <mergeCell ref="AB216:AB217"/>
    <mergeCell ref="K216:K217"/>
    <mergeCell ref="L216:L217"/>
    <mergeCell ref="M216:M217"/>
    <mergeCell ref="N216:N217"/>
    <mergeCell ref="O216:O217"/>
    <mergeCell ref="A216:A217"/>
    <mergeCell ref="E216:E217"/>
    <mergeCell ref="H216:H217"/>
    <mergeCell ref="I216:I217"/>
    <mergeCell ref="J216:J217"/>
    <mergeCell ref="X214:X215"/>
    <mergeCell ref="Y214:Y215"/>
    <mergeCell ref="Z214:Z215"/>
    <mergeCell ref="AA214:AA215"/>
    <mergeCell ref="AB214:AB215"/>
    <mergeCell ref="K214:K215"/>
    <mergeCell ref="L214:L215"/>
    <mergeCell ref="M214:M215"/>
    <mergeCell ref="N214:N215"/>
    <mergeCell ref="O214:O215"/>
    <mergeCell ref="A214:A215"/>
    <mergeCell ref="E214:E215"/>
    <mergeCell ref="H214:H215"/>
    <mergeCell ref="I214:I215"/>
    <mergeCell ref="J214:J215"/>
    <mergeCell ref="X212:X213"/>
    <mergeCell ref="Y212:Y213"/>
    <mergeCell ref="Z212:Z213"/>
    <mergeCell ref="AA212:AA213"/>
    <mergeCell ref="AB212:AB213"/>
    <mergeCell ref="K212:K213"/>
    <mergeCell ref="L212:L213"/>
    <mergeCell ref="M212:M213"/>
    <mergeCell ref="N212:N213"/>
    <mergeCell ref="O212:O213"/>
    <mergeCell ref="A212:A213"/>
    <mergeCell ref="E212:E213"/>
    <mergeCell ref="H212:H213"/>
    <mergeCell ref="I212:I213"/>
    <mergeCell ref="J212:J213"/>
    <mergeCell ref="X210:X211"/>
    <mergeCell ref="Y210:Y211"/>
    <mergeCell ref="Z210:Z211"/>
    <mergeCell ref="AA210:AA211"/>
    <mergeCell ref="AB210:AB211"/>
    <mergeCell ref="K210:K211"/>
    <mergeCell ref="L210:L211"/>
    <mergeCell ref="M210:M211"/>
    <mergeCell ref="N210:N211"/>
    <mergeCell ref="O210:O211"/>
    <mergeCell ref="A210:A211"/>
    <mergeCell ref="E210:E211"/>
    <mergeCell ref="H210:H211"/>
    <mergeCell ref="I210:I211"/>
    <mergeCell ref="J210:J211"/>
    <mergeCell ref="X208:X209"/>
    <mergeCell ref="Y208:Y209"/>
    <mergeCell ref="Z208:Z209"/>
    <mergeCell ref="AA208:AA209"/>
    <mergeCell ref="AB208:AB209"/>
    <mergeCell ref="K208:K209"/>
    <mergeCell ref="L208:L209"/>
    <mergeCell ref="M208:M209"/>
    <mergeCell ref="N208:N209"/>
    <mergeCell ref="O208:O209"/>
    <mergeCell ref="A208:A209"/>
    <mergeCell ref="E208:E209"/>
    <mergeCell ref="H208:H209"/>
    <mergeCell ref="I208:I209"/>
    <mergeCell ref="J208:J209"/>
    <mergeCell ref="X206:X207"/>
    <mergeCell ref="Y206:Y207"/>
    <mergeCell ref="Z206:Z207"/>
    <mergeCell ref="AA206:AA207"/>
    <mergeCell ref="AB206:AB207"/>
    <mergeCell ref="K206:K207"/>
    <mergeCell ref="L206:L207"/>
    <mergeCell ref="M206:M207"/>
    <mergeCell ref="N206:N207"/>
    <mergeCell ref="O206:O207"/>
    <mergeCell ref="A206:A207"/>
    <mergeCell ref="E206:E207"/>
    <mergeCell ref="H206:H207"/>
    <mergeCell ref="I206:I207"/>
    <mergeCell ref="J206:J207"/>
    <mergeCell ref="X204:X205"/>
    <mergeCell ref="Y204:Y205"/>
    <mergeCell ref="Z204:Z205"/>
    <mergeCell ref="AA204:AA205"/>
    <mergeCell ref="AB204:AB205"/>
    <mergeCell ref="K204:K205"/>
    <mergeCell ref="L204:L205"/>
    <mergeCell ref="M204:M205"/>
    <mergeCell ref="N204:N205"/>
    <mergeCell ref="O204:O205"/>
    <mergeCell ref="A204:A205"/>
    <mergeCell ref="E204:E205"/>
    <mergeCell ref="H204:H205"/>
    <mergeCell ref="I204:I205"/>
    <mergeCell ref="J204:J205"/>
    <mergeCell ref="X202:X203"/>
    <mergeCell ref="Y202:Y203"/>
    <mergeCell ref="Z202:Z203"/>
    <mergeCell ref="AA202:AA203"/>
    <mergeCell ref="AB202:AB203"/>
    <mergeCell ref="K202:K203"/>
    <mergeCell ref="L202:L203"/>
    <mergeCell ref="M202:M203"/>
    <mergeCell ref="N202:N203"/>
    <mergeCell ref="O202:O203"/>
    <mergeCell ref="A202:A203"/>
    <mergeCell ref="E202:E203"/>
    <mergeCell ref="H202:H203"/>
    <mergeCell ref="I202:I203"/>
    <mergeCell ref="J202:J203"/>
    <mergeCell ref="X200:X201"/>
    <mergeCell ref="Y200:Y201"/>
    <mergeCell ref="Z200:Z201"/>
    <mergeCell ref="AA200:AA201"/>
    <mergeCell ref="AB200:AB201"/>
    <mergeCell ref="K200:K201"/>
    <mergeCell ref="L200:L201"/>
    <mergeCell ref="M200:M201"/>
    <mergeCell ref="N200:N201"/>
    <mergeCell ref="O200:O201"/>
    <mergeCell ref="A200:A201"/>
    <mergeCell ref="E200:E201"/>
    <mergeCell ref="H200:H201"/>
    <mergeCell ref="I200:I201"/>
    <mergeCell ref="J200:J201"/>
    <mergeCell ref="X198:X199"/>
    <mergeCell ref="Y198:Y199"/>
    <mergeCell ref="Z198:Z199"/>
    <mergeCell ref="AA198:AA199"/>
    <mergeCell ref="AB198:AB199"/>
    <mergeCell ref="K198:K199"/>
    <mergeCell ref="L198:L199"/>
    <mergeCell ref="M198:M199"/>
    <mergeCell ref="N198:N199"/>
    <mergeCell ref="O198:O199"/>
    <mergeCell ref="A198:A199"/>
    <mergeCell ref="E198:E199"/>
    <mergeCell ref="H198:H199"/>
    <mergeCell ref="I198:I199"/>
    <mergeCell ref="J198:J199"/>
    <mergeCell ref="X196:X197"/>
    <mergeCell ref="Y196:Y197"/>
    <mergeCell ref="Z196:Z197"/>
    <mergeCell ref="AA196:AA197"/>
    <mergeCell ref="AB196:AB197"/>
    <mergeCell ref="K196:K197"/>
    <mergeCell ref="L196:L197"/>
    <mergeCell ref="M196:M197"/>
    <mergeCell ref="N196:N197"/>
    <mergeCell ref="O196:O197"/>
    <mergeCell ref="A196:A197"/>
    <mergeCell ref="E196:E197"/>
    <mergeCell ref="H196:H197"/>
    <mergeCell ref="I196:I197"/>
    <mergeCell ref="J196:J197"/>
    <mergeCell ref="X194:X195"/>
    <mergeCell ref="Y194:Y195"/>
    <mergeCell ref="Z194:Z195"/>
    <mergeCell ref="AA194:AA195"/>
    <mergeCell ref="AB194:AB195"/>
    <mergeCell ref="K194:K195"/>
    <mergeCell ref="L194:L195"/>
    <mergeCell ref="M194:M195"/>
    <mergeCell ref="N194:N195"/>
    <mergeCell ref="O194:O195"/>
    <mergeCell ref="A194:A195"/>
    <mergeCell ref="E194:E195"/>
    <mergeCell ref="H194:H195"/>
    <mergeCell ref="I194:I195"/>
    <mergeCell ref="J194:J195"/>
    <mergeCell ref="X192:X193"/>
    <mergeCell ref="Y192:Y193"/>
    <mergeCell ref="Z192:Z193"/>
    <mergeCell ref="AA192:AA193"/>
    <mergeCell ref="AB192:AB193"/>
    <mergeCell ref="K192:K193"/>
    <mergeCell ref="L192:L193"/>
    <mergeCell ref="M192:M193"/>
    <mergeCell ref="N192:N193"/>
    <mergeCell ref="O192:O193"/>
    <mergeCell ref="A192:A193"/>
    <mergeCell ref="E192:E193"/>
    <mergeCell ref="H192:H193"/>
    <mergeCell ref="I192:I193"/>
    <mergeCell ref="J192:J193"/>
    <mergeCell ref="X190:X191"/>
    <mergeCell ref="Y190:Y191"/>
    <mergeCell ref="Z190:Z191"/>
    <mergeCell ref="AA190:AA191"/>
    <mergeCell ref="AB190:AB191"/>
    <mergeCell ref="K190:K191"/>
    <mergeCell ref="L190:L191"/>
    <mergeCell ref="M190:M191"/>
    <mergeCell ref="N190:N191"/>
    <mergeCell ref="O190:O191"/>
    <mergeCell ref="A190:A191"/>
    <mergeCell ref="E190:E191"/>
    <mergeCell ref="H190:H191"/>
    <mergeCell ref="I190:I191"/>
    <mergeCell ref="J190:J191"/>
    <mergeCell ref="X188:X189"/>
    <mergeCell ref="Y188:Y189"/>
    <mergeCell ref="Z188:Z189"/>
    <mergeCell ref="AA188:AA189"/>
    <mergeCell ref="AB188:AB189"/>
    <mergeCell ref="K188:K189"/>
    <mergeCell ref="L188:L189"/>
    <mergeCell ref="M188:M189"/>
    <mergeCell ref="N188:N189"/>
    <mergeCell ref="O188:O189"/>
    <mergeCell ref="A188:A189"/>
    <mergeCell ref="E188:E189"/>
    <mergeCell ref="H188:H189"/>
    <mergeCell ref="I188:I189"/>
    <mergeCell ref="J188:J189"/>
    <mergeCell ref="X186:X187"/>
    <mergeCell ref="Y186:Y187"/>
    <mergeCell ref="Z186:Z187"/>
    <mergeCell ref="AA186:AA187"/>
    <mergeCell ref="AB186:AB187"/>
    <mergeCell ref="K186:K187"/>
    <mergeCell ref="L186:L187"/>
    <mergeCell ref="M186:M187"/>
    <mergeCell ref="N186:N187"/>
    <mergeCell ref="O186:O187"/>
    <mergeCell ref="A186:A187"/>
    <mergeCell ref="E186:E187"/>
    <mergeCell ref="H186:H187"/>
    <mergeCell ref="I186:I187"/>
    <mergeCell ref="J186:J187"/>
    <mergeCell ref="X184:X185"/>
    <mergeCell ref="Y184:Y185"/>
    <mergeCell ref="Z184:Z185"/>
    <mergeCell ref="AA184:AA185"/>
    <mergeCell ref="AB184:AB185"/>
    <mergeCell ref="K184:K185"/>
    <mergeCell ref="L184:L185"/>
    <mergeCell ref="M184:M185"/>
    <mergeCell ref="N184:N185"/>
    <mergeCell ref="O184:O185"/>
    <mergeCell ref="A184:A185"/>
    <mergeCell ref="E184:E185"/>
    <mergeCell ref="H184:H185"/>
    <mergeCell ref="I184:I185"/>
    <mergeCell ref="J184:J185"/>
    <mergeCell ref="X182:X183"/>
    <mergeCell ref="Y182:Y183"/>
    <mergeCell ref="Z182:Z183"/>
    <mergeCell ref="AA182:AA183"/>
    <mergeCell ref="AB182:AB183"/>
    <mergeCell ref="K182:K183"/>
    <mergeCell ref="L182:L183"/>
    <mergeCell ref="M182:M183"/>
    <mergeCell ref="N182:N183"/>
    <mergeCell ref="O182:O183"/>
    <mergeCell ref="A182:A183"/>
    <mergeCell ref="E182:E183"/>
    <mergeCell ref="H182:H183"/>
    <mergeCell ref="I182:I183"/>
    <mergeCell ref="J182:J183"/>
    <mergeCell ref="X180:X181"/>
    <mergeCell ref="Y180:Y181"/>
    <mergeCell ref="Z180:Z181"/>
    <mergeCell ref="AA180:AA181"/>
    <mergeCell ref="AB180:AB181"/>
    <mergeCell ref="K180:K181"/>
    <mergeCell ref="L180:L181"/>
    <mergeCell ref="M180:M181"/>
    <mergeCell ref="N180:N181"/>
    <mergeCell ref="O180:O181"/>
    <mergeCell ref="A180:A181"/>
    <mergeCell ref="E180:E181"/>
    <mergeCell ref="H180:H181"/>
    <mergeCell ref="I180:I181"/>
    <mergeCell ref="J180:J181"/>
    <mergeCell ref="X178:X179"/>
    <mergeCell ref="Y178:Y179"/>
    <mergeCell ref="Z178:Z179"/>
    <mergeCell ref="AA178:AA179"/>
    <mergeCell ref="AB178:AB179"/>
    <mergeCell ref="K178:K179"/>
    <mergeCell ref="L178:L179"/>
    <mergeCell ref="M178:M179"/>
    <mergeCell ref="N178:N179"/>
    <mergeCell ref="O178:O179"/>
    <mergeCell ref="A178:A179"/>
    <mergeCell ref="E178:E179"/>
    <mergeCell ref="H178:H179"/>
    <mergeCell ref="I178:I179"/>
    <mergeCell ref="J178:J179"/>
    <mergeCell ref="X176:X177"/>
    <mergeCell ref="Y176:Y177"/>
    <mergeCell ref="Z176:Z177"/>
    <mergeCell ref="AA176:AA177"/>
    <mergeCell ref="AB176:AB177"/>
    <mergeCell ref="K176:K177"/>
    <mergeCell ref="L176:L177"/>
    <mergeCell ref="M176:M177"/>
    <mergeCell ref="N176:N177"/>
    <mergeCell ref="O176:O177"/>
    <mergeCell ref="A176:A177"/>
    <mergeCell ref="E176:E177"/>
    <mergeCell ref="H176:H177"/>
    <mergeCell ref="I176:I177"/>
    <mergeCell ref="J176:J177"/>
    <mergeCell ref="X174:X175"/>
    <mergeCell ref="Y174:Y175"/>
    <mergeCell ref="Z174:Z175"/>
    <mergeCell ref="AA174:AA175"/>
    <mergeCell ref="AB174:AB175"/>
    <mergeCell ref="K174:K175"/>
    <mergeCell ref="L174:L175"/>
    <mergeCell ref="M174:M175"/>
    <mergeCell ref="N174:N175"/>
    <mergeCell ref="O174:O175"/>
    <mergeCell ref="A174:A175"/>
    <mergeCell ref="E174:E175"/>
    <mergeCell ref="H174:H175"/>
    <mergeCell ref="I174:I175"/>
    <mergeCell ref="J174:J175"/>
    <mergeCell ref="X172:X173"/>
    <mergeCell ref="Y172:Y173"/>
    <mergeCell ref="Z172:Z173"/>
    <mergeCell ref="AA172:AA173"/>
    <mergeCell ref="AB172:AB173"/>
    <mergeCell ref="K172:K173"/>
    <mergeCell ref="L172:L173"/>
    <mergeCell ref="M172:M173"/>
    <mergeCell ref="N172:N173"/>
    <mergeCell ref="O172:O173"/>
    <mergeCell ref="A172:A173"/>
    <mergeCell ref="E172:E173"/>
    <mergeCell ref="H172:H173"/>
    <mergeCell ref="I172:I173"/>
    <mergeCell ref="J172:J173"/>
    <mergeCell ref="X170:X171"/>
    <mergeCell ref="Y170:Y171"/>
    <mergeCell ref="Z170:Z171"/>
    <mergeCell ref="AA170:AA171"/>
    <mergeCell ref="AB170:AB171"/>
    <mergeCell ref="K170:K171"/>
    <mergeCell ref="L170:L171"/>
    <mergeCell ref="M170:M171"/>
    <mergeCell ref="N170:N171"/>
    <mergeCell ref="O170:O171"/>
    <mergeCell ref="A170:A171"/>
    <mergeCell ref="E170:E171"/>
    <mergeCell ref="H170:H171"/>
    <mergeCell ref="I170:I171"/>
    <mergeCell ref="J170:J171"/>
    <mergeCell ref="X168:X169"/>
    <mergeCell ref="Y168:Y169"/>
    <mergeCell ref="Z168:Z169"/>
    <mergeCell ref="AA168:AA169"/>
    <mergeCell ref="AB168:AB169"/>
    <mergeCell ref="K168:K169"/>
    <mergeCell ref="L168:L169"/>
    <mergeCell ref="M168:M169"/>
    <mergeCell ref="N168:N169"/>
    <mergeCell ref="O168:O169"/>
    <mergeCell ref="A168:A169"/>
    <mergeCell ref="E168:E169"/>
    <mergeCell ref="H168:H169"/>
    <mergeCell ref="I168:I169"/>
    <mergeCell ref="J168:J169"/>
    <mergeCell ref="X166:X167"/>
    <mergeCell ref="Y166:Y167"/>
    <mergeCell ref="Z166:Z167"/>
    <mergeCell ref="AA166:AA167"/>
    <mergeCell ref="AB166:AB167"/>
    <mergeCell ref="K166:K167"/>
    <mergeCell ref="L166:L167"/>
    <mergeCell ref="M166:M167"/>
    <mergeCell ref="N166:N167"/>
    <mergeCell ref="O166:O167"/>
    <mergeCell ref="A166:A167"/>
    <mergeCell ref="E166:E167"/>
    <mergeCell ref="H166:H167"/>
    <mergeCell ref="I166:I167"/>
    <mergeCell ref="J166:J167"/>
    <mergeCell ref="X164:X165"/>
    <mergeCell ref="Y164:Y165"/>
    <mergeCell ref="Z164:Z165"/>
    <mergeCell ref="AA164:AA165"/>
    <mergeCell ref="AB164:AB165"/>
    <mergeCell ref="K164:K165"/>
    <mergeCell ref="L164:L165"/>
    <mergeCell ref="M164:M165"/>
    <mergeCell ref="N164:N165"/>
    <mergeCell ref="O164:O165"/>
    <mergeCell ref="A164:A165"/>
    <mergeCell ref="E164:E165"/>
    <mergeCell ref="H164:H165"/>
    <mergeCell ref="I164:I165"/>
    <mergeCell ref="J164:J165"/>
    <mergeCell ref="X162:X163"/>
    <mergeCell ref="Y162:Y163"/>
    <mergeCell ref="Z162:Z163"/>
    <mergeCell ref="AA162:AA163"/>
    <mergeCell ref="AB162:AB163"/>
    <mergeCell ref="K162:K163"/>
    <mergeCell ref="L162:L163"/>
    <mergeCell ref="M162:M163"/>
    <mergeCell ref="N162:N163"/>
    <mergeCell ref="O162:O163"/>
    <mergeCell ref="A162:A163"/>
    <mergeCell ref="E162:E163"/>
    <mergeCell ref="H162:H163"/>
    <mergeCell ref="I162:I163"/>
    <mergeCell ref="J162:J163"/>
    <mergeCell ref="X160:X161"/>
    <mergeCell ref="Y160:Y161"/>
    <mergeCell ref="Z160:Z161"/>
    <mergeCell ref="AA160:AA161"/>
    <mergeCell ref="AB160:AB161"/>
    <mergeCell ref="K160:K161"/>
    <mergeCell ref="L160:L161"/>
    <mergeCell ref="M160:M161"/>
    <mergeCell ref="N160:N161"/>
    <mergeCell ref="O160:O161"/>
    <mergeCell ref="A160:A161"/>
    <mergeCell ref="E160:E161"/>
    <mergeCell ref="H160:H161"/>
    <mergeCell ref="I160:I161"/>
    <mergeCell ref="J160:J161"/>
    <mergeCell ref="X158:X159"/>
    <mergeCell ref="Y158:Y159"/>
    <mergeCell ref="Z158:Z159"/>
    <mergeCell ref="AA158:AA159"/>
    <mergeCell ref="AB158:AB159"/>
    <mergeCell ref="K158:K159"/>
    <mergeCell ref="L158:L159"/>
    <mergeCell ref="M158:M159"/>
    <mergeCell ref="N158:N159"/>
    <mergeCell ref="O158:O159"/>
    <mergeCell ref="A158:A159"/>
    <mergeCell ref="E158:E159"/>
    <mergeCell ref="H158:H159"/>
    <mergeCell ref="I158:I159"/>
    <mergeCell ref="J158:J159"/>
    <mergeCell ref="X156:X157"/>
    <mergeCell ref="Y156:Y157"/>
    <mergeCell ref="Z156:Z157"/>
    <mergeCell ref="AA156:AA157"/>
    <mergeCell ref="AB156:AB157"/>
    <mergeCell ref="K156:K157"/>
    <mergeCell ref="L156:L157"/>
    <mergeCell ref="M156:M157"/>
    <mergeCell ref="N156:N157"/>
    <mergeCell ref="O156:O157"/>
    <mergeCell ref="A156:A157"/>
    <mergeCell ref="E156:E157"/>
    <mergeCell ref="H156:H157"/>
    <mergeCell ref="I156:I157"/>
    <mergeCell ref="J156:J157"/>
    <mergeCell ref="X154:X155"/>
    <mergeCell ref="Y154:Y155"/>
    <mergeCell ref="Z154:Z155"/>
    <mergeCell ref="AA154:AA155"/>
    <mergeCell ref="AB154:AB155"/>
    <mergeCell ref="K154:K155"/>
    <mergeCell ref="L154:L155"/>
    <mergeCell ref="M154:M155"/>
    <mergeCell ref="N154:N155"/>
    <mergeCell ref="O154:O155"/>
    <mergeCell ref="A154:A155"/>
    <mergeCell ref="E154:E155"/>
    <mergeCell ref="H154:H155"/>
    <mergeCell ref="I154:I155"/>
    <mergeCell ref="J154:J155"/>
    <mergeCell ref="X152:X153"/>
    <mergeCell ref="Y152:Y153"/>
    <mergeCell ref="Z152:Z153"/>
    <mergeCell ref="AA152:AA153"/>
    <mergeCell ref="AB152:AB153"/>
    <mergeCell ref="K152:K153"/>
    <mergeCell ref="L152:L153"/>
    <mergeCell ref="M152:M153"/>
    <mergeCell ref="N152:N153"/>
    <mergeCell ref="O152:O153"/>
    <mergeCell ref="A152:A153"/>
    <mergeCell ref="E152:E153"/>
    <mergeCell ref="H152:H153"/>
    <mergeCell ref="I152:I153"/>
    <mergeCell ref="J152:J153"/>
    <mergeCell ref="X150:X151"/>
    <mergeCell ref="Y150:Y151"/>
    <mergeCell ref="Z150:Z151"/>
    <mergeCell ref="AA150:AA151"/>
    <mergeCell ref="AB150:AB151"/>
    <mergeCell ref="K150:K151"/>
    <mergeCell ref="L150:L151"/>
    <mergeCell ref="M150:M151"/>
    <mergeCell ref="N150:N151"/>
    <mergeCell ref="O150:O151"/>
    <mergeCell ref="A150:A151"/>
    <mergeCell ref="E150:E151"/>
    <mergeCell ref="H150:H151"/>
    <mergeCell ref="I150:I151"/>
    <mergeCell ref="J150:J151"/>
    <mergeCell ref="X148:X149"/>
    <mergeCell ref="Y148:Y149"/>
    <mergeCell ref="Z148:Z149"/>
    <mergeCell ref="AA148:AA149"/>
    <mergeCell ref="AB148:AB149"/>
    <mergeCell ref="K148:K149"/>
    <mergeCell ref="L148:L149"/>
    <mergeCell ref="M148:M149"/>
    <mergeCell ref="N148:N149"/>
    <mergeCell ref="O148:O149"/>
    <mergeCell ref="A148:A149"/>
    <mergeCell ref="E148:E149"/>
    <mergeCell ref="H148:H149"/>
    <mergeCell ref="I148:I149"/>
    <mergeCell ref="J148:J149"/>
    <mergeCell ref="X146:X147"/>
    <mergeCell ref="Y146:Y147"/>
    <mergeCell ref="Z146:Z147"/>
    <mergeCell ref="AA146:AA147"/>
    <mergeCell ref="AB146:AB147"/>
    <mergeCell ref="K146:K147"/>
    <mergeCell ref="L146:L147"/>
    <mergeCell ref="M146:M147"/>
    <mergeCell ref="N146:N147"/>
    <mergeCell ref="O146:O147"/>
    <mergeCell ref="A146:A147"/>
    <mergeCell ref="E146:E147"/>
    <mergeCell ref="H146:H147"/>
    <mergeCell ref="I146:I147"/>
    <mergeCell ref="J146:J147"/>
    <mergeCell ref="X144:X145"/>
    <mergeCell ref="Y144:Y145"/>
    <mergeCell ref="Z144:Z145"/>
    <mergeCell ref="AA144:AA145"/>
    <mergeCell ref="AB144:AB145"/>
    <mergeCell ref="K144:K145"/>
    <mergeCell ref="L144:L145"/>
    <mergeCell ref="M144:M145"/>
    <mergeCell ref="N144:N145"/>
    <mergeCell ref="O144:O145"/>
    <mergeCell ref="A144:A145"/>
    <mergeCell ref="E144:E145"/>
    <mergeCell ref="H144:H145"/>
    <mergeCell ref="I144:I145"/>
    <mergeCell ref="J144:J145"/>
    <mergeCell ref="X142:X143"/>
    <mergeCell ref="Y142:Y143"/>
    <mergeCell ref="Z142:Z143"/>
    <mergeCell ref="AA142:AA143"/>
    <mergeCell ref="AB142:AB143"/>
    <mergeCell ref="K142:K143"/>
    <mergeCell ref="L142:L143"/>
    <mergeCell ref="M142:M143"/>
    <mergeCell ref="N142:N143"/>
    <mergeCell ref="O142:O143"/>
    <mergeCell ref="A142:A143"/>
    <mergeCell ref="E142:E143"/>
    <mergeCell ref="H142:H143"/>
    <mergeCell ref="I142:I143"/>
    <mergeCell ref="J142:J143"/>
    <mergeCell ref="X140:X141"/>
    <mergeCell ref="Y140:Y141"/>
    <mergeCell ref="Z140:Z141"/>
    <mergeCell ref="AA140:AA141"/>
    <mergeCell ref="AB140:AB141"/>
    <mergeCell ref="K140:K141"/>
    <mergeCell ref="L140:L141"/>
    <mergeCell ref="M140:M141"/>
    <mergeCell ref="N140:N141"/>
    <mergeCell ref="O140:O141"/>
    <mergeCell ref="A140:A141"/>
    <mergeCell ref="E140:E141"/>
    <mergeCell ref="H140:H141"/>
    <mergeCell ref="I140:I141"/>
    <mergeCell ref="J140:J141"/>
    <mergeCell ref="X138:X139"/>
    <mergeCell ref="Y138:Y139"/>
    <mergeCell ref="Z138:Z139"/>
    <mergeCell ref="AA138:AA139"/>
    <mergeCell ref="AB138:AB139"/>
    <mergeCell ref="K138:K139"/>
    <mergeCell ref="L138:L139"/>
    <mergeCell ref="M138:M139"/>
    <mergeCell ref="N138:N139"/>
    <mergeCell ref="O138:O139"/>
    <mergeCell ref="A138:A139"/>
    <mergeCell ref="E138:E139"/>
    <mergeCell ref="H138:H139"/>
    <mergeCell ref="I138:I139"/>
    <mergeCell ref="J138:J139"/>
    <mergeCell ref="X136:X137"/>
    <mergeCell ref="Y136:Y137"/>
    <mergeCell ref="Z136:Z137"/>
    <mergeCell ref="AA136:AA137"/>
    <mergeCell ref="AB136:AB137"/>
    <mergeCell ref="K136:K137"/>
    <mergeCell ref="L136:L137"/>
    <mergeCell ref="M136:M137"/>
    <mergeCell ref="N136:N137"/>
    <mergeCell ref="O136:O137"/>
    <mergeCell ref="A136:A137"/>
    <mergeCell ref="E136:E137"/>
    <mergeCell ref="H136:H137"/>
    <mergeCell ref="I136:I137"/>
    <mergeCell ref="J136:J137"/>
    <mergeCell ref="X134:X135"/>
    <mergeCell ref="Y134:Y135"/>
    <mergeCell ref="Z134:Z135"/>
    <mergeCell ref="AA134:AA135"/>
    <mergeCell ref="AB134:AB135"/>
    <mergeCell ref="K134:K135"/>
    <mergeCell ref="L134:L135"/>
    <mergeCell ref="M134:M135"/>
    <mergeCell ref="N134:N135"/>
    <mergeCell ref="O134:O135"/>
    <mergeCell ref="A134:A135"/>
    <mergeCell ref="E134:E135"/>
    <mergeCell ref="H134:H135"/>
    <mergeCell ref="I134:I135"/>
    <mergeCell ref="J134:J135"/>
    <mergeCell ref="X132:X133"/>
    <mergeCell ref="Y132:Y133"/>
    <mergeCell ref="Z132:Z133"/>
    <mergeCell ref="AA132:AA133"/>
    <mergeCell ref="AB132:AB133"/>
    <mergeCell ref="K132:K133"/>
    <mergeCell ref="L132:L133"/>
    <mergeCell ref="M132:M133"/>
    <mergeCell ref="N132:N133"/>
    <mergeCell ref="O132:O133"/>
    <mergeCell ref="A132:A133"/>
    <mergeCell ref="E132:E133"/>
    <mergeCell ref="H132:H133"/>
    <mergeCell ref="I132:I133"/>
    <mergeCell ref="J132:J133"/>
    <mergeCell ref="X130:X131"/>
    <mergeCell ref="Y130:Y131"/>
    <mergeCell ref="Z130:Z131"/>
    <mergeCell ref="AA130:AA131"/>
    <mergeCell ref="AB130:AB131"/>
    <mergeCell ref="K130:K131"/>
    <mergeCell ref="L130:L131"/>
    <mergeCell ref="M130:M131"/>
    <mergeCell ref="N130:N131"/>
    <mergeCell ref="O130:O131"/>
    <mergeCell ref="A130:A131"/>
    <mergeCell ref="E130:E131"/>
    <mergeCell ref="H130:H131"/>
    <mergeCell ref="I130:I131"/>
    <mergeCell ref="J130:J131"/>
    <mergeCell ref="X128:X129"/>
    <mergeCell ref="Y128:Y129"/>
    <mergeCell ref="Z128:Z129"/>
    <mergeCell ref="AA128:AA129"/>
    <mergeCell ref="AB128:AB129"/>
    <mergeCell ref="K128:K129"/>
    <mergeCell ref="L128:L129"/>
    <mergeCell ref="M128:M129"/>
    <mergeCell ref="N128:N129"/>
    <mergeCell ref="O128:O129"/>
    <mergeCell ref="A128:A129"/>
    <mergeCell ref="E128:E129"/>
    <mergeCell ref="H128:H129"/>
    <mergeCell ref="I128:I129"/>
    <mergeCell ref="J128:J129"/>
    <mergeCell ref="X126:X127"/>
    <mergeCell ref="Y126:Y127"/>
    <mergeCell ref="Z126:Z127"/>
    <mergeCell ref="AA126:AA127"/>
    <mergeCell ref="AB126:AB127"/>
    <mergeCell ref="K126:K127"/>
    <mergeCell ref="L126:L127"/>
    <mergeCell ref="M126:M127"/>
    <mergeCell ref="N126:N127"/>
    <mergeCell ref="O126:O127"/>
    <mergeCell ref="A126:A127"/>
    <mergeCell ref="E126:E127"/>
    <mergeCell ref="H126:H127"/>
    <mergeCell ref="I126:I127"/>
    <mergeCell ref="J126:J127"/>
    <mergeCell ref="X124:X125"/>
    <mergeCell ref="Y124:Y125"/>
    <mergeCell ref="Z124:Z125"/>
    <mergeCell ref="AA124:AA125"/>
    <mergeCell ref="AB124:AB125"/>
    <mergeCell ref="K124:K125"/>
    <mergeCell ref="L124:L125"/>
    <mergeCell ref="M124:M125"/>
    <mergeCell ref="N124:N125"/>
    <mergeCell ref="O124:O125"/>
    <mergeCell ref="A124:A125"/>
    <mergeCell ref="E124:E125"/>
    <mergeCell ref="H124:H125"/>
    <mergeCell ref="I124:I125"/>
    <mergeCell ref="J124:J125"/>
    <mergeCell ref="X122:X123"/>
    <mergeCell ref="Y122:Y123"/>
    <mergeCell ref="Z122:Z123"/>
    <mergeCell ref="AA122:AA123"/>
    <mergeCell ref="AB122:AB123"/>
    <mergeCell ref="K122:K123"/>
    <mergeCell ref="L122:L123"/>
    <mergeCell ref="M122:M123"/>
    <mergeCell ref="N122:N123"/>
    <mergeCell ref="O122:O123"/>
    <mergeCell ref="A122:A123"/>
    <mergeCell ref="E122:E123"/>
    <mergeCell ref="H122:H123"/>
    <mergeCell ref="I122:I123"/>
    <mergeCell ref="J122:J123"/>
    <mergeCell ref="X120:X121"/>
    <mergeCell ref="Y120:Y121"/>
    <mergeCell ref="Z120:Z121"/>
    <mergeCell ref="AA120:AA121"/>
    <mergeCell ref="AB120:AB121"/>
    <mergeCell ref="K120:K121"/>
    <mergeCell ref="L120:L121"/>
    <mergeCell ref="M120:M121"/>
    <mergeCell ref="N120:N121"/>
    <mergeCell ref="O120:O121"/>
    <mergeCell ref="A120:A121"/>
    <mergeCell ref="E120:E121"/>
    <mergeCell ref="H120:H121"/>
    <mergeCell ref="I120:I121"/>
    <mergeCell ref="J120:J121"/>
    <mergeCell ref="X118:X119"/>
    <mergeCell ref="Y118:Y119"/>
    <mergeCell ref="Z118:Z119"/>
    <mergeCell ref="AA118:AA119"/>
    <mergeCell ref="AB118:AB119"/>
    <mergeCell ref="K118:K119"/>
    <mergeCell ref="L118:L119"/>
    <mergeCell ref="M118:M119"/>
    <mergeCell ref="N118:N119"/>
    <mergeCell ref="O118:O119"/>
    <mergeCell ref="A118:A119"/>
    <mergeCell ref="E118:E119"/>
    <mergeCell ref="H118:H119"/>
    <mergeCell ref="I118:I119"/>
    <mergeCell ref="J118:J119"/>
    <mergeCell ref="X116:X117"/>
    <mergeCell ref="Y116:Y117"/>
    <mergeCell ref="Z116:Z117"/>
    <mergeCell ref="AA116:AA117"/>
    <mergeCell ref="AB116:AB117"/>
    <mergeCell ref="K116:K117"/>
    <mergeCell ref="L116:L117"/>
    <mergeCell ref="M116:M117"/>
    <mergeCell ref="N116:N117"/>
    <mergeCell ref="O116:O117"/>
    <mergeCell ref="A116:A117"/>
    <mergeCell ref="E116:E117"/>
    <mergeCell ref="H116:H117"/>
    <mergeCell ref="I116:I117"/>
    <mergeCell ref="J116:J117"/>
    <mergeCell ref="X114:X115"/>
    <mergeCell ref="Y114:Y115"/>
    <mergeCell ref="Z114:Z115"/>
    <mergeCell ref="AA114:AA115"/>
    <mergeCell ref="AB114:AB115"/>
    <mergeCell ref="K114:K115"/>
    <mergeCell ref="L114:L115"/>
    <mergeCell ref="M114:M115"/>
    <mergeCell ref="N114:N115"/>
    <mergeCell ref="O114:O115"/>
    <mergeCell ref="A114:A115"/>
    <mergeCell ref="E114:E115"/>
    <mergeCell ref="H114:H115"/>
    <mergeCell ref="I114:I115"/>
    <mergeCell ref="J114:J115"/>
    <mergeCell ref="X112:X113"/>
    <mergeCell ref="Y112:Y113"/>
    <mergeCell ref="Z112:Z113"/>
    <mergeCell ref="AA112:AA113"/>
    <mergeCell ref="AB112:AB113"/>
    <mergeCell ref="K112:K113"/>
    <mergeCell ref="L112:L113"/>
    <mergeCell ref="M112:M113"/>
    <mergeCell ref="N112:N113"/>
    <mergeCell ref="O112:O113"/>
    <mergeCell ref="A112:A113"/>
    <mergeCell ref="E112:E113"/>
    <mergeCell ref="H112:H113"/>
    <mergeCell ref="I112:I113"/>
    <mergeCell ref="J112:J113"/>
    <mergeCell ref="X110:X111"/>
    <mergeCell ref="Y110:Y111"/>
    <mergeCell ref="Z110:Z111"/>
    <mergeCell ref="AA110:AA111"/>
    <mergeCell ref="AB110:AB111"/>
    <mergeCell ref="K110:K111"/>
    <mergeCell ref="L110:L111"/>
    <mergeCell ref="M110:M111"/>
    <mergeCell ref="N110:N111"/>
    <mergeCell ref="O110:O111"/>
    <mergeCell ref="A110:A111"/>
    <mergeCell ref="E110:E111"/>
    <mergeCell ref="H110:H111"/>
    <mergeCell ref="I110:I111"/>
    <mergeCell ref="J110:J111"/>
    <mergeCell ref="X108:X109"/>
    <mergeCell ref="Y108:Y109"/>
    <mergeCell ref="Z108:Z109"/>
    <mergeCell ref="AA108:AA109"/>
    <mergeCell ref="AB108:AB109"/>
    <mergeCell ref="K108:K109"/>
    <mergeCell ref="L108:L109"/>
    <mergeCell ref="M108:M109"/>
    <mergeCell ref="N108:N109"/>
    <mergeCell ref="O108:O109"/>
    <mergeCell ref="A108:A109"/>
    <mergeCell ref="E108:E109"/>
    <mergeCell ref="H108:H109"/>
    <mergeCell ref="I108:I109"/>
    <mergeCell ref="J108:J109"/>
    <mergeCell ref="X106:X107"/>
    <mergeCell ref="Y106:Y107"/>
    <mergeCell ref="Z106:Z107"/>
    <mergeCell ref="AA106:AA107"/>
    <mergeCell ref="AB106:AB107"/>
    <mergeCell ref="K106:K107"/>
    <mergeCell ref="L106:L107"/>
    <mergeCell ref="M106:M107"/>
    <mergeCell ref="N106:N107"/>
    <mergeCell ref="O106:O107"/>
    <mergeCell ref="A106:A107"/>
    <mergeCell ref="E106:E107"/>
    <mergeCell ref="H106:H107"/>
    <mergeCell ref="I106:I107"/>
    <mergeCell ref="J106:J107"/>
    <mergeCell ref="X104:X105"/>
    <mergeCell ref="Y104:Y105"/>
    <mergeCell ref="Z104:Z105"/>
    <mergeCell ref="AA104:AA105"/>
    <mergeCell ref="AB104:AB105"/>
    <mergeCell ref="K104:K105"/>
    <mergeCell ref="L104:L105"/>
    <mergeCell ref="M104:M105"/>
    <mergeCell ref="N104:N105"/>
    <mergeCell ref="O104:O105"/>
    <mergeCell ref="A104:A105"/>
    <mergeCell ref="E104:E105"/>
    <mergeCell ref="H104:H105"/>
    <mergeCell ref="I104:I105"/>
    <mergeCell ref="J104:J105"/>
    <mergeCell ref="X102:X103"/>
    <mergeCell ref="Y102:Y103"/>
    <mergeCell ref="Z102:Z103"/>
    <mergeCell ref="AA102:AA103"/>
    <mergeCell ref="AB102:AB103"/>
    <mergeCell ref="K102:K103"/>
    <mergeCell ref="L102:L103"/>
    <mergeCell ref="M102:M103"/>
    <mergeCell ref="N102:N103"/>
    <mergeCell ref="O102:O103"/>
    <mergeCell ref="A102:A103"/>
    <mergeCell ref="E102:E103"/>
    <mergeCell ref="H102:H103"/>
    <mergeCell ref="I102:I103"/>
    <mergeCell ref="J102:J103"/>
    <mergeCell ref="X100:X101"/>
    <mergeCell ref="Y100:Y101"/>
    <mergeCell ref="Z100:Z101"/>
    <mergeCell ref="AA100:AA101"/>
    <mergeCell ref="AB100:AB101"/>
    <mergeCell ref="K100:K101"/>
    <mergeCell ref="L100:L101"/>
    <mergeCell ref="M100:M101"/>
    <mergeCell ref="N100:N101"/>
    <mergeCell ref="O100:O101"/>
    <mergeCell ref="A100:A101"/>
    <mergeCell ref="E100:E101"/>
    <mergeCell ref="H100:H101"/>
    <mergeCell ref="I100:I101"/>
    <mergeCell ref="J100:J101"/>
    <mergeCell ref="X98:X99"/>
    <mergeCell ref="Y98:Y99"/>
    <mergeCell ref="Z98:Z99"/>
    <mergeCell ref="AA98:AA99"/>
    <mergeCell ref="AB98:AB99"/>
    <mergeCell ref="K98:K99"/>
    <mergeCell ref="L98:L99"/>
    <mergeCell ref="M98:M99"/>
    <mergeCell ref="N98:N99"/>
    <mergeCell ref="O98:O99"/>
    <mergeCell ref="A98:A99"/>
    <mergeCell ref="E98:E99"/>
    <mergeCell ref="H98:H99"/>
    <mergeCell ref="I98:I99"/>
    <mergeCell ref="J98:J99"/>
    <mergeCell ref="X96:X97"/>
    <mergeCell ref="Y96:Y97"/>
    <mergeCell ref="Z96:Z97"/>
    <mergeCell ref="AA96:AA97"/>
    <mergeCell ref="AB96:AB97"/>
    <mergeCell ref="K96:K97"/>
    <mergeCell ref="L96:L97"/>
    <mergeCell ref="M96:M97"/>
    <mergeCell ref="N96:N97"/>
    <mergeCell ref="O96:O97"/>
    <mergeCell ref="A96:A97"/>
    <mergeCell ref="E96:E97"/>
    <mergeCell ref="H96:H97"/>
    <mergeCell ref="I96:I97"/>
    <mergeCell ref="J96:J97"/>
    <mergeCell ref="X94:X95"/>
    <mergeCell ref="Y94:Y95"/>
    <mergeCell ref="Z94:Z95"/>
    <mergeCell ref="AA94:AA95"/>
    <mergeCell ref="AB94:AB95"/>
    <mergeCell ref="K94:K95"/>
    <mergeCell ref="L94:L95"/>
    <mergeCell ref="M94:M95"/>
    <mergeCell ref="N94:N95"/>
    <mergeCell ref="O94:O95"/>
    <mergeCell ref="A94:A95"/>
    <mergeCell ref="E94:E95"/>
    <mergeCell ref="H94:H95"/>
    <mergeCell ref="I94:I95"/>
    <mergeCell ref="J94:J95"/>
    <mergeCell ref="X92:X93"/>
    <mergeCell ref="Y92:Y93"/>
    <mergeCell ref="Z92:Z93"/>
    <mergeCell ref="AA92:AA93"/>
    <mergeCell ref="AB92:AB93"/>
    <mergeCell ref="K92:K93"/>
    <mergeCell ref="L92:L93"/>
    <mergeCell ref="M92:M93"/>
    <mergeCell ref="N92:N93"/>
    <mergeCell ref="O92:O93"/>
    <mergeCell ref="A92:A93"/>
    <mergeCell ref="E92:E93"/>
    <mergeCell ref="H92:H93"/>
    <mergeCell ref="I92:I93"/>
    <mergeCell ref="J92:J93"/>
    <mergeCell ref="X90:X91"/>
    <mergeCell ref="Y90:Y91"/>
    <mergeCell ref="Z90:Z91"/>
    <mergeCell ref="AA90:AA91"/>
    <mergeCell ref="AB90:AB91"/>
    <mergeCell ref="K90:K91"/>
    <mergeCell ref="L90:L91"/>
    <mergeCell ref="M90:M91"/>
    <mergeCell ref="N90:N91"/>
    <mergeCell ref="O90:O91"/>
    <mergeCell ref="A90:A91"/>
    <mergeCell ref="E90:E91"/>
    <mergeCell ref="H90:H91"/>
    <mergeCell ref="I90:I91"/>
    <mergeCell ref="J90:J91"/>
    <mergeCell ref="X88:X89"/>
    <mergeCell ref="Y88:Y89"/>
    <mergeCell ref="Z88:Z89"/>
    <mergeCell ref="AA88:AA89"/>
    <mergeCell ref="AB88:AB89"/>
    <mergeCell ref="K88:K89"/>
    <mergeCell ref="L88:L89"/>
    <mergeCell ref="M88:M89"/>
    <mergeCell ref="N88:N89"/>
    <mergeCell ref="O88:O89"/>
    <mergeCell ref="A88:A89"/>
    <mergeCell ref="E88:E89"/>
    <mergeCell ref="H88:H89"/>
    <mergeCell ref="I88:I89"/>
    <mergeCell ref="J88:J89"/>
    <mergeCell ref="X86:X87"/>
    <mergeCell ref="Y86:Y87"/>
    <mergeCell ref="Z86:Z87"/>
    <mergeCell ref="AA86:AA87"/>
    <mergeCell ref="AB86:AB87"/>
    <mergeCell ref="K86:K87"/>
    <mergeCell ref="L86:L87"/>
    <mergeCell ref="M86:M87"/>
    <mergeCell ref="N86:N87"/>
    <mergeCell ref="O86:O87"/>
    <mergeCell ref="A86:A87"/>
    <mergeCell ref="E86:E87"/>
    <mergeCell ref="H86:H87"/>
    <mergeCell ref="I86:I87"/>
    <mergeCell ref="J86:J87"/>
    <mergeCell ref="X84:X85"/>
    <mergeCell ref="Y84:Y85"/>
    <mergeCell ref="Z84:Z85"/>
    <mergeCell ref="AA84:AA85"/>
    <mergeCell ref="AB84:AB85"/>
    <mergeCell ref="K84:K85"/>
    <mergeCell ref="L84:L85"/>
    <mergeCell ref="M84:M85"/>
    <mergeCell ref="N84:N85"/>
    <mergeCell ref="O84:O85"/>
    <mergeCell ref="A84:A85"/>
    <mergeCell ref="E84:E85"/>
    <mergeCell ref="H84:H85"/>
    <mergeCell ref="I84:I85"/>
    <mergeCell ref="J84:J85"/>
    <mergeCell ref="X82:X83"/>
    <mergeCell ref="Y82:Y83"/>
    <mergeCell ref="Z82:Z83"/>
    <mergeCell ref="AA82:AA83"/>
    <mergeCell ref="AB82:AB83"/>
    <mergeCell ref="K82:K83"/>
    <mergeCell ref="L82:L83"/>
    <mergeCell ref="M82:M83"/>
    <mergeCell ref="N82:N83"/>
    <mergeCell ref="O82:O83"/>
    <mergeCell ref="A82:A83"/>
    <mergeCell ref="E82:E83"/>
    <mergeCell ref="H82:H83"/>
    <mergeCell ref="I82:I83"/>
    <mergeCell ref="J82:J83"/>
    <mergeCell ref="X80:X81"/>
    <mergeCell ref="Y80:Y81"/>
    <mergeCell ref="Z80:Z81"/>
    <mergeCell ref="AA80:AA81"/>
    <mergeCell ref="AB80:AB81"/>
    <mergeCell ref="K80:K81"/>
    <mergeCell ref="L80:L81"/>
    <mergeCell ref="M80:M81"/>
    <mergeCell ref="N80:N81"/>
    <mergeCell ref="O80:O81"/>
    <mergeCell ref="A80:A81"/>
    <mergeCell ref="E80:E81"/>
    <mergeCell ref="H80:H81"/>
    <mergeCell ref="I80:I81"/>
    <mergeCell ref="J80:J81"/>
    <mergeCell ref="X78:X79"/>
    <mergeCell ref="Y78:Y79"/>
    <mergeCell ref="Z78:Z79"/>
    <mergeCell ref="AA78:AA79"/>
    <mergeCell ref="AB78:AB79"/>
    <mergeCell ref="K78:K79"/>
    <mergeCell ref="L78:L79"/>
    <mergeCell ref="M78:M79"/>
    <mergeCell ref="N78:N79"/>
    <mergeCell ref="O78:O79"/>
    <mergeCell ref="A78:A79"/>
    <mergeCell ref="E78:E79"/>
    <mergeCell ref="H78:H79"/>
    <mergeCell ref="I78:I79"/>
    <mergeCell ref="J78:J79"/>
    <mergeCell ref="X76:X77"/>
    <mergeCell ref="Y76:Y77"/>
    <mergeCell ref="Z76:Z77"/>
    <mergeCell ref="AA76:AA77"/>
    <mergeCell ref="AB76:AB77"/>
    <mergeCell ref="K76:K77"/>
    <mergeCell ref="L76:L77"/>
    <mergeCell ref="M76:M77"/>
    <mergeCell ref="N76:N77"/>
    <mergeCell ref="O76:O77"/>
    <mergeCell ref="A76:A77"/>
    <mergeCell ref="E76:E77"/>
    <mergeCell ref="H76:H77"/>
    <mergeCell ref="I76:I77"/>
    <mergeCell ref="J76:J77"/>
    <mergeCell ref="X74:X75"/>
    <mergeCell ref="Y74:Y75"/>
    <mergeCell ref="Z74:Z75"/>
    <mergeCell ref="AA74:AA75"/>
    <mergeCell ref="AB74:AB75"/>
    <mergeCell ref="K74:K75"/>
    <mergeCell ref="L74:L75"/>
    <mergeCell ref="M74:M75"/>
    <mergeCell ref="N74:N75"/>
    <mergeCell ref="O74:O75"/>
    <mergeCell ref="A74:A75"/>
    <mergeCell ref="E74:E75"/>
    <mergeCell ref="H74:H75"/>
    <mergeCell ref="I74:I75"/>
    <mergeCell ref="J74:J75"/>
    <mergeCell ref="X72:X73"/>
    <mergeCell ref="Y72:Y73"/>
    <mergeCell ref="Z72:Z73"/>
    <mergeCell ref="AA72:AA73"/>
    <mergeCell ref="AB72:AB73"/>
    <mergeCell ref="K72:K73"/>
    <mergeCell ref="L72:L73"/>
    <mergeCell ref="M72:M73"/>
    <mergeCell ref="N72:N73"/>
    <mergeCell ref="O72:O73"/>
    <mergeCell ref="A72:A73"/>
    <mergeCell ref="E72:E73"/>
    <mergeCell ref="H72:H73"/>
    <mergeCell ref="I72:I73"/>
    <mergeCell ref="J72:J73"/>
    <mergeCell ref="X70:X71"/>
    <mergeCell ref="Y70:Y71"/>
    <mergeCell ref="Z70:Z71"/>
    <mergeCell ref="AA70:AA71"/>
    <mergeCell ref="AB70:AB71"/>
    <mergeCell ref="K70:K71"/>
    <mergeCell ref="L70:L71"/>
    <mergeCell ref="M70:M71"/>
    <mergeCell ref="N70:N71"/>
    <mergeCell ref="O70:O71"/>
    <mergeCell ref="A70:A71"/>
    <mergeCell ref="E70:E71"/>
    <mergeCell ref="H70:H71"/>
    <mergeCell ref="I70:I71"/>
    <mergeCell ref="J70:J71"/>
    <mergeCell ref="X68:X69"/>
    <mergeCell ref="Y68:Y69"/>
    <mergeCell ref="Z68:Z69"/>
    <mergeCell ref="AA68:AA69"/>
    <mergeCell ref="AB68:AB69"/>
    <mergeCell ref="K68:K69"/>
    <mergeCell ref="L68:L69"/>
    <mergeCell ref="M68:M69"/>
    <mergeCell ref="N68:N69"/>
    <mergeCell ref="O68:O69"/>
    <mergeCell ref="A68:A69"/>
    <mergeCell ref="E68:E69"/>
    <mergeCell ref="H68:H69"/>
    <mergeCell ref="I68:I69"/>
    <mergeCell ref="J68:J69"/>
    <mergeCell ref="X66:X67"/>
    <mergeCell ref="Y66:Y67"/>
    <mergeCell ref="Z66:Z67"/>
    <mergeCell ref="AA66:AA67"/>
    <mergeCell ref="AB66:AB67"/>
    <mergeCell ref="K66:K67"/>
    <mergeCell ref="L66:L67"/>
    <mergeCell ref="M66:M67"/>
    <mergeCell ref="N66:N67"/>
    <mergeCell ref="O66:O67"/>
    <mergeCell ref="A66:A67"/>
    <mergeCell ref="E66:E67"/>
    <mergeCell ref="H66:H67"/>
    <mergeCell ref="I66:I67"/>
    <mergeCell ref="J66:J67"/>
    <mergeCell ref="X64:X65"/>
    <mergeCell ref="Y64:Y65"/>
    <mergeCell ref="Z64:Z65"/>
    <mergeCell ref="AA64:AA65"/>
    <mergeCell ref="AB64:AB65"/>
    <mergeCell ref="K64:K65"/>
    <mergeCell ref="L64:L65"/>
    <mergeCell ref="M64:M65"/>
    <mergeCell ref="N64:N65"/>
    <mergeCell ref="O64:O65"/>
    <mergeCell ref="A64:A65"/>
    <mergeCell ref="E64:E65"/>
    <mergeCell ref="H64:H65"/>
    <mergeCell ref="I64:I65"/>
    <mergeCell ref="J64:J65"/>
    <mergeCell ref="X62:X63"/>
    <mergeCell ref="Y62:Y63"/>
    <mergeCell ref="Z62:Z63"/>
    <mergeCell ref="AA62:AA63"/>
    <mergeCell ref="AB62:AB63"/>
    <mergeCell ref="K62:K63"/>
    <mergeCell ref="L62:L63"/>
    <mergeCell ref="M62:M63"/>
    <mergeCell ref="N62:N63"/>
    <mergeCell ref="O62:O63"/>
    <mergeCell ref="A62:A63"/>
    <mergeCell ref="E62:E63"/>
    <mergeCell ref="H62:H63"/>
    <mergeCell ref="I62:I63"/>
    <mergeCell ref="J62:J63"/>
    <mergeCell ref="X60:X61"/>
    <mergeCell ref="Y60:Y61"/>
    <mergeCell ref="Z60:Z61"/>
    <mergeCell ref="AA60:AA61"/>
    <mergeCell ref="AB60:AB61"/>
    <mergeCell ref="K60:K61"/>
    <mergeCell ref="L60:L61"/>
    <mergeCell ref="M60:M61"/>
    <mergeCell ref="N60:N61"/>
    <mergeCell ref="O60:O61"/>
    <mergeCell ref="A60:A61"/>
    <mergeCell ref="E60:E61"/>
    <mergeCell ref="H60:H61"/>
    <mergeCell ref="I60:I61"/>
    <mergeCell ref="J60:J61"/>
    <mergeCell ref="X58:X59"/>
    <mergeCell ref="Y58:Y59"/>
    <mergeCell ref="Z58:Z59"/>
    <mergeCell ref="AA58:AA59"/>
    <mergeCell ref="AB58:AB59"/>
    <mergeCell ref="K58:K59"/>
    <mergeCell ref="L58:L59"/>
    <mergeCell ref="M58:M59"/>
    <mergeCell ref="N58:N59"/>
    <mergeCell ref="O58:O59"/>
    <mergeCell ref="A58:A59"/>
    <mergeCell ref="E58:E59"/>
    <mergeCell ref="H58:H59"/>
    <mergeCell ref="I58:I59"/>
    <mergeCell ref="J58:J59"/>
    <mergeCell ref="X56:X57"/>
    <mergeCell ref="Y56:Y57"/>
    <mergeCell ref="Z56:Z57"/>
    <mergeCell ref="AA56:AA57"/>
    <mergeCell ref="AB56:AB57"/>
    <mergeCell ref="K56:K57"/>
    <mergeCell ref="L56:L57"/>
    <mergeCell ref="M56:M57"/>
    <mergeCell ref="N56:N57"/>
    <mergeCell ref="O56:O57"/>
    <mergeCell ref="A56:A57"/>
    <mergeCell ref="E56:E57"/>
    <mergeCell ref="H56:H57"/>
    <mergeCell ref="I56:I57"/>
    <mergeCell ref="J56:J57"/>
    <mergeCell ref="X54:X55"/>
    <mergeCell ref="Y54:Y55"/>
    <mergeCell ref="Z54:Z55"/>
    <mergeCell ref="AA54:AA55"/>
    <mergeCell ref="AB54:AB55"/>
    <mergeCell ref="K54:K55"/>
    <mergeCell ref="L54:L55"/>
    <mergeCell ref="M54:M55"/>
    <mergeCell ref="N54:N55"/>
    <mergeCell ref="O54:O55"/>
    <mergeCell ref="A54:A55"/>
    <mergeCell ref="E54:E55"/>
    <mergeCell ref="H54:H55"/>
    <mergeCell ref="I54:I55"/>
    <mergeCell ref="J54:J55"/>
    <mergeCell ref="X52:X53"/>
    <mergeCell ref="Y52:Y53"/>
    <mergeCell ref="Z52:Z53"/>
    <mergeCell ref="AA52:AA53"/>
    <mergeCell ref="AB52:AB53"/>
    <mergeCell ref="K52:K53"/>
    <mergeCell ref="L52:L53"/>
    <mergeCell ref="M52:M53"/>
    <mergeCell ref="N52:N53"/>
    <mergeCell ref="O52:O53"/>
    <mergeCell ref="A52:A53"/>
    <mergeCell ref="E52:E53"/>
    <mergeCell ref="H52:H53"/>
    <mergeCell ref="I52:I53"/>
    <mergeCell ref="J52:J53"/>
    <mergeCell ref="X50:X51"/>
    <mergeCell ref="Y50:Y51"/>
    <mergeCell ref="Z50:Z51"/>
    <mergeCell ref="AA50:AA51"/>
    <mergeCell ref="AB50:AB51"/>
    <mergeCell ref="K50:K51"/>
    <mergeCell ref="L50:L51"/>
    <mergeCell ref="M50:M51"/>
    <mergeCell ref="N50:N51"/>
    <mergeCell ref="O50:O51"/>
    <mergeCell ref="A50:A51"/>
    <mergeCell ref="E50:E51"/>
    <mergeCell ref="H50:H51"/>
    <mergeCell ref="I50:I51"/>
    <mergeCell ref="J50:J51"/>
    <mergeCell ref="X48:X49"/>
    <mergeCell ref="Y48:Y49"/>
    <mergeCell ref="Z48:Z49"/>
    <mergeCell ref="AA48:AA49"/>
    <mergeCell ref="AB48:AB49"/>
    <mergeCell ref="K48:K49"/>
    <mergeCell ref="L48:L49"/>
    <mergeCell ref="M48:M49"/>
    <mergeCell ref="N48:N49"/>
    <mergeCell ref="O48:O49"/>
    <mergeCell ref="A48:A49"/>
    <mergeCell ref="E48:E49"/>
    <mergeCell ref="H48:H49"/>
    <mergeCell ref="I48:I49"/>
    <mergeCell ref="J48:J49"/>
    <mergeCell ref="X46:X47"/>
    <mergeCell ref="Y46:Y47"/>
    <mergeCell ref="Z46:Z47"/>
    <mergeCell ref="AA46:AA47"/>
    <mergeCell ref="AB46:AB47"/>
    <mergeCell ref="K46:K47"/>
    <mergeCell ref="L46:L47"/>
    <mergeCell ref="M46:M47"/>
    <mergeCell ref="N46:N47"/>
    <mergeCell ref="O46:O47"/>
    <mergeCell ref="A46:A47"/>
    <mergeCell ref="E46:E47"/>
    <mergeCell ref="H46:H47"/>
    <mergeCell ref="I46:I47"/>
    <mergeCell ref="J46:J47"/>
    <mergeCell ref="X44:X45"/>
    <mergeCell ref="Y44:Y45"/>
    <mergeCell ref="Z44:Z45"/>
    <mergeCell ref="AA44:AA45"/>
    <mergeCell ref="AB44:AB45"/>
    <mergeCell ref="K44:K45"/>
    <mergeCell ref="L44:L45"/>
    <mergeCell ref="M44:M45"/>
    <mergeCell ref="N44:N45"/>
    <mergeCell ref="O44:O45"/>
    <mergeCell ref="A44:A45"/>
    <mergeCell ref="E44:E45"/>
    <mergeCell ref="H44:H45"/>
    <mergeCell ref="I44:I45"/>
    <mergeCell ref="J44:J45"/>
    <mergeCell ref="X42:X43"/>
    <mergeCell ref="Y42:Y43"/>
    <mergeCell ref="Z42:Z43"/>
    <mergeCell ref="AA42:AA43"/>
    <mergeCell ref="AB42:AB43"/>
    <mergeCell ref="A42:A43"/>
    <mergeCell ref="E42:E43"/>
    <mergeCell ref="H42:H43"/>
    <mergeCell ref="N42:N43"/>
    <mergeCell ref="O42:O43"/>
    <mergeCell ref="X40:X41"/>
    <mergeCell ref="Y40:Y41"/>
    <mergeCell ref="Z40:Z41"/>
    <mergeCell ref="AA40:AA41"/>
    <mergeCell ref="AB40:AB41"/>
    <mergeCell ref="A40:A41"/>
    <mergeCell ref="E40:E41"/>
    <mergeCell ref="H40:H41"/>
    <mergeCell ref="N40:N41"/>
    <mergeCell ref="O40:O41"/>
    <mergeCell ref="X38:X39"/>
    <mergeCell ref="Y38:Y39"/>
    <mergeCell ref="Z38:Z39"/>
    <mergeCell ref="AA38:AA39"/>
    <mergeCell ref="AB38:AB39"/>
    <mergeCell ref="A38:A39"/>
    <mergeCell ref="E38:E39"/>
    <mergeCell ref="H38:H39"/>
    <mergeCell ref="N38:N39"/>
    <mergeCell ref="O38:O39"/>
    <mergeCell ref="I39:J39"/>
    <mergeCell ref="X36:X37"/>
    <mergeCell ref="Y36:Y37"/>
    <mergeCell ref="Z36:Z37"/>
    <mergeCell ref="AA36:AA37"/>
    <mergeCell ref="AB36:AB37"/>
    <mergeCell ref="A36:A37"/>
    <mergeCell ref="E36:E37"/>
    <mergeCell ref="H36:H37"/>
    <mergeCell ref="N36:N37"/>
    <mergeCell ref="O36:O37"/>
    <mergeCell ref="X34:X35"/>
    <mergeCell ref="Y34:Y35"/>
    <mergeCell ref="Z34:Z35"/>
    <mergeCell ref="AA34:AA35"/>
    <mergeCell ref="AB34:AB35"/>
    <mergeCell ref="A34:A35"/>
    <mergeCell ref="E34:E35"/>
    <mergeCell ref="H34:H35"/>
    <mergeCell ref="N34:N35"/>
    <mergeCell ref="O34:O35"/>
    <mergeCell ref="X32:X33"/>
    <mergeCell ref="Y32:Y33"/>
    <mergeCell ref="Z32:Z33"/>
    <mergeCell ref="AA32:AA33"/>
    <mergeCell ref="AB32:AB33"/>
    <mergeCell ref="A32:A33"/>
    <mergeCell ref="E32:E33"/>
    <mergeCell ref="H32:H33"/>
    <mergeCell ref="N32:N33"/>
    <mergeCell ref="O32:O33"/>
    <mergeCell ref="X30:X31"/>
    <mergeCell ref="Y30:Y31"/>
    <mergeCell ref="Z30:Z31"/>
    <mergeCell ref="AA30:AA31"/>
    <mergeCell ref="AB30:AB31"/>
    <mergeCell ref="A30:A31"/>
    <mergeCell ref="E30:E31"/>
    <mergeCell ref="H30:H31"/>
    <mergeCell ref="N30:N31"/>
    <mergeCell ref="O30:O31"/>
    <mergeCell ref="X28:X29"/>
    <mergeCell ref="Y28:Y29"/>
    <mergeCell ref="Z28:Z29"/>
    <mergeCell ref="AA28:AA29"/>
    <mergeCell ref="AB28:AB29"/>
    <mergeCell ref="A28:A29"/>
    <mergeCell ref="E28:E29"/>
    <mergeCell ref="H28:H29"/>
    <mergeCell ref="N28:N29"/>
    <mergeCell ref="O28:O29"/>
    <mergeCell ref="X26:X27"/>
    <mergeCell ref="Y26:Y27"/>
    <mergeCell ref="Z26:Z27"/>
    <mergeCell ref="AA26:AA27"/>
    <mergeCell ref="AB26:AB27"/>
    <mergeCell ref="A26:A27"/>
    <mergeCell ref="E26:E27"/>
    <mergeCell ref="H26:H27"/>
    <mergeCell ref="N26:N27"/>
    <mergeCell ref="O26:O27"/>
    <mergeCell ref="X24:X25"/>
    <mergeCell ref="Y24:Y25"/>
    <mergeCell ref="Z24:Z25"/>
    <mergeCell ref="AA24:AA25"/>
    <mergeCell ref="AB24:AB25"/>
    <mergeCell ref="A24:A25"/>
    <mergeCell ref="E24:E25"/>
    <mergeCell ref="H24:H25"/>
    <mergeCell ref="N24:N25"/>
    <mergeCell ref="O24:O25"/>
    <mergeCell ref="X22:X23"/>
    <mergeCell ref="Y22:Y23"/>
    <mergeCell ref="Z22:Z23"/>
    <mergeCell ref="AA22:AA23"/>
    <mergeCell ref="AB22:AB23"/>
    <mergeCell ref="A22:A23"/>
    <mergeCell ref="E22:E23"/>
    <mergeCell ref="H22:H23"/>
    <mergeCell ref="N22:N23"/>
    <mergeCell ref="O22:O23"/>
    <mergeCell ref="X20:X21"/>
    <mergeCell ref="Y20:Y21"/>
    <mergeCell ref="Z20:Z21"/>
    <mergeCell ref="AA20:AA21"/>
    <mergeCell ref="AB20:AB21"/>
    <mergeCell ref="A20:A21"/>
    <mergeCell ref="E20:E21"/>
    <mergeCell ref="H20:H21"/>
    <mergeCell ref="N20:N21"/>
    <mergeCell ref="O20:O21"/>
    <mergeCell ref="L21:M21"/>
    <mergeCell ref="X18:X19"/>
    <mergeCell ref="Y18:Y19"/>
    <mergeCell ref="Z18:Z19"/>
    <mergeCell ref="AA18:AA19"/>
    <mergeCell ref="AB18:AB19"/>
    <mergeCell ref="A18:A19"/>
    <mergeCell ref="E18:E19"/>
    <mergeCell ref="H18:H19"/>
    <mergeCell ref="N18:N19"/>
    <mergeCell ref="O18:O19"/>
    <mergeCell ref="X16:X17"/>
    <mergeCell ref="Y16:Y17"/>
    <mergeCell ref="Z16:Z17"/>
    <mergeCell ref="AA16:AA17"/>
    <mergeCell ref="AB16:AB17"/>
    <mergeCell ref="A16:A17"/>
    <mergeCell ref="E16:E17"/>
    <mergeCell ref="H16:H17"/>
    <mergeCell ref="N16:N17"/>
    <mergeCell ref="O16:O17"/>
    <mergeCell ref="X14:X15"/>
    <mergeCell ref="Y14:Y15"/>
    <mergeCell ref="Z14:Z15"/>
    <mergeCell ref="AA14:AA15"/>
    <mergeCell ref="AB14:AB15"/>
    <mergeCell ref="A14:A15"/>
    <mergeCell ref="E14:E15"/>
    <mergeCell ref="H14:H15"/>
    <mergeCell ref="N14:N15"/>
    <mergeCell ref="O14:O15"/>
    <mergeCell ref="X12:X13"/>
    <mergeCell ref="Y12:Y13"/>
    <mergeCell ref="Z12:Z13"/>
    <mergeCell ref="AA12:AA13"/>
    <mergeCell ref="AB12:AB13"/>
    <mergeCell ref="A12:A13"/>
    <mergeCell ref="E12:E13"/>
    <mergeCell ref="H12:H13"/>
    <mergeCell ref="N12:N13"/>
    <mergeCell ref="O12:O13"/>
    <mergeCell ref="X10:X11"/>
    <mergeCell ref="Y10:Y11"/>
    <mergeCell ref="Z10:Z11"/>
    <mergeCell ref="AA10:AA11"/>
    <mergeCell ref="AB10:AB11"/>
    <mergeCell ref="Q9:S9"/>
    <mergeCell ref="A10:A11"/>
    <mergeCell ref="E10:E11"/>
    <mergeCell ref="H10:H11"/>
    <mergeCell ref="N10:N11"/>
    <mergeCell ref="O10:O1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5</xdr:col>
                    <xdr:colOff>937260</xdr:colOff>
                    <xdr:row>0</xdr:row>
                    <xdr:rowOff>152400</xdr:rowOff>
                  </from>
                  <to>
                    <xdr:col>5</xdr:col>
                    <xdr:colOff>1836420</xdr:colOff>
                    <xdr:row>2</xdr:row>
                    <xdr:rowOff>152400</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1BED-1958-4686-AD12-B6FB15CA1602}">
  <sheetPr codeName="在庫有確定"/>
  <dimension ref="A1:AC10"/>
  <sheetViews>
    <sheetView workbookViewId="0">
      <selection activeCell="A10" sqref="A10"/>
    </sheetView>
  </sheetViews>
  <sheetFormatPr defaultRowHeight="18"/>
  <cols>
    <col min="2" max="2" width="16.296875" bestFit="1" customWidth="1"/>
    <col min="3" max="3" width="12.59765625" bestFit="1" customWidth="1"/>
    <col min="5" max="5" width="3.69921875" customWidth="1"/>
    <col min="6" max="6" width="24.3984375" customWidth="1"/>
    <col min="7" max="7" width="9.59765625" bestFit="1" customWidth="1"/>
    <col min="8" max="10" width="6.796875" bestFit="1" customWidth="1"/>
    <col min="11" max="11" width="5" bestFit="1" customWidth="1"/>
    <col min="12" max="12" width="9.296875" bestFit="1" customWidth="1"/>
    <col min="13" max="13" width="6.796875" bestFit="1" customWidth="1"/>
    <col min="14" max="14" width="5" bestFit="1" customWidth="1"/>
    <col min="15" max="15" width="6.796875" bestFit="1" customWidth="1"/>
    <col min="16" max="16" width="15.3984375" bestFit="1" customWidth="1"/>
    <col min="20" max="20" width="5" bestFit="1" customWidth="1"/>
    <col min="21" max="21" width="8.59765625" bestFit="1" customWidth="1"/>
    <col min="22" max="23" width="13.5" bestFit="1" customWidth="1"/>
    <col min="24" max="25" width="6.796875" bestFit="1" customWidth="1"/>
    <col min="26" max="26" width="9.296875" bestFit="1" customWidth="1"/>
    <col min="27" max="27" width="5" bestFit="1" customWidth="1"/>
    <col min="28" max="28" width="6.796875" bestFit="1" customWidth="1"/>
    <col min="29" max="29" width="9.3984375" bestFit="1"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2"/>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4</v>
      </c>
      <c r="E9" s="4"/>
      <c r="F9" s="41" t="s">
        <v>5</v>
      </c>
      <c r="G9" s="4" t="s">
        <v>6</v>
      </c>
      <c r="H9" s="5" t="s">
        <v>7</v>
      </c>
      <c r="I9" s="4" t="s">
        <v>8</v>
      </c>
      <c r="J9" s="4" t="s">
        <v>9</v>
      </c>
      <c r="K9" s="4" t="s">
        <v>10</v>
      </c>
      <c r="L9" s="4" t="s">
        <v>11</v>
      </c>
      <c r="M9" s="4" t="s">
        <v>12</v>
      </c>
      <c r="N9" s="4" t="s">
        <v>13</v>
      </c>
      <c r="O9" s="7" t="s">
        <v>21</v>
      </c>
      <c r="P9" s="4" t="s">
        <v>14</v>
      </c>
      <c r="Q9" s="244" t="s">
        <v>15</v>
      </c>
      <c r="R9" s="245"/>
      <c r="S9" s="245"/>
      <c r="T9" s="4" t="s">
        <v>16</v>
      </c>
      <c r="U9" s="8" t="s">
        <v>17</v>
      </c>
      <c r="V9" s="42" t="s">
        <v>18</v>
      </c>
      <c r="W9" s="4" t="s">
        <v>3</v>
      </c>
      <c r="X9" s="4" t="s">
        <v>8</v>
      </c>
      <c r="Y9" s="4" t="s">
        <v>9</v>
      </c>
      <c r="Z9" s="4" t="s">
        <v>11</v>
      </c>
      <c r="AA9" s="4" t="s">
        <v>13</v>
      </c>
      <c r="AB9" s="5" t="s">
        <v>19</v>
      </c>
      <c r="AC9" s="5" t="s">
        <v>0</v>
      </c>
    </row>
    <row r="10" spans="1:29" ht="18.600000000000001" thickTop="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4"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5"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6" name="Button 4">
              <controlPr defaultSize="0" print="0" autoFill="0" autoPict="0" macro="[0]!在庫有確定.作成済シート全消し">
                <anchor moveWithCells="1" sizeWithCells="1">
                  <from>
                    <xdr:col>5</xdr:col>
                    <xdr:colOff>1104900</xdr:colOff>
                    <xdr:row>3</xdr:row>
                    <xdr:rowOff>220980</xdr:rowOff>
                  </from>
                  <to>
                    <xdr:col>6</xdr:col>
                    <xdr:colOff>259080</xdr:colOff>
                    <xdr:row>6</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2026-06-07T07:20:29Z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