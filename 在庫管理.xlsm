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yso13036.OFFICE\Downloads\"/>
    </mc:Choice>
  </mc:AlternateContent>
  <xr:revisionPtr revIDLastSave="0" documentId="13_ncr:1_{E1808354-C6A3-4878-B1F6-8EB3197D7429}" xr6:coauthVersionLast="47" xr6:coauthVersionMax="47" xr10:uidLastSave="{00000000-0000-0000-0000-000000000000}"/>
  <bookViews>
    <workbookView xWindow="-108" yWindow="-108" windowWidth="23256" windowHeight="13896" xr2:uid="{00000000-000D-0000-FFFF-FFFF00000000}"/>
  </bookViews>
  <sheets>
    <sheet name="操作手順" sheetId="1" r:id="rId1"/>
    <sheet name="残った仕入番号" sheetId="2" r:id="rId2"/>
    <sheet name="在庫管理表の本体" sheetId="3" r:id="rId3"/>
    <sheet name="売約済" sheetId="4" r:id="rId4"/>
    <sheet name="不明" sheetId="5" r:id="rId5"/>
    <sheet name="在庫有" sheetId="6" r:id="rId6"/>
    <sheet name="在庫有確定" sheetId="7"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 l="1" a="1"/>
  <c r="A1" i="6" s="1"/>
  <c r="A1" i="7" a="1"/>
  <c r="A1" i="7" s="1"/>
  <c r="A1" i="5" a="1"/>
  <c r="A1" i="5" s="1"/>
  <c r="A1" i="4" a="1"/>
  <c r="A1" i="4" s="1"/>
  <c r="A1" i="2" a="1"/>
  <c r="A1" i="2" s="1"/>
  <c r="A1" i="3" a="1"/>
  <c r="A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<sst xmlns="http://schemas.openxmlformats.org/spreadsheetml/2006/main" count="209" uniqueCount="87">
  <si>
    <t>仕入番号</t>
  </si>
  <si>
    <t>仕入れ日/仕入れ先</t>
  </si>
  <si>
    <t>回次/出品番号</t>
  </si>
  <si>
    <t>年式/色</t>
  </si>
  <si>
    <t>車体番号</t>
  </si>
  <si>
    <t>車検/距離</t>
  </si>
  <si>
    <t>評価点</t>
  </si>
  <si>
    <t>車輌代</t>
  </si>
  <si>
    <t>消費税</t>
  </si>
  <si>
    <t>自税</t>
  </si>
  <si>
    <t>リサイクル</t>
  </si>
  <si>
    <t>落札料</t>
  </si>
  <si>
    <t>合計</t>
  </si>
  <si>
    <t>評価損</t>
  </si>
  <si>
    <t>車輌番号/所有者</t>
  </si>
  <si>
    <t>付属品</t>
  </si>
  <si>
    <t>キャンセル</t>
  </si>
  <si>
    <t>補足</t>
  </si>
  <si>
    <t>名義変更</t>
  </si>
  <si>
    <t>売上日/売上先</t>
  </si>
  <si>
    <t>入金日</t>
  </si>
  <si>
    <t>前期のNo.</t>
  </si>
  <si>
    <t>在庫管理表 操作手順</t>
  </si>
  <si>
    <t>※ 表記が崩れないように1~9行目を保護しています。マクロを動かす前後に自動で解除/再保護されます</t>
  </si>
  <si>
    <t>① 在庫管理表の本体シートで初期分類</t>
  </si>
  <si>
    <t>本体シートでは、各在庫を ベージュ（在庫候補） または 黄色（売約候補） に色分けします。</t>
  </si>
  <si>
    <t>その後「振り分け」マクロを実行すると、売上有無（AX列）と色に応じて各シートへ自動分類されます。</t>
  </si>
  <si>
    <t>振り分けルール</t>
  </si>
  <si>
    <t>ベージュ + 売上なし（AB列=0）</t>
  </si>
  <si>
    <t>　→ 在庫有 シート</t>
  </si>
  <si>
    <t>ベージュ + 売上あり（AB列≠0）</t>
  </si>
  <si>
    <t>　→ 不明 シート</t>
  </si>
  <si>
    <t>黄色 + 売上あり（AB列≠0）</t>
  </si>
  <si>
    <t>　→ 売約済 シート</t>
  </si>
  <si>
    <t>黄色 + 売上なし（AB列=0）</t>
  </si>
  <si>
    <t>② 各シートで確認・再判定</t>
  </si>
  <si>
    <t>振り分け後、各シートで仕入番号照合や目視確認を行い、色を変更して最終判定します。</t>
  </si>
  <si>
    <t>残った仕入れ番号シートにファイルの仕入番号リストを貼り付けてから照合してください</t>
  </si>
  <si>
    <t>不明シート</t>
  </si>
  <si>
    <t>初期状態：青色（要確認）</t>
  </si>
  <si>
    <t>仕入番号照合を行い、一致するものがあればベージュに変換される。ないものは引き続き青色</t>
  </si>
  <si>
    <t>ベージュ</t>
  </si>
  <si>
    <t>　→ 在庫あり確定</t>
  </si>
  <si>
    <t>　→ 売約済</t>
  </si>
  <si>
    <t>青</t>
  </si>
  <si>
    <t>　→ 不明のまま保留</t>
  </si>
  <si>
    <t>在庫有シート</t>
  </si>
  <si>
    <t>初期状態：赤色（要確認）</t>
  </si>
  <si>
    <t>仕入番号照合を行い、一致するものがあればベージュに変換される。ないものは引き続き赤色</t>
  </si>
  <si>
    <t>赤</t>
  </si>
  <si>
    <t>　→ 在庫有のまま保留</t>
  </si>
  <si>
    <t>売約済シート</t>
  </si>
  <si>
    <t>　→ 在庫あり確定へ戻す</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</si>
  <si>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</si>
  <si>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</si>
  <si>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</si>
  <si>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</si>
  <si>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</si>
  <si>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</si>
  <si>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</si>
  <si>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</si>
  <si>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</si>
  <si>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</si>
  <si>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t>ベージュ ：在庫あり確定候補</t>
  </si>
  <si>
    <t>黄色 ：売約済候補</t>
  </si>
  <si>
    <t>青 ：不明・確認待ち</t>
  </si>
  <si>
    <t>赤 ：在庫有・確認待ち</t>
  </si>
  <si>
    <t>基本操作ルール</t>
  </si>
  <si>
    <t>操作対象は 10行目以降</t>
  </si>
  <si>
    <t>1～9行目は見出しのため操作禁止</t>
  </si>
  <si>
    <t>色変更は対象在庫を選択して実行</t>
  </si>
  <si>
    <t>奇数行・偶数行どちらを選択しても、その在庫セット（2行1組）のA列に反映</t>
  </si>
  <si>
    <t>推奨フロー</t>
  </si>
  <si>
    <t>本体シートで色付け</t>
  </si>
  <si>
    <t>→ 振り分け</t>
  </si>
  <si>
    <t>→ 不明 / 在庫有 / 売約済 で確認・色修正</t>
  </si>
  <si>
    <t>→ 確定書き出し</t>
  </si>
  <si>
    <t>→ 在庫有確定シート完成</t>
  </si>
  <si>
    <t>車名/車台番号</t>
  </si>
  <si>
    <t>前期のNo.</t>
    <phoneticPr fontId="1"/>
  </si>
  <si>
    <t>↓ 残っている仕入番号を貼り付けてください</t>
    <rPh sb="2" eb="3">
      <t>ノコ</t>
    </rPh>
    <rPh sb="7" eb="11">
      <t>シイレバンゴウ</t>
    </rPh>
    <rPh sb="12" eb="13">
      <t>ハ</t>
    </rPh>
    <rPh sb="14" eb="15">
      <t>ツ</t>
    </rPh>
    <phoneticPr fontId="1"/>
  </si>
  <si>
    <t>黄色（T列に「買いｷｬﾝｾﾙ」なし）</t>
  </si>
  <si>
    <t>黄色（T列に「買いｷｬﾝｾﾙ」あり）</t>
  </si>
  <si>
    <t>　→ 不明のまま保留（買いキャンセル）</t>
  </si>
  <si>
    <t>　→ 不明</t>
    <phoneticPr fontId="1"/>
  </si>
  <si>
    <t>→ 仕入れ番号照合</t>
    <rPh sb="2" eb="4">
      <t>シイ</t>
    </rPh>
    <rPh sb="5" eb="9">
      <t>バンゴウショウゴウ</t>
    </rPh>
    <phoneticPr fontId="1"/>
  </si>
  <si>
    <t>→ 並び順が崩れた場合は、並び順整列</t>
    <rPh sb="2" eb="3">
      <t>ナラ</t>
    </rPh>
    <rPh sb="4" eb="5">
      <t>ジュン</t>
    </rPh>
    <rPh sb="6" eb="7">
      <t>クズ</t>
    </rPh>
    <rPh sb="9" eb="11">
      <t>バアイ</t>
    </rPh>
    <rPh sb="13" eb="14">
      <t>ナラ</t>
    </rPh>
    <rPh sb="15" eb="18">
      <t>ジュンセイレツ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</si>
</sst>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2"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b/>
      <i/>
      <sz val="11"/>
      <color rgb="FFFF0000"/>
      <name val="游ゴシック"/>
      <family val="3"/>
      <charset val="128"/>
    </font>
    <font>
      <b/>
      <i/>
      <sz val="11"/>
      <color rgb="FF0000FF"/>
      <name val="游ゴシック"/>
      <family val="3"/>
      <charset val="128"/>
    </font>
    <font>
      <b/>
      <i/>
      <sz val="11"/>
      <color rgb="FF008000"/>
      <name val="游ゴシック"/>
      <family val="3"/>
      <charset val="128"/>
    </font>
    <font>
      <b/>
      <i/>
      <sz val="11"/>
      <color rgb="FF993366"/>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sz val="11"/>
      <color rgb="FF0000FF"/>
      <name val="游ゴシック"/>
      <family val="3"/>
      <charset val="128"/>
    </font>
    <font>
      <b/>
      <sz val="16"/>
      <color rgb="FF002060"/>
      <name val="游ゴシック"/>
      <family val="3"/>
      <charset val="128"/>
      <scheme val="minor"/>
    </font>
  </fonts>
  <fills count="7">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s>
  <borders count="9">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right style="thin">
        <color indexed="64"/>
      </right>
      <top style="medium">
        <color indexed="64"/>
      </top>
      <bottom style="thick">
        <color indexed="64"/>
      </bottom>
      <diagonal/>
    </border>
  </borders>
  <cellStyleXfs count="1">
    <xf numFmtId="0" fontId="0" fillId="0" borderId="0">
      <alignment vertical="center"/>
    </xf>
  </cellStyleXfs>
  <cellXfs count="38">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176" fontId="4" fillId="2" borderId="2" xfId="0" applyNumberFormat="1" applyFont="1" applyFill="1" applyBorder="1" applyAlignment="1">
      <alignment horizontal="center" vertical="center"/>
    </xf>
    <xf numFmtId="0" fontId="4" fillId="2" borderId="7" xfId="0" applyFont="1" applyFill="1" applyBorder="1" applyAlignment="1">
      <alignment horizontal="center" vertical="center"/>
    </xf>
    <xf numFmtId="0" fontId="5" fillId="6" borderId="0" xfId="0" applyFont="1" applyFill="1">
      <alignment vertical="center"/>
    </xf>
    <xf numFmtId="0" fontId="6" fillId="0" borderId="0" xfId="0" applyFont="1" applyProtection="1">
      <alignment vertical="center"/>
      <protection locked="0"/>
    </xf>
    <xf numFmtId="0" fontId="0" fillId="4" borderId="0" xfId="0" applyFill="1" applyProtection="1">
      <alignment vertical="center"/>
      <protection locked="0"/>
    </xf>
    <xf numFmtId="0" fontId="6"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9" fillId="0" borderId="0" xfId="0" applyFont="1" applyProtection="1">
      <alignment vertical="center"/>
      <protection locked="0"/>
    </xf>
    <xf numFmtId="0" fontId="10" fillId="0" borderId="0" xfId="0" applyFont="1" applyProtection="1">
      <alignment vertical="center"/>
      <protection locked="0"/>
    </xf>
    <xf numFmtId="0" fontId="0" fillId="0" borderId="0" xfId="0" applyAlignment="1" applyProtection="1">
      <alignment horizontal="left" vertical="center" indent="1"/>
      <protection locked="0"/>
    </xf>
    <xf numFmtId="0" fontId="11" fillId="0" borderId="0" xfId="0" applyFont="1" applyAlignment="1" applyProtection="1">
      <alignment horizontal="left" vertical="center" indent="1"/>
      <protection locked="0"/>
    </xf>
    <xf numFmtId="0" fontId="12" fillId="0" borderId="0" xfId="0" applyFont="1" applyProtection="1">
      <alignment vertical="center"/>
      <protection locked="0"/>
    </xf>
    <xf numFmtId="0" fontId="11" fillId="0" borderId="0" xfId="0" applyFont="1" applyProtection="1">
      <alignment vertical="center"/>
      <protection locked="0"/>
    </xf>
    <xf numFmtId="0" fontId="9" fillId="0" borderId="0" xfId="0" applyFont="1">
      <alignment vertical="center"/>
    </xf>
    <xf numFmtId="0" fontId="8" fillId="0" borderId="0" xfId="0" applyFont="1">
      <alignment vertical="center"/>
    </xf>
    <xf numFmtId="0" fontId="10" fillId="0" borderId="0" xfId="0" applyFont="1">
      <alignmen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0" fillId="3" borderId="0" xfId="0" applyFill="1" applyAlignment="1">
      <alignment horizontal="center" vertical="center"/>
    </xf>
    <xf numFmtId="0" fontId="4" fillId="2" borderId="1" xfId="0" applyFont="1" applyFill="1" applyBorder="1">
      <alignment vertical="center"/>
    </xf>
    <xf numFmtId="0" fontId="4" fillId="2" borderId="4" xfId="0" applyFont="1" applyFill="1" applyBorder="1">
      <alignment vertical="center"/>
    </xf>
    <xf numFmtId="0" fontId="4" fillId="2" borderId="8" xfId="0" applyFont="1" applyFill="1" applyBorder="1" applyAlignment="1">
      <alignment horizontal="center" vertical="center"/>
    </xf>
    <xf numFmtId="0" fontId="0" fillId="0" borderId="0" xfId="0" applyAlignment="1"/>
    <xf numFmtId="0" fontId="21" fillId="3" borderId="0" xfId="0" applyFont="1" applyFill="1">
      <alignment vertical="center"/>
    </xf>
    <xf numFmtId="0" fontId="0" fillId="3" borderId="0" xfId="0" applyFill="1" applyAlignment="1">
      <alignment horizontal="center" vertical="center"/>
    </xf>
    <xf numFmtId="0" fontId="0" fillId="4" borderId="0" xfId="0" applyFill="1" applyProtection="1">
      <alignment vertical="center"/>
      <protection locked="0"/>
    </xf>
    <xf numFmtId="0" fontId="4" fillId="2" borderId="2" xfId="0" applyFont="1" applyFill="1" applyBorder="1" applyAlignment="1">
      <alignment horizontal="center" vertical="center"/>
    </xf>
    <xf numFmtId="0" fontId="0" fillId="0" borderId="3" xfId="0" applyBorder="1" applyAlignme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160020</xdr:rowOff>
        </xdr:from>
        <xdr:to>
          <xdr:col>6</xdr:col>
          <xdr:colOff>190500</xdr:colOff>
          <xdr:row>2</xdr:row>
          <xdr:rowOff>129540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1584960</xdr:colOff>
          <xdr:row>3</xdr:row>
          <xdr:rowOff>114300</xdr:rowOff>
        </xdr:from>
        <xdr:to>
          <xdr:col>6</xdr:col>
          <xdr:colOff>190500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175260</xdr:rowOff>
        </xdr:from>
        <xdr:to>
          <xdr:col>5</xdr:col>
          <xdr:colOff>647700</xdr:colOff>
          <xdr:row>2</xdr:row>
          <xdr:rowOff>182880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1303020</xdr:colOff>
          <xdr:row>3</xdr:row>
          <xdr:rowOff>220980</xdr:rowOff>
        </xdr:from>
        <xdr:to>
          <xdr:col>5</xdr:col>
          <xdr:colOff>2941320</xdr:colOff>
          <xdr:row>6</xdr:row>
          <xdr:rowOff>30480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1303020</xdr:colOff>
          <xdr:row>0</xdr:row>
          <xdr:rowOff>213360</xdr:rowOff>
        </xdr:from>
        <xdr:to>
          <xdr:col>5</xdr:col>
          <xdr:colOff>2621280</xdr:colOff>
          <xdr:row>2</xdr:row>
          <xdr:rowOff>175260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0600-000005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並び順整列</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6.vml"/><Relationship Id="rId7" Type="http://schemas.openxmlformats.org/officeDocument/2006/relationships/ctrlProp" Target="../ctrlProps/ctrlProp25.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操作手順">
    <tabColor theme="6" tint="-0.249977111117893"/>
  </sheetPr>
  <dimension ref="A1:A121"/>
  <sheetViews>
    <sheetView tabSelected="1" workbookViewId="0">
      <selection activeCell="A5" sqref="A5"/>
    </sheetView>
  </sheetViews>
  <sheetFormatPr defaultColWidth="9" defaultRowHeight="18" x14ac:dyDescent="0.45"/>
  <cols>
    <col min="1" max="1" width="9" style="1" customWidth="1"/>
    <col min="2" max="16384" width="9" style="1"/>
  </cols>
  <sheetData>
    <row r="1" spans="1:1" ht="22.2" customHeight="1" x14ac:dyDescent="0.45">
      <c r="A1" s="23" t="s">
        <v>22</v>
      </c>
    </row>
    <row r="2" spans="1:1" x14ac:dyDescent="0.45">
      <c r="A2" s="24" t="s">
        <v>23</v>
      </c>
    </row>
    <row r="4" spans="1:1" ht="39" customHeight="1" x14ac:dyDescent="0.45">
      <c r="A4" s="25" t="s">
        <v>24</v>
      </c>
    </row>
    <row r="6" spans="1:1" x14ac:dyDescent="0.45">
      <c r="A6" t="s">
        <v>25</v>
      </c>
    </row>
    <row r="7" spans="1:1" x14ac:dyDescent="0.45">
      <c r="A7" t="s">
        <v>26</v>
      </c>
    </row>
    <row r="9" spans="1:1" ht="22.2" customHeight="1" x14ac:dyDescent="0.45">
      <c r="A9" s="23" t="s">
        <v>27</v>
      </c>
    </row>
    <row r="10" spans="1:1" x14ac:dyDescent="0.45">
      <c r="A10" s="19"/>
    </row>
    <row r="11" spans="1:1" x14ac:dyDescent="0.45">
      <c r="A11" s="20" t="s">
        <v>28</v>
      </c>
    </row>
    <row r="12" spans="1:1" x14ac:dyDescent="0.45">
      <c r="A12" s="19" t="s">
        <v>29</v>
      </c>
    </row>
    <row r="13" spans="1:1" x14ac:dyDescent="0.45">
      <c r="A13" s="19"/>
    </row>
    <row r="14" spans="1:1" x14ac:dyDescent="0.45">
      <c r="A14" s="20" t="s">
        <v>30</v>
      </c>
    </row>
    <row r="15" spans="1:1" x14ac:dyDescent="0.45">
      <c r="A15" s="19" t="s">
        <v>31</v>
      </c>
    </row>
    <row r="16" spans="1:1" x14ac:dyDescent="0.45">
      <c r="A16" s="19"/>
    </row>
    <row r="17" spans="1:1" x14ac:dyDescent="0.45">
      <c r="A17" s="20" t="s">
        <v>32</v>
      </c>
    </row>
    <row r="18" spans="1:1" x14ac:dyDescent="0.45">
      <c r="A18" s="19" t="s">
        <v>33</v>
      </c>
    </row>
    <row r="19" spans="1:1" x14ac:dyDescent="0.45">
      <c r="A19" s="19"/>
    </row>
    <row r="20" spans="1:1" x14ac:dyDescent="0.45">
      <c r="A20" s="20" t="s">
        <v>34</v>
      </c>
    </row>
    <row r="21" spans="1:1" x14ac:dyDescent="0.45">
      <c r="A21" s="19" t="s">
        <v>31</v>
      </c>
    </row>
    <row r="25" spans="1:1" ht="39" customHeight="1" x14ac:dyDescent="0.45">
      <c r="A25" s="18" t="s">
        <v>35</v>
      </c>
    </row>
    <row r="27" spans="1:1" x14ac:dyDescent="0.45">
      <c r="A27" s="1" t="s">
        <v>36</v>
      </c>
    </row>
    <row r="28" spans="1:1" x14ac:dyDescent="0.45">
      <c r="A28" s="1" t="s">
        <v>37</v>
      </c>
    </row>
    <row r="30" spans="1:1" ht="28.8" customHeight="1" x14ac:dyDescent="0.45">
      <c r="A30" s="21" t="s">
        <v>38</v>
      </c>
    </row>
    <row r="32" spans="1:1" x14ac:dyDescent="0.45">
      <c r="A32" s="1" t="s">
        <v>39</v>
      </c>
    </row>
    <row r="33" spans="1:1" x14ac:dyDescent="0.45">
      <c r="A33" s="1" t="s">
        <v>40</v>
      </c>
    </row>
    <row r="34" spans="1:1" x14ac:dyDescent="0.45">
      <c r="A34" s="19"/>
    </row>
    <row r="35" spans="1:1" x14ac:dyDescent="0.45">
      <c r="A35" s="20" t="s">
        <v>41</v>
      </c>
    </row>
    <row r="36" spans="1:1" x14ac:dyDescent="0.45">
      <c r="A36" s="19" t="s">
        <v>42</v>
      </c>
    </row>
    <row r="37" spans="1:1" x14ac:dyDescent="0.45">
      <c r="A37" s="19"/>
    </row>
    <row r="38" spans="1:1" x14ac:dyDescent="0.45">
      <c r="A38" s="20" t="s">
        <v>81</v>
      </c>
    </row>
    <row r="39" spans="1:1" x14ac:dyDescent="0.45">
      <c r="A39" s="19" t="s">
        <v>43</v>
      </c>
    </row>
    <row r="40" spans="1:1" x14ac:dyDescent="0.45">
      <c r="A40" s="19"/>
    </row>
    <row r="41" spans="1:1" x14ac:dyDescent="0.45">
      <c r="A41" s="20" t="s">
        <v>82</v>
      </c>
    </row>
    <row r="42" spans="1:1" x14ac:dyDescent="0.45">
      <c r="A42" s="19" t="s">
        <v>83</v>
      </c>
    </row>
    <row r="43" spans="1:1" x14ac:dyDescent="0.45">
      <c r="A43" s="19"/>
    </row>
    <row r="44" spans="1:1" x14ac:dyDescent="0.45">
      <c r="A44" s="20" t="s">
        <v>44</v>
      </c>
    </row>
    <row r="45" spans="1:1" x14ac:dyDescent="0.45">
      <c r="A45" s="19" t="s">
        <v>45</v>
      </c>
    </row>
    <row r="48" spans="1:1" ht="28.8" customHeight="1" x14ac:dyDescent="0.45">
      <c r="A48" s="21" t="s">
        <v>46</v>
      </c>
    </row>
    <row r="50" spans="1:1" x14ac:dyDescent="0.45">
      <c r="A50" s="1" t="s">
        <v>47</v>
      </c>
    </row>
    <row r="51" spans="1:1" x14ac:dyDescent="0.45">
      <c r="A51" s="1" t="s">
        <v>48</v>
      </c>
    </row>
    <row r="52" spans="1:1" x14ac:dyDescent="0.45">
      <c r="A52" s="19"/>
    </row>
    <row r="53" spans="1:1" x14ac:dyDescent="0.45">
      <c r="A53" s="20" t="s">
        <v>41</v>
      </c>
    </row>
    <row r="54" spans="1:1" x14ac:dyDescent="0.45">
      <c r="A54" s="19" t="s">
        <v>42</v>
      </c>
    </row>
    <row r="55" spans="1:1" x14ac:dyDescent="0.45">
      <c r="A55" s="19"/>
    </row>
    <row r="56" spans="1:1" x14ac:dyDescent="0.45">
      <c r="A56" s="20" t="s">
        <v>81</v>
      </c>
    </row>
    <row r="57" spans="1:1" x14ac:dyDescent="0.45">
      <c r="A57" s="19" t="s">
        <v>43</v>
      </c>
    </row>
    <row r="58" spans="1:1" x14ac:dyDescent="0.45">
      <c r="A58" s="19"/>
    </row>
    <row r="59" spans="1:1" x14ac:dyDescent="0.45">
      <c r="A59" s="20" t="s">
        <v>82</v>
      </c>
    </row>
    <row r="60" spans="1:1" x14ac:dyDescent="0.45">
      <c r="A60" s="19" t="s">
        <v>84</v>
      </c>
    </row>
    <row r="61" spans="1:1" x14ac:dyDescent="0.45">
      <c r="A61" s="19"/>
    </row>
    <row r="62" spans="1:1" x14ac:dyDescent="0.45">
      <c r="A62" s="20" t="s">
        <v>49</v>
      </c>
    </row>
    <row r="63" spans="1:1" x14ac:dyDescent="0.45">
      <c r="A63" s="19" t="s">
        <v>50</v>
      </c>
    </row>
    <row r="66" spans="1:1" ht="28.8" customHeight="1" x14ac:dyDescent="0.45">
      <c r="A66" s="21" t="s">
        <v>51</v>
      </c>
    </row>
    <row r="67" spans="1:1" x14ac:dyDescent="0.45">
      <c r="A67" s="19"/>
    </row>
    <row r="68" spans="1:1" x14ac:dyDescent="0.45">
      <c r="A68" s="20" t="s">
        <v>41</v>
      </c>
    </row>
    <row r="69" spans="1:1" x14ac:dyDescent="0.45">
      <c r="A69" s="19" t="s">
        <v>52</v>
      </c>
    </row>
    <row r="70" spans="1:1" x14ac:dyDescent="0.45">
      <c r="A70" s="19"/>
    </row>
    <row r="71" spans="1:1" x14ac:dyDescent="0.45">
      <c r="A71" s="20" t="s">
        <v>81</v>
      </c>
    </row>
    <row r="72" spans="1:1" x14ac:dyDescent="0.45">
      <c r="A72" s="19" t="s">
        <v>43</v>
      </c>
    </row>
    <row r="73" spans="1:1" x14ac:dyDescent="0.45">
      <c r="A73" s="19"/>
    </row>
    <row r="74" spans="1:1" x14ac:dyDescent="0.45">
      <c r="A74" s="20" t="s">
        <v>82</v>
      </c>
    </row>
    <row r="75" spans="1:1" x14ac:dyDescent="0.45">
      <c r="A75" s="19" t="s">
        <v>84</v>
      </c>
    </row>
    <row r="78" spans="1:1" ht="39" customHeight="1" x14ac:dyDescent="0.45">
      <c r="A78" s="18" t="s">
        <v>53</v>
      </c>
    </row>
    <row r="80" spans="1:1" x14ac:dyDescent="0.45">
      <c r="A80" s="1" t="s">
        <v>54</v>
      </c>
    </row>
    <row r="82" spans="1:1" ht="22.2" customHeight="1" x14ac:dyDescent="0.45">
      <c r="A82" s="17" t="s">
        <v>55</v>
      </c>
    </row>
    <row r="83" spans="1:1" x14ac:dyDescent="0.45">
      <c r="A83" s="19"/>
    </row>
    <row r="84" spans="1:1" x14ac:dyDescent="0.45">
      <c r="A84" s="19" t="s">
        <v>56</v>
      </c>
    </row>
    <row r="85" spans="1:1" x14ac:dyDescent="0.45">
      <c r="A85" s="19" t="s">
        <v>57</v>
      </c>
    </row>
    <row r="86" spans="1:1" x14ac:dyDescent="0.45">
      <c r="A86" s="19" t="s">
        <v>58</v>
      </c>
    </row>
    <row r="88" spans="1:1" ht="22.2" customHeight="1" x14ac:dyDescent="0.45">
      <c r="A88" s="17" t="s">
        <v>59</v>
      </c>
    </row>
    <row r="89" spans="1:1" x14ac:dyDescent="0.45">
      <c r="A89" s="19"/>
    </row>
    <row r="90" spans="1:1" x14ac:dyDescent="0.45">
      <c r="A90" s="19" t="s">
        <v>60</v>
      </c>
    </row>
    <row r="91" spans="1:1" x14ac:dyDescent="0.45">
      <c r="A91" s="19" t="s">
        <v>61</v>
      </c>
    </row>
    <row r="95" spans="1:1" ht="39" customHeight="1" x14ac:dyDescent="0.45">
      <c r="A95" s="18" t="s">
        <v>62</v>
      </c>
    </row>
    <row r="96" spans="1:1" x14ac:dyDescent="0.45">
      <c r="A96" s="19"/>
    </row>
    <row r="97" spans="1:1" x14ac:dyDescent="0.45">
      <c r="A97" s="20" t="s">
        <v>63</v>
      </c>
    </row>
    <row r="98" spans="1:1" x14ac:dyDescent="0.45">
      <c r="A98" s="20" t="s">
        <v>64</v>
      </c>
    </row>
    <row r="99" spans="1:1" x14ac:dyDescent="0.45">
      <c r="A99" s="20" t="s">
        <v>65</v>
      </c>
    </row>
    <row r="100" spans="1:1" x14ac:dyDescent="0.45">
      <c r="A100" s="20" t="s">
        <v>66</v>
      </c>
    </row>
    <row r="104" spans="1:1" ht="39" customHeight="1" x14ac:dyDescent="0.45">
      <c r="A104" s="18" t="s">
        <v>67</v>
      </c>
    </row>
    <row r="105" spans="1:1" x14ac:dyDescent="0.45">
      <c r="A105" s="19"/>
    </row>
    <row r="106" spans="1:1" x14ac:dyDescent="0.45">
      <c r="A106" s="19" t="s">
        <v>68</v>
      </c>
    </row>
    <row r="107" spans="1:1" x14ac:dyDescent="0.45">
      <c r="A107" s="20" t="s">
        <v>69</v>
      </c>
    </row>
    <row r="108" spans="1:1" x14ac:dyDescent="0.45">
      <c r="A108" s="19" t="s">
        <v>70</v>
      </c>
    </row>
    <row r="109" spans="1:1" x14ac:dyDescent="0.45">
      <c r="A109" s="19" t="s">
        <v>71</v>
      </c>
    </row>
    <row r="113" spans="1:1" ht="39" customHeight="1" x14ac:dyDescent="0.45">
      <c r="A113" s="18" t="s">
        <v>72</v>
      </c>
    </row>
    <row r="115" spans="1:1" x14ac:dyDescent="0.45">
      <c r="A115" s="22" t="s">
        <v>73</v>
      </c>
    </row>
    <row r="116" spans="1:1" x14ac:dyDescent="0.45">
      <c r="A116" s="1" t="s">
        <v>74</v>
      </c>
    </row>
    <row r="117" spans="1:1" x14ac:dyDescent="0.45">
      <c r="A117" s="1" t="s">
        <v>75</v>
      </c>
    </row>
    <row r="118" spans="1:1" x14ac:dyDescent="0.45">
      <c r="A118" s="1" t="s">
        <v>85</v>
      </c>
    </row>
    <row r="119" spans="1:1" x14ac:dyDescent="0.45">
      <c r="A119" s="1" t="s">
        <v>76</v>
      </c>
    </row>
    <row r="120" spans="1:1" x14ac:dyDescent="0.45">
      <c r="A120" s="1" t="s">
        <v>86</v>
      </c>
    </row>
    <row r="121" spans="1:1" x14ac:dyDescent="0.45">
      <c r="A121" s="1" t="s">
        <v>77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残った仕入番号"/>
  <dimension ref="A1:L9"/>
  <sheetViews>
    <sheetView workbookViewId="0">
      <pane ySplit="9" topLeftCell="A10" activePane="bottomLeft" state="frozen"/>
      <selection pane="bottomLeft" activeCell="E2995" sqref="E2995"/>
    </sheetView>
  </sheetViews>
  <sheetFormatPr defaultColWidth="8.59765625" defaultRowHeight="18" x14ac:dyDescent="0.45"/>
  <cols>
    <col min="1" max="1" width="10.69921875" style="12" customWidth="1"/>
    <col min="2" max="2" width="13.69921875" style="11" customWidth="1"/>
    <col min="3" max="3" width="8.59765625" style="11" customWidth="1"/>
    <col min="4" max="16384" width="8.59765625" style="11"/>
  </cols>
  <sheetData>
    <row r="1" spans="1:12" ht="26.4" x14ac:dyDescent="0.45">
      <c r="A1" s="33" t="str" cm="1">
        <f t="array" aca="1" ref="A1" ca="1">MID(CELL("filename",A1),FIND("]",CELL("filename",A1))+1,255)</f>
        <v>残った仕入番号</v>
      </c>
      <c r="B1" s="2"/>
      <c r="C1" s="2"/>
      <c r="D1" s="2"/>
      <c r="E1" s="2"/>
      <c r="F1" s="2"/>
      <c r="G1" s="2"/>
      <c r="H1" s="2"/>
      <c r="I1" s="2"/>
      <c r="J1" s="2"/>
      <c r="K1" s="2"/>
      <c r="L1" s="2"/>
    </row>
    <row r="2" spans="1:12" x14ac:dyDescent="0.45">
      <c r="A2" s="2"/>
      <c r="B2" s="13"/>
      <c r="C2" s="14"/>
      <c r="D2" s="15"/>
      <c r="E2" s="2"/>
      <c r="F2" s="34"/>
      <c r="G2" s="35"/>
      <c r="H2" s="35"/>
      <c r="I2" s="15"/>
      <c r="J2" s="2"/>
      <c r="K2" s="2"/>
      <c r="L2" s="2"/>
    </row>
    <row r="3" spans="1:12" x14ac:dyDescent="0.45">
      <c r="A3" s="2"/>
      <c r="B3" s="2"/>
      <c r="C3" s="2"/>
      <c r="D3" s="2"/>
      <c r="E3" s="2"/>
      <c r="F3" s="2"/>
      <c r="G3" s="2"/>
      <c r="H3" s="2"/>
      <c r="I3" s="2"/>
      <c r="J3" s="2"/>
      <c r="K3" s="2"/>
      <c r="L3" s="2"/>
    </row>
    <row r="4" spans="1:12" x14ac:dyDescent="0.45">
      <c r="A4" s="2"/>
      <c r="B4" s="2"/>
      <c r="C4" s="2"/>
      <c r="D4" s="2"/>
      <c r="E4" s="2"/>
      <c r="F4" s="2"/>
      <c r="G4" s="2"/>
      <c r="H4" s="2"/>
      <c r="I4" s="2"/>
      <c r="J4" s="2"/>
      <c r="K4" s="2"/>
      <c r="L4" s="2"/>
    </row>
    <row r="5" spans="1:12" x14ac:dyDescent="0.45">
      <c r="A5" s="2"/>
      <c r="B5" s="3"/>
      <c r="C5" s="2"/>
      <c r="D5" s="2"/>
      <c r="E5" s="2"/>
      <c r="F5" s="2"/>
      <c r="G5" s="2"/>
      <c r="H5" s="2"/>
      <c r="I5" s="2"/>
      <c r="J5" s="2"/>
      <c r="K5" s="2"/>
      <c r="L5" s="2"/>
    </row>
    <row r="6" spans="1:12" x14ac:dyDescent="0.45">
      <c r="A6" s="2"/>
      <c r="B6" s="2"/>
      <c r="C6" s="2"/>
      <c r="D6" s="2"/>
      <c r="E6" s="2"/>
      <c r="F6" s="2"/>
      <c r="G6" s="2"/>
      <c r="H6" s="2"/>
      <c r="I6" s="2"/>
      <c r="J6" s="2"/>
      <c r="K6" s="2"/>
      <c r="L6" s="2"/>
    </row>
    <row r="7" spans="1:12" x14ac:dyDescent="0.45">
      <c r="A7" s="2"/>
      <c r="B7" s="2"/>
      <c r="C7" s="2"/>
      <c r="D7" s="2"/>
      <c r="E7" s="2"/>
      <c r="F7" s="2"/>
      <c r="G7" s="2"/>
      <c r="H7" s="2"/>
      <c r="I7" s="2"/>
      <c r="J7" s="2"/>
      <c r="K7" s="2"/>
      <c r="L7" s="2"/>
    </row>
    <row r="8" spans="1:12" x14ac:dyDescent="0.45">
      <c r="A8" s="2"/>
      <c r="B8" s="2"/>
      <c r="C8" s="2"/>
      <c r="D8" s="2"/>
      <c r="E8" s="2"/>
      <c r="F8" s="2"/>
      <c r="G8" s="2"/>
      <c r="H8" s="2"/>
      <c r="I8" s="2"/>
      <c r="J8" s="2"/>
      <c r="K8" s="2"/>
      <c r="L8" s="2"/>
    </row>
    <row r="9" spans="1:12" x14ac:dyDescent="0.45">
      <c r="A9" s="2" t="s">
        <v>80</v>
      </c>
      <c r="B9" s="2"/>
      <c r="C9" s="2"/>
      <c r="D9" s="2"/>
      <c r="E9" s="2"/>
      <c r="F9" s="2"/>
      <c r="G9" s="2"/>
      <c r="H9" s="2"/>
      <c r="I9" s="2"/>
      <c r="J9" s="2"/>
      <c r="K9" s="2"/>
      <c r="L9" s="2"/>
    </row>
  </sheetData>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在庫管理表の本体"/>
  <dimension ref="A1:AD10"/>
  <sheetViews>
    <sheetView zoomScale="80" zoomScaleNormal="80" workbookViewId="0">
      <pane xSplit="7" ySplit="9" topLeftCell="H10" activePane="bottomRight" state="frozen"/>
      <selection pane="topRight" activeCell="J1" sqref="J1"/>
      <selection pane="bottomLeft" activeCell="A10" sqref="A10"/>
      <selection pane="bottomRight" activeCell="F28" sqref="F28"/>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6.796875" style="32" customWidth="1"/>
  </cols>
  <sheetData>
    <row r="1" spans="1:30" ht="26.4" x14ac:dyDescent="0.45">
      <c r="A1" s="33" t="str" cm="1">
        <f t="array" aca="1" ref="A1" ca="1">MID(CELL("filename",A1),FIND("]",CELL("filename",A1))+1,255)</f>
        <v>在庫管理表の本体</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3"/>
      <c r="C2" s="3"/>
      <c r="D2" s="2"/>
      <c r="E2" s="2"/>
      <c r="F2" s="2"/>
      <c r="G2" s="2"/>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36" t="s">
        <v>4</v>
      </c>
      <c r="F9" s="37"/>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79</v>
      </c>
    </row>
    <row r="10" spans="1:30" ht="18.600000000000001" thickTop="1" x14ac:dyDescent="0.45"/>
  </sheetData>
  <mergeCells count="1">
    <mergeCell ref="E9:F9"/>
  </mergeCells>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190500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190500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売約済"/>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D14" sqref="D14"/>
    </sheetView>
  </sheetViews>
  <sheetFormatPr defaultColWidth="9" defaultRowHeight="17.100000000000001" customHeight="1"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18" customHeight="1" x14ac:dyDescent="0.45">
      <c r="A1" s="33" t="str" cm="1">
        <f t="array" aca="1" ref="A1" ca="1">MID(CELL("filename",A1),FIND("]",CELL("filename",A1))+1,255)</f>
        <v>売約済</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ht="18" customHeight="1"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ht="18" customHeight="1"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ht="18" customHeight="1"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ht="18" customHeight="1" x14ac:dyDescent="0.45">
      <c r="A5" s="2"/>
      <c r="B5" s="2"/>
      <c r="C5" s="2"/>
      <c r="D5" s="2"/>
      <c r="E5" s="2"/>
      <c r="F5" s="2"/>
      <c r="G5" s="2"/>
      <c r="H5" s="2"/>
      <c r="I5" s="2"/>
      <c r="J5" s="2"/>
      <c r="K5" s="2"/>
      <c r="L5" s="2"/>
      <c r="M5" s="2"/>
      <c r="N5" s="2"/>
      <c r="O5" s="2"/>
      <c r="P5" s="2"/>
      <c r="Q5" s="2"/>
      <c r="R5" s="2"/>
      <c r="S5" s="2"/>
      <c r="T5" s="2"/>
      <c r="U5" s="2"/>
      <c r="V5" s="2"/>
      <c r="W5" s="2"/>
      <c r="X5" s="2"/>
      <c r="Y5" s="2"/>
      <c r="Z5" s="2"/>
      <c r="AA5" s="2"/>
      <c r="AB5" s="2"/>
      <c r="AC5" s="2"/>
      <c r="AD5" s="2"/>
    </row>
    <row r="6" spans="1:30" s="16" customFormat="1" ht="18.75" customHeight="1"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s="16" customFormat="1" ht="18" customHeight="1"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c r="E8" s="10"/>
    </row>
    <row r="9" spans="1:30" s="9" customFormat="1" ht="17.100000000000001" customHeight="1" thickBot="1" x14ac:dyDescent="0.5">
      <c r="A9" s="4" t="s">
        <v>0</v>
      </c>
      <c r="B9" s="5" t="s">
        <v>1</v>
      </c>
      <c r="C9" s="6" t="s">
        <v>2</v>
      </c>
      <c r="D9" s="5" t="s">
        <v>3</v>
      </c>
      <c r="E9" s="4"/>
      <c r="F9" s="26" t="s">
        <v>4</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7.100000000000001" customHeight="1" thickTop="1" x14ac:dyDescent="0.45"/>
  </sheetData>
  <phoneticPr fontId="1"/>
  <pageMargins left="0.7" right="0.7" top="0.75" bottom="0.75" header="0.3" footer="0.3"/>
  <pageSetup paperSize="9" orientation="portrait" horizontalDpi="360" verticalDpi="360"/>
  <drawing r:id="rId1"/>
  <legacyDrawing r:id="rId2"/>
  <mc:AlternateContent xmlns:mc="http://schemas.openxmlformats.org/markup-compatibility/2006">
    <mc:Choice Requires="x14">
      <controls>
        <mc:AlternateContent xmlns:mc="http://schemas.openxmlformats.org/markup-compatibility/2006">
          <mc:Choice Requires="x14">
            <control shapeId="5213" r:id="rId3"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4"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5"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6"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不明"/>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E172" sqref="E172:E173"/>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不明</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c r="F8"/>
    </row>
    <row r="9" spans="1:30" ht="18.6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在庫有"/>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C12" sqref="C12"/>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在庫有</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row r="9" spans="1:30" s="9" customFormat="1" ht="17.1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1" r:id="rId6"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在庫有確定"/>
  <dimension ref="A1:AD10"/>
  <sheetViews>
    <sheetView zoomScale="80" zoomScaleNormal="80" workbookViewId="0">
      <selection activeCell="F3" sqref="F3"/>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在庫有確定</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5"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6"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7" name="Button 4">
              <controlPr defaultSize="0" print="0" autoFill="0" autoPict="0" macro="[0]!在庫有確定.作成済シート全消し">
                <anchor moveWithCells="1" sizeWithCells="1">
                  <from>
                    <xdr:col>5</xdr:col>
                    <xdr:colOff>1303020</xdr:colOff>
                    <xdr:row>3</xdr:row>
                    <xdr:rowOff>220980</xdr:rowOff>
                  </from>
                  <to>
                    <xdr:col>5</xdr:col>
                    <xdr:colOff>2941320</xdr:colOff>
                    <xdr:row>6</xdr:row>
                    <xdr:rowOff>30480</xdr:rowOff>
                  </to>
                </anchor>
              </controlPr>
            </control>
          </mc:Choice>
        </mc:AlternateContent>
        <mc:AlternateContent xmlns:mc="http://schemas.openxmlformats.org/markup-compatibility/2006">
          <mc:Choice Requires="x14">
            <control shapeId="41989" r:id="rId8" name="Button 5">
              <controlPr defaultSize="0" print="0" autoFill="0" autoPict="0" macro="[0]!在庫有確定.ペア単位ソート">
                <anchor moveWithCells="1" sizeWithCells="1">
                  <from>
                    <xdr:col>5</xdr:col>
                    <xdr:colOff>1303020</xdr:colOff>
                    <xdr:row>0</xdr:row>
                    <xdr:rowOff>213360</xdr:rowOff>
                  </from>
                  <to>
                    <xdr:col>5</xdr:col>
                    <xdr:colOff>2621280</xdr:colOff>
                    <xdr:row>2</xdr:row>
                    <xdr:rowOff>175260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2026-09-13T14:08:37Z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