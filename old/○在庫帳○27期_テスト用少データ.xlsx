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so13036\Downloads\在庫管理\"/>
    </mc:Choice>
  </mc:AlternateContent>
  <xr:revisionPtr revIDLastSave="0" documentId="13_ncr:1_{68264A33-3C7F-42CB-9828-4C80A2CADF5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7期" sheetId="1" r:id="rId1"/>
    <sheet name="27期－R" sheetId="4" r:id="rId2"/>
    <sheet name="代車" sheetId="6" r:id="rId3"/>
  </sheets>
  <definedNames>
    <definedName name="_xlnm.Print_Area" localSheetId="0">'27期'!#REF!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1" l="1"/>
  <c r="J14" i="1"/>
  <c r="J16" i="1"/>
  <c r="J18" i="1"/>
  <c r="J20" i="1"/>
  <c r="J22" i="1"/>
  <c r="J24" i="1"/>
  <c r="J26" i="1"/>
  <c r="J28" i="1"/>
  <c r="N28" i="1" s="1"/>
  <c r="J30" i="1"/>
  <c r="N30" i="1" s="1"/>
  <c r="J32" i="1"/>
  <c r="J34" i="1"/>
  <c r="N34" i="1" s="1"/>
  <c r="J36" i="1"/>
  <c r="J38" i="1"/>
  <c r="J40" i="1"/>
  <c r="J42" i="1"/>
  <c r="J44" i="1"/>
  <c r="N44" i="1" s="1"/>
  <c r="J46" i="1"/>
  <c r="N46" i="1" s="1"/>
  <c r="J48" i="1"/>
  <c r="N48" i="1" s="1"/>
  <c r="J50" i="1"/>
  <c r="J52" i="1"/>
  <c r="N52" i="1" s="1"/>
  <c r="J54" i="1"/>
  <c r="N54" i="1" s="1"/>
  <c r="J56" i="1"/>
  <c r="N56" i="1" s="1"/>
  <c r="J58" i="1"/>
  <c r="N58" i="1" s="1"/>
  <c r="Y58" i="1"/>
  <c r="AA58" i="1" s="1"/>
  <c r="Y56" i="1"/>
  <c r="AA56" i="1" s="1"/>
  <c r="Y54" i="1"/>
  <c r="AA54" i="1" s="1"/>
  <c r="Y52" i="1"/>
  <c r="AA52" i="1" s="1"/>
  <c r="Y50" i="1"/>
  <c r="AA50" i="1" s="1"/>
  <c r="N50" i="1"/>
  <c r="Y48" i="1"/>
  <c r="AA48" i="1" s="1"/>
  <c r="Y46" i="1"/>
  <c r="AA46" i="1" s="1"/>
  <c r="Y44" i="1"/>
  <c r="AA44" i="1" s="1"/>
  <c r="Y42" i="1"/>
  <c r="AA42" i="1" s="1"/>
  <c r="N42" i="1"/>
  <c r="Y40" i="1"/>
  <c r="AA40" i="1" s="1"/>
  <c r="N40" i="1"/>
  <c r="Y38" i="1"/>
  <c r="AA38" i="1" s="1"/>
  <c r="N38" i="1"/>
  <c r="Y36" i="1"/>
  <c r="AA36" i="1" s="1"/>
  <c r="N36" i="1"/>
  <c r="Y34" i="1"/>
  <c r="AA34" i="1" s="1"/>
  <c r="Y32" i="1"/>
  <c r="AA32" i="1" s="1"/>
  <c r="N32" i="1"/>
  <c r="Y30" i="1"/>
  <c r="AA30" i="1" s="1"/>
  <c r="Y28" i="1"/>
  <c r="AA28" i="1" s="1"/>
  <c r="Y26" i="1"/>
  <c r="AA26" i="1" s="1"/>
  <c r="N26" i="1"/>
  <c r="Y24" i="1"/>
  <c r="AA24" i="1" s="1"/>
  <c r="N24" i="1"/>
  <c r="Y22" i="1"/>
  <c r="AA22" i="1" s="1"/>
  <c r="N22" i="1"/>
  <c r="Y20" i="1"/>
  <c r="AA20" i="1" s="1"/>
  <c r="N20" i="1"/>
  <c r="Y18" i="1"/>
  <c r="AA18" i="1" s="1"/>
  <c r="N18" i="1"/>
  <c r="Y16" i="1"/>
  <c r="AA16" i="1" s="1"/>
  <c r="N16" i="1"/>
  <c r="Y14" i="1"/>
  <c r="AA14" i="1" s="1"/>
  <c r="N14" i="1"/>
  <c r="Y12" i="1"/>
  <c r="AA12" i="1" s="1"/>
  <c r="N12" i="1"/>
  <c r="Y14" i="4" l="1"/>
  <c r="AA14" i="4" s="1"/>
  <c r="N14" i="4"/>
  <c r="Y12" i="4" l="1"/>
  <c r="AA12" i="4" s="1"/>
  <c r="N12" i="4"/>
  <c r="Y8" i="4" l="1"/>
  <c r="AA8" i="4" s="1"/>
  <c r="Y6" i="4"/>
  <c r="AA6" i="4" s="1"/>
  <c r="Y4" i="4"/>
  <c r="AA4" i="4" s="1"/>
  <c r="Y2" i="4"/>
  <c r="AA2" i="4" s="1"/>
  <c r="Y10" i="4"/>
  <c r="AA10" i="4" s="1"/>
  <c r="N10" i="4"/>
  <c r="N8" i="4"/>
  <c r="N6" i="4"/>
  <c r="M4" i="4"/>
  <c r="N4" i="4" s="1"/>
  <c r="N2" i="4"/>
  <c r="Y10" i="1"/>
  <c r="AA10" i="1" s="1"/>
  <c r="Y8" i="1"/>
  <c r="AA8" i="1" s="1"/>
  <c r="Y6" i="1"/>
  <c r="AA6" i="1" s="1"/>
  <c r="Y4" i="1"/>
  <c r="AA4" i="1" s="1"/>
  <c r="Y2" i="1"/>
  <c r="AA2" i="1" s="1"/>
  <c r="AA16" i="4"/>
  <c r="N1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瀧井良介</author>
  </authors>
  <commentList>
    <comment ref="A2" authorId="0" shapeId="0" xr:uid="{00000000-0006-0000-0000-000001000000}">
      <text>
        <r>
          <rPr>
            <sz val="9"/>
            <color indexed="81"/>
            <rFont val="MS P ゴシック"/>
            <family val="3"/>
            <charset val="128"/>
          </rPr>
          <t>13-001 14-001 15-001 16-001 17-001 18-001 19-001 20-001 21-001 22-001 23-001 24-001 25-001 26-001</t>
        </r>
      </text>
    </comment>
    <comment ref="A4" authorId="0" shapeId="0" xr:uid="{00000000-0006-0000-0000-000002000000}">
      <text>
        <r>
          <rPr>
            <sz val="9"/>
            <color indexed="81"/>
            <rFont val="MS P ゴシック"/>
            <family val="3"/>
            <charset val="128"/>
          </rPr>
          <t>13-002 14-002 15-002 16-002 17-002 18-002 19-002 20-002 21-003 21-002 22-002a 23-002 24-002 25-002 26-002</t>
        </r>
      </text>
    </comment>
    <comment ref="A6" authorId="0" shapeId="0" xr:uid="{00000000-0006-0000-0000-000003000000}">
      <text>
        <r>
          <rPr>
            <sz val="9"/>
            <color indexed="81"/>
            <rFont val="MS P ゴシック"/>
            <family val="3"/>
            <charset val="128"/>
          </rPr>
          <t>13-003 14-003 15-003 16-003 17-003 18-003 19-003 20-003 21-003 22-002b 23-003 24-003 25-003 26-003</t>
        </r>
      </text>
    </comment>
    <comment ref="A8" authorId="0" shapeId="0" xr:uid="{00000000-0006-0000-0000-000004000000}">
      <text>
        <r>
          <rPr>
            <sz val="9"/>
            <color indexed="81"/>
            <rFont val="MS P ゴシック"/>
            <family val="3"/>
            <charset val="128"/>
          </rPr>
          <t>12-007 13-006 14-006 15-005 16-005 17-005 18-005 19-005 20-005 21-004 22-003 23-004 24-004 25-004 26-004</t>
        </r>
      </text>
    </comment>
    <comment ref="A10" authorId="0" shapeId="0" xr:uid="{00000000-0006-0000-0000-000005000000}">
      <text>
        <r>
          <rPr>
            <sz val="9"/>
            <color indexed="81"/>
            <rFont val="MS P ゴシック"/>
            <family val="3"/>
            <charset val="128"/>
          </rPr>
          <t>12-009 13-008 14-007 15-006 16-006 17-006 18-006 19-006 20-006 21-005 22-004 23-005 24-005 25-005 26-005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瀧井翔太</author>
    <author>瀧井良介</author>
  </authors>
  <commentList>
    <comment ref="A2" authorId="0" shapeId="0" xr:uid="{00000000-0006-0000-0100-000001000000}">
      <text>
        <r>
          <rPr>
            <sz val="9"/>
            <color indexed="81"/>
            <rFont val="MS P ゴシック"/>
            <family val="3"/>
            <charset val="128"/>
          </rPr>
          <t xml:space="preserve">19-3782 20-273 R21-008 R22-006 R23-005 R24-004 R25-001　R26-001
</t>
        </r>
      </text>
    </comment>
    <comment ref="A4" authorId="0" shapeId="0" xr:uid="{00000000-0006-0000-0100-000002000000}">
      <text>
        <r>
          <rPr>
            <sz val="9"/>
            <color indexed="81"/>
            <rFont val="MS P ゴシック"/>
            <family val="3"/>
            <charset val="128"/>
          </rPr>
          <t>20-2552 R21-010 R22-007 R23-006 R24-005 R25-002
R26-002</t>
        </r>
      </text>
    </comment>
    <comment ref="A6" authorId="0" shapeId="0" xr:uid="{00000000-0006-0000-0100-000003000000}">
      <text>
        <r>
          <rPr>
            <sz val="9"/>
            <color indexed="81"/>
            <rFont val="MS P ゴシック"/>
            <family val="3"/>
            <charset val="128"/>
          </rPr>
          <t>S23-277 S24-076a R24-009 R25-003
R26-003</t>
        </r>
      </text>
    </comment>
    <comment ref="A8" authorId="0" shapeId="0" xr:uid="{00000000-0006-0000-0100-000004000000}">
      <text>
        <r>
          <rPr>
            <sz val="9"/>
            <color indexed="81"/>
            <rFont val="MS P ゴシック"/>
            <family val="3"/>
            <charset val="128"/>
          </rPr>
          <t>18-7870 19-376 20-117 21-090 22-081 23-075 24-066 25-062 R25-015
R26-008</t>
        </r>
      </text>
    </comment>
    <comment ref="A10" authorId="0" shapeId="0" xr:uid="{00000000-0006-0000-0100-000005000000}">
      <text>
        <r>
          <rPr>
            <sz val="9"/>
            <color indexed="81"/>
            <rFont val="MS P ゴシック"/>
            <family val="3"/>
            <charset val="128"/>
          </rPr>
          <t xml:space="preserve"> 23-1911 24-333 25-265 26-242
R26-009
</t>
        </r>
      </text>
    </comment>
    <comment ref="A12" authorId="1" shapeId="0" xr:uid="{DFB473D1-FAB1-4C9B-8350-84D1268DEDF8}">
      <text>
        <r>
          <rPr>
            <sz val="9"/>
            <color indexed="81"/>
            <rFont val="MS P ゴシック"/>
            <family val="3"/>
            <charset val="128"/>
          </rPr>
          <t xml:space="preserve"> 22-1635 23-257 24-182 25-159 26-151</t>
        </r>
      </text>
    </comment>
    <comment ref="A14" authorId="1" shapeId="0" xr:uid="{1EE19606-917F-4310-88C9-C8968E875280}">
      <text>
        <r>
          <rPr>
            <sz val="9"/>
            <color indexed="81"/>
            <rFont val="MS P ゴシック"/>
            <family val="3"/>
            <charset val="128"/>
          </rPr>
          <t>21-2013 22-227 23-173 24-130 25-118 26-113</t>
        </r>
      </text>
    </comment>
  </commentList>
</comments>
</file>

<file path=xl/sharedStrings.xml><?xml version="1.0" encoding="utf-8"?>
<sst xmlns="http://schemas.openxmlformats.org/spreadsheetml/2006/main" count="456" uniqueCount="327">
  <si>
    <t>仕入番号</t>
  </si>
  <si>
    <t>仕入れ日/仕入れ先</t>
  </si>
  <si>
    <t>回次/出品番号</t>
  </si>
  <si>
    <t>年式/色</t>
  </si>
  <si>
    <t>車名/車台番号</t>
  </si>
  <si>
    <t>車検/距離</t>
  </si>
  <si>
    <t>評価点</t>
  </si>
  <si>
    <t>車輌代</t>
  </si>
  <si>
    <t>消費税</t>
  </si>
  <si>
    <t>自税</t>
  </si>
  <si>
    <t>リサイクル</t>
  </si>
  <si>
    <t>落札料</t>
  </si>
  <si>
    <t>合計</t>
  </si>
  <si>
    <t>自税相当返金額</t>
  </si>
  <si>
    <t>車輌番号/所有者</t>
  </si>
  <si>
    <t>補足</t>
  </si>
  <si>
    <t>名義変更</t>
  </si>
  <si>
    <t>売上日/売上先</t>
  </si>
  <si>
    <t>入金日</t>
  </si>
  <si>
    <t>予定</t>
  </si>
  <si>
    <t>着</t>
  </si>
  <si>
    <t>付属品</t>
    <phoneticPr fontId="13"/>
  </si>
  <si>
    <t>車名</t>
    <rPh sb="0" eb="2">
      <t>シャメイ</t>
    </rPh>
    <phoneticPr fontId="13"/>
  </si>
  <si>
    <t>車台番号</t>
    <rPh sb="0" eb="4">
      <t>シャダイバンゴウ</t>
    </rPh>
    <phoneticPr fontId="13"/>
  </si>
  <si>
    <t>年式</t>
    <rPh sb="0" eb="2">
      <t>ネンシキ</t>
    </rPh>
    <phoneticPr fontId="13"/>
  </si>
  <si>
    <t>色</t>
    <rPh sb="0" eb="1">
      <t>イロ</t>
    </rPh>
    <phoneticPr fontId="13"/>
  </si>
  <si>
    <t>車検</t>
    <rPh sb="0" eb="2">
      <t>シャケン</t>
    </rPh>
    <phoneticPr fontId="13"/>
  </si>
  <si>
    <t>ナンバー</t>
    <phoneticPr fontId="13"/>
  </si>
  <si>
    <t>88’</t>
  </si>
  <si>
    <t>ｼﾄﾛｴﾝ　ﾁｬｰﾙｽﾄﾝMTｷｬﾝﾊﾞｽﾄｯﾌﾟ</t>
  </si>
  <si>
    <t>振り込み　735</t>
  </si>
  <si>
    <t>ｼｰﾄ修理　8000</t>
  </si>
  <si>
    <t>TAP出品　3675</t>
  </si>
  <si>
    <t>島根　50　さ　3593</t>
  </si>
  <si>
    <t>ﾜｲｽﾞ</t>
  </si>
  <si>
    <t>ｸﾞﾚｰ/ｸﾛ</t>
  </si>
  <si>
    <t>VF7AZKA00KA325440</t>
  </si>
  <si>
    <t>ﾘﾌﾄﾄｯﾌﾟ　64620+735</t>
  </si>
  <si>
    <t>ペイント　220500</t>
  </si>
  <si>
    <t>黒田商会　100800</t>
  </si>
  <si>
    <t>黒田商会　29400</t>
  </si>
  <si>
    <t>田原　秀行</t>
  </si>
  <si>
    <t>89’</t>
  </si>
  <si>
    <t>BMW　635CSI</t>
  </si>
  <si>
    <t>大阪　300　ま　4361</t>
  </si>
  <si>
    <t>HAA</t>
  </si>
  <si>
    <t>ﾛｲﾔﾙﾌﾞﾙｰ</t>
  </si>
  <si>
    <t>WBAEC890900766577</t>
  </si>
  <si>
    <t>抹消　685</t>
  </si>
  <si>
    <t>脇　厚生</t>
  </si>
  <si>
    <t>抹消済</t>
    <rPh sb="0" eb="2">
      <t>マッショウ</t>
    </rPh>
    <rPh sb="2" eb="3">
      <t>ズ</t>
    </rPh>
    <phoneticPr fontId="13"/>
  </si>
  <si>
    <t>95’</t>
  </si>
  <si>
    <t>ﾎﾞﾙﾎﾞ　ﾎﾟﾗｰﾙｴｽﾃｰﾄ</t>
  </si>
  <si>
    <t>姫路　300　て　6488</t>
  </si>
  <si>
    <t>ﾜｲﾝ</t>
    <phoneticPr fontId="13"/>
  </si>
  <si>
    <t>YV1945856S1133839</t>
  </si>
  <si>
    <t>商品車　2700+500</t>
  </si>
  <si>
    <t>HA出品（4回）　16800</t>
  </si>
  <si>
    <t>テール　10000</t>
  </si>
  <si>
    <t>自税　45000</t>
  </si>
  <si>
    <t>斎藤　祐一郎</t>
  </si>
  <si>
    <t>98’</t>
  </si>
  <si>
    <t>ｱｳﾃﾞｨA6　2.8ｸﾜﾄﾛ</t>
  </si>
  <si>
    <t>名古屋　302　に　5618</t>
  </si>
  <si>
    <t>ZIP大阪</t>
  </si>
  <si>
    <t>ｼﾙﾊﾞｰ</t>
  </si>
  <si>
    <t>WAUZZZ4BZWN155878</t>
  </si>
  <si>
    <t>抹消　850</t>
  </si>
  <si>
    <t>(株)ﾔﾅｾ</t>
    <phoneticPr fontId="13"/>
  </si>
  <si>
    <t>94’</t>
  </si>
  <si>
    <t>ｼﾞｬｶﾞｰ　XJ6</t>
  </si>
  <si>
    <t>横浜　34　た　1386</t>
  </si>
  <si>
    <t>JAA</t>
  </si>
  <si>
    <t>ｶﾞﾝﾒﾀ</t>
  </si>
  <si>
    <t>SAJJFKLD3AJ696574</t>
  </si>
  <si>
    <t>振り込　735　　　　　</t>
  </si>
  <si>
    <t>陸送　21000</t>
  </si>
  <si>
    <t>(株)ｳｯﾄﾞｽﾃｯｸ</t>
    <rPh sb="0" eb="3">
      <t>カブシキガイシャ</t>
    </rPh>
    <phoneticPr fontId="13"/>
  </si>
  <si>
    <t>保証書 取説</t>
    <rPh sb="0" eb="3">
      <t>ホショウショ</t>
    </rPh>
    <rPh sb="4" eb="5">
      <t>トリ</t>
    </rPh>
    <rPh sb="5" eb="6">
      <t>セツ</t>
    </rPh>
    <phoneticPr fontId="13"/>
  </si>
  <si>
    <t>USS横浜</t>
  </si>
  <si>
    <t>保証書　取説　ｷｰﾚｽ</t>
  </si>
  <si>
    <t>USS名古屋</t>
  </si>
  <si>
    <t>白</t>
  </si>
  <si>
    <t>27/11</t>
  </si>
  <si>
    <t>28/3</t>
  </si>
  <si>
    <t>ｸﾞﾚｰ</t>
  </si>
  <si>
    <t>黒</t>
    <rPh sb="0" eb="1">
      <t>クロ</t>
    </rPh>
    <phoneticPr fontId="13"/>
  </si>
  <si>
    <t>22/12</t>
  </si>
  <si>
    <t>ﾍﾞｰｼﾞｭ</t>
  </si>
  <si>
    <t>1/16</t>
  </si>
  <si>
    <t>Sellca</t>
  </si>
  <si>
    <t>ｵｰｸﾈｯﾄ</t>
  </si>
  <si>
    <t>ﾜｺﾞﾝR FXﾘﾐﾃｯﾄﾞ</t>
  </si>
  <si>
    <t>青</t>
  </si>
  <si>
    <t>保証書</t>
  </si>
  <si>
    <t>取説 保証書 ﾜﾝｵｰﾅｰ</t>
  </si>
  <si>
    <t>25/5</t>
    <phoneticPr fontId="13"/>
  </si>
  <si>
    <t>赤</t>
    <rPh sb="0" eb="1">
      <t>アカ</t>
    </rPh>
    <phoneticPr fontId="13"/>
  </si>
  <si>
    <t>1824回</t>
  </si>
  <si>
    <t>28/2</t>
  </si>
  <si>
    <t>BMW218dｱｸﾃｨﾌﾞﾂｱﾗｰ Mｽﾎﾟｰﾂ</t>
  </si>
  <si>
    <t>33/2</t>
  </si>
  <si>
    <t>京都 390 つ 8888</t>
  </si>
  <si>
    <t>取説 保証書 ｽﾍﾟｱｷｰ H31記録簿</t>
  </si>
  <si>
    <t>WBA2C120S0V612990</t>
  </si>
  <si>
    <t>株式会社 ﾅｯｸ</t>
  </si>
  <si>
    <t>取説 保証書 ｷｰﾚｽ ﾜﾝｵｰﾅｰ 記録OK</t>
    <phoneticPr fontId="13"/>
  </si>
  <si>
    <t>2/14</t>
  </si>
  <si>
    <t>取説 保証書</t>
  </si>
  <si>
    <t>20回</t>
  </si>
  <si>
    <t>4/5</t>
  </si>
  <si>
    <t>MIRIVE愛知(ｱｲｵｰｸ）</t>
  </si>
  <si>
    <t>ﾌｨｱｯﾄ500X ﾎﾟｯﾌﾟｽﾀｰﾌﾟﾗｽ</t>
  </si>
  <si>
    <t>名古屋 343 ふ 1091</t>
  </si>
  <si>
    <t>ZFA3340000P387624</t>
  </si>
  <si>
    <t>井上 三樹男</t>
  </si>
  <si>
    <t>11/20</t>
  </si>
  <si>
    <t>取説 保証書 ｷｰﾚｽ ﾓﾆﾀｰ ﾜﾝｵｰﾅｰ</t>
  </si>
  <si>
    <t>ｵﾚﾝｼﾞ</t>
    <phoneticPr fontId="13"/>
  </si>
  <si>
    <t>青</t>
    <rPh sb="0" eb="1">
      <t>アオ</t>
    </rPh>
    <phoneticPr fontId="13"/>
  </si>
  <si>
    <t>白</t>
    <rPh sb="0" eb="1">
      <t>シロ</t>
    </rPh>
    <phoneticPr fontId="13"/>
  </si>
  <si>
    <t>赤Ⅱ</t>
    <rPh sb="0" eb="1">
      <t>アカ</t>
    </rPh>
    <phoneticPr fontId="13"/>
  </si>
  <si>
    <t>26/12</t>
    <phoneticPr fontId="13"/>
  </si>
  <si>
    <t>29/3</t>
    <phoneticPr fontId="13"/>
  </si>
  <si>
    <t>ｼﾙﾊﾞｰ</t>
    <phoneticPr fontId="13"/>
  </si>
  <si>
    <t>保証書 取説 ｷｰﾚｽ</t>
    <rPh sb="0" eb="3">
      <t>ホショウショ</t>
    </rPh>
    <rPh sb="4" eb="6">
      <t>トリセツ</t>
    </rPh>
    <phoneticPr fontId="13"/>
  </si>
  <si>
    <t>26/7</t>
    <phoneticPr fontId="13"/>
  </si>
  <si>
    <t>24/3</t>
    <phoneticPr fontId="13"/>
  </si>
  <si>
    <t>27/6</t>
    <phoneticPr fontId="13"/>
  </si>
  <si>
    <t>23/3</t>
    <phoneticPr fontId="13"/>
  </si>
  <si>
    <t>25/3</t>
    <phoneticPr fontId="13"/>
  </si>
  <si>
    <t>25/6</t>
    <phoneticPr fontId="13"/>
  </si>
  <si>
    <t>ﾊﾟｰﾙ</t>
    <phoneticPr fontId="13"/>
  </si>
  <si>
    <t>TAA広島</t>
    <rPh sb="3" eb="5">
      <t>ヒロシマ</t>
    </rPh>
    <phoneticPr fontId="13"/>
  </si>
  <si>
    <t>USS神戸</t>
    <rPh sb="3" eb="5">
      <t>コウベ</t>
    </rPh>
    <phoneticPr fontId="13"/>
  </si>
  <si>
    <t>黄色</t>
    <rPh sb="0" eb="2">
      <t>キイロ</t>
    </rPh>
    <phoneticPr fontId="13"/>
  </si>
  <si>
    <t>24/7</t>
    <phoneticPr fontId="13"/>
  </si>
  <si>
    <t>茶色</t>
    <rPh sb="0" eb="2">
      <t>チャイロ</t>
    </rPh>
    <phoneticPr fontId="13"/>
  </si>
  <si>
    <t>抹消</t>
    <rPh sb="0" eb="2">
      <t>マッショウ</t>
    </rPh>
    <phoneticPr fontId="13"/>
  </si>
  <si>
    <t>2/13</t>
    <phoneticPr fontId="13"/>
  </si>
  <si>
    <t>24/2</t>
    <phoneticPr fontId="13"/>
  </si>
  <si>
    <t>水色</t>
    <rPh sb="0" eb="2">
      <t>ミズイロ</t>
    </rPh>
    <phoneticPr fontId="13"/>
  </si>
  <si>
    <t>9/3/12</t>
    <phoneticPr fontId="13"/>
  </si>
  <si>
    <t>8/4/1</t>
    <phoneticPr fontId="13"/>
  </si>
  <si>
    <t>K13-068801</t>
    <phoneticPr fontId="13"/>
  </si>
  <si>
    <t>24/10</t>
    <phoneticPr fontId="13"/>
  </si>
  <si>
    <t>25/12</t>
    <phoneticPr fontId="13"/>
  </si>
  <si>
    <t>株式会社ｻｺﾀﾞ車輌</t>
    <rPh sb="0" eb="4">
      <t>カブシキガイシャ</t>
    </rPh>
    <rPh sb="8" eb="10">
      <t>シャリョウ</t>
    </rPh>
    <phoneticPr fontId="13"/>
  </si>
  <si>
    <t>24/5</t>
    <phoneticPr fontId="13"/>
  </si>
  <si>
    <t>9/3/29</t>
    <phoneticPr fontId="13"/>
  </si>
  <si>
    <t>7/10/30</t>
    <phoneticPr fontId="13"/>
  </si>
  <si>
    <t>8/4/8</t>
    <phoneticPr fontId="13"/>
  </si>
  <si>
    <t>8/7/24</t>
    <phoneticPr fontId="13"/>
  </si>
  <si>
    <t>23/8</t>
    <phoneticPr fontId="13"/>
  </si>
  <si>
    <t>1697回</t>
  </si>
  <si>
    <t>①</t>
    <phoneticPr fontId="13"/>
  </si>
  <si>
    <t>7/12/4</t>
    <phoneticPr fontId="13"/>
  </si>
  <si>
    <t>福岡 583 か 5598</t>
  </si>
  <si>
    <t>T'sﾚﾝﾀｶｰに使用</t>
  </si>
  <si>
    <t>580 わ 3989</t>
    <phoneticPr fontId="13"/>
  </si>
  <si>
    <t>MH44S-168107</t>
  </si>
  <si>
    <t>いきてる株式会社</t>
    <phoneticPr fontId="13"/>
  </si>
  <si>
    <t>取説 保証書 ○</t>
  </si>
  <si>
    <t>26/3</t>
  </si>
  <si>
    <t>②</t>
    <phoneticPr fontId="13"/>
  </si>
  <si>
    <t>ﾉｰﾄ X ｴﾏｰｼﾞｪﾝｼｰﾌﾞﾚｰｷﾊﾟｯｹｰｼﾞ</t>
  </si>
  <si>
    <t>8/6/11</t>
    <phoneticPr fontId="13"/>
  </si>
  <si>
    <t>春日部 507 ひ 333</t>
  </si>
  <si>
    <t>T'sﾚﾝﾀｶｰ使用</t>
  </si>
  <si>
    <t>500 わ 7954</t>
    <phoneticPr fontId="13"/>
  </si>
  <si>
    <t>A02985</t>
  </si>
  <si>
    <t>E12-225207</t>
    <phoneticPr fontId="13"/>
  </si>
  <si>
    <t>三星医療電機株式会社</t>
  </si>
  <si>
    <t>取説 保証書 ﾅﾋﾞ取 ﾜﾝｵｰﾅｰ（車内にあった）</t>
  </si>
  <si>
    <t>③</t>
    <phoneticPr fontId="13"/>
  </si>
  <si>
    <t>ｱｳﾃﾞｨRS Q3</t>
    <phoneticPr fontId="13"/>
  </si>
  <si>
    <t>7/11/7</t>
    <phoneticPr fontId="13"/>
  </si>
  <si>
    <t>神戸 304 た  141</t>
    <rPh sb="0" eb="2">
      <t>コウベ</t>
    </rPh>
    <phoneticPr fontId="13"/>
  </si>
  <si>
    <t>HAA9/24 1122回82157成約ｷｬﾝｾﾙ 10/23書類戻り済</t>
    <phoneticPr fontId="13"/>
  </si>
  <si>
    <t>2022/10/23ﾚﾝﾀｶｰに移行</t>
    <rPh sb="16" eb="18">
      <t>イコウ</t>
    </rPh>
    <phoneticPr fontId="13"/>
  </si>
  <si>
    <t>300 わ 4626</t>
    <phoneticPr fontId="13"/>
  </si>
  <si>
    <t>橋本</t>
    <rPh sb="0" eb="2">
      <t>ハシモト</t>
    </rPh>
    <phoneticPr fontId="13"/>
  </si>
  <si>
    <t>WUAZZZ8U0FR900350</t>
    <phoneticPr fontId="13"/>
  </si>
  <si>
    <t>橋本 政人</t>
    <rPh sb="0" eb="2">
      <t>ハシモト</t>
    </rPh>
    <rPh sb="3" eb="5">
      <t>マサト</t>
    </rPh>
    <phoneticPr fontId="13"/>
  </si>
  <si>
    <t>S24-076aからR24-009へ変更</t>
    <rPh sb="18" eb="20">
      <t>ヘンコウ</t>
    </rPh>
    <phoneticPr fontId="13"/>
  </si>
  <si>
    <t>661回</t>
    <phoneticPr fontId="13"/>
  </si>
  <si>
    <t>ｱｳﾃﾞｨS3　ｽﾎﾟｰﾂB　TFSI</t>
  </si>
  <si>
    <t>7/7/31</t>
    <phoneticPr fontId="13"/>
  </si>
  <si>
    <t>湘南　301　む　538</t>
  </si>
  <si>
    <t>2024/7/31ﾚﾝﾀｶｰに移行</t>
    <rPh sb="15" eb="17">
      <t>イコウ</t>
    </rPh>
    <phoneticPr fontId="13"/>
  </si>
  <si>
    <t>300 わ 6062</t>
    <phoneticPr fontId="13"/>
  </si>
  <si>
    <t>WAUZZZ8P8BA029243</t>
  </si>
  <si>
    <t>有限会社ｵｰﾄｴｰｽ</t>
    <rPh sb="0" eb="4">
      <t>ユウゲンガイシャ</t>
    </rPh>
    <phoneticPr fontId="13"/>
  </si>
  <si>
    <t>25-062からR25-015へ変更</t>
    <rPh sb="16" eb="18">
      <t>ヘンコウ</t>
    </rPh>
    <phoneticPr fontId="13"/>
  </si>
  <si>
    <t>BMWﾐﾆ ｸｰﾊﾟｰDｸﾛｽｵｰﾊﾞｰ</t>
    <phoneticPr fontId="13"/>
  </si>
  <si>
    <t>8/5/12</t>
    <phoneticPr fontId="13"/>
  </si>
  <si>
    <t>広島 331 も 3298</t>
    <rPh sb="0" eb="2">
      <t>ヒロシマ</t>
    </rPh>
    <phoneticPr fontId="13"/>
  </si>
  <si>
    <t>2025/5/13 ﾚﾝﾀｶｰに移行</t>
    <rPh sb="16" eb="18">
      <t>イコウ</t>
    </rPh>
    <phoneticPr fontId="13"/>
  </si>
  <si>
    <t>300 わ 6615</t>
    <phoneticPr fontId="13"/>
  </si>
  <si>
    <t>WMWXD32030WN36369</t>
    <phoneticPr fontId="13"/>
  </si>
  <si>
    <t>26-242からR26-009へ変更</t>
    <rPh sb="16" eb="18">
      <t>ヘンコウ</t>
    </rPh>
    <phoneticPr fontId="13"/>
  </si>
  <si>
    <t>④</t>
    <phoneticPr fontId="13"/>
  </si>
  <si>
    <t>⑤</t>
    <phoneticPr fontId="13"/>
  </si>
  <si>
    <t>R27-001</t>
    <phoneticPr fontId="13"/>
  </si>
  <si>
    <t>R27-002</t>
  </si>
  <si>
    <t>R27-003</t>
  </si>
  <si>
    <t>R27-004</t>
  </si>
  <si>
    <t>R27-005</t>
  </si>
  <si>
    <t>ワゴンR</t>
    <phoneticPr fontId="13"/>
  </si>
  <si>
    <t>MH34S-209570</t>
    <phoneticPr fontId="13"/>
  </si>
  <si>
    <t>25/7</t>
    <phoneticPr fontId="13"/>
  </si>
  <si>
    <t>Lﾌﾞﾙｰ</t>
    <phoneticPr fontId="13"/>
  </si>
  <si>
    <t>8/7/30</t>
    <phoneticPr fontId="13"/>
  </si>
  <si>
    <t>姫路 581 ほ 8584</t>
    <rPh sb="0" eb="2">
      <t>ヒメジ</t>
    </rPh>
    <phoneticPr fontId="13"/>
  </si>
  <si>
    <t>ムーヴ</t>
    <phoneticPr fontId="13"/>
  </si>
  <si>
    <t>LA100S-0139789</t>
    <phoneticPr fontId="13"/>
  </si>
  <si>
    <t>9/5/28</t>
    <phoneticPr fontId="13"/>
  </si>
  <si>
    <t>姫路 580 ふ 3026</t>
    <rPh sb="0" eb="2">
      <t>ヒメジ</t>
    </rPh>
    <phoneticPr fontId="13"/>
  </si>
  <si>
    <t>MH34S-348009</t>
    <phoneticPr fontId="13"/>
  </si>
  <si>
    <t>9/8/3</t>
    <phoneticPr fontId="13"/>
  </si>
  <si>
    <t>姫路 581 も 8068</t>
    <rPh sb="0" eb="2">
      <t>ヒメジ</t>
    </rPh>
    <phoneticPr fontId="13"/>
  </si>
  <si>
    <t>スペーシア</t>
    <phoneticPr fontId="13"/>
  </si>
  <si>
    <t>MK32S-171563</t>
    <phoneticPr fontId="13"/>
  </si>
  <si>
    <t>26/2</t>
    <phoneticPr fontId="13"/>
  </si>
  <si>
    <t>ピンク</t>
    <phoneticPr fontId="13"/>
  </si>
  <si>
    <t>8/10/24</t>
    <phoneticPr fontId="13"/>
  </si>
  <si>
    <t>姫路 581 ゆ 1986</t>
    <rPh sb="0" eb="2">
      <t>ヒメジ</t>
    </rPh>
    <phoneticPr fontId="13"/>
  </si>
  <si>
    <t>旧26-900</t>
    <rPh sb="0" eb="1">
      <t>キュウ</t>
    </rPh>
    <phoneticPr fontId="13"/>
  </si>
  <si>
    <t>フィットHV</t>
    <phoneticPr fontId="13"/>
  </si>
  <si>
    <t>GP1-1109206</t>
    <phoneticPr fontId="13"/>
  </si>
  <si>
    <t>9/3/17</t>
    <phoneticPr fontId="13"/>
  </si>
  <si>
    <t>姫路 501 む 8101</t>
    <rPh sb="0" eb="2">
      <t>ヒメジ</t>
    </rPh>
    <phoneticPr fontId="13"/>
  </si>
  <si>
    <t>フィット</t>
    <phoneticPr fontId="13"/>
  </si>
  <si>
    <t>キューブ</t>
    <phoneticPr fontId="13"/>
  </si>
  <si>
    <t>デミオ</t>
    <phoneticPr fontId="13"/>
  </si>
  <si>
    <t>ベリーサ</t>
    <phoneticPr fontId="13"/>
  </si>
  <si>
    <t>DC5W-338230</t>
    <phoneticPr fontId="13"/>
  </si>
  <si>
    <t>22/1</t>
    <phoneticPr fontId="13"/>
  </si>
  <si>
    <t>8/10/14</t>
    <phoneticPr fontId="13"/>
  </si>
  <si>
    <t>姫路 501 む 3911</t>
    <rPh sb="0" eb="2">
      <t>ヒメジ</t>
    </rPh>
    <phoneticPr fontId="13"/>
  </si>
  <si>
    <t>DE3FS-548820</t>
    <phoneticPr fontId="13"/>
  </si>
  <si>
    <t>8/4/2</t>
    <phoneticPr fontId="13"/>
  </si>
  <si>
    <t>姫路 501 む 8167</t>
    <rPh sb="0" eb="2">
      <t>ヒメジ</t>
    </rPh>
    <phoneticPr fontId="13"/>
  </si>
  <si>
    <t>ミラージュ</t>
    <phoneticPr fontId="13"/>
  </si>
  <si>
    <t>A05A-0009519</t>
    <phoneticPr fontId="13"/>
  </si>
  <si>
    <t>姫路 501 て 9110</t>
    <rPh sb="0" eb="2">
      <t>ヒメジ</t>
    </rPh>
    <phoneticPr fontId="13"/>
  </si>
  <si>
    <t>ソリオ</t>
    <phoneticPr fontId="13"/>
  </si>
  <si>
    <t>MA15S-213095</t>
    <phoneticPr fontId="13"/>
  </si>
  <si>
    <t>8/5/21</t>
    <phoneticPr fontId="13"/>
  </si>
  <si>
    <t>姫路 501 め 460</t>
    <rPh sb="0" eb="2">
      <t>ヒメジ</t>
    </rPh>
    <phoneticPr fontId="13"/>
  </si>
  <si>
    <t>Z12-038369</t>
    <phoneticPr fontId="13"/>
  </si>
  <si>
    <t>21/7</t>
    <phoneticPr fontId="13"/>
  </si>
  <si>
    <t>姫路 301 む 9535</t>
    <rPh sb="0" eb="2">
      <t>ヒメジ</t>
    </rPh>
    <phoneticPr fontId="13"/>
  </si>
  <si>
    <t>MA15S-952437</t>
    <phoneticPr fontId="13"/>
  </si>
  <si>
    <t>9/4/20</t>
    <phoneticPr fontId="13"/>
  </si>
  <si>
    <t>姫路 501 め 8190</t>
    <rPh sb="0" eb="2">
      <t>ヒメジ</t>
    </rPh>
    <phoneticPr fontId="13"/>
  </si>
  <si>
    <t>シエンタ</t>
    <phoneticPr fontId="13"/>
  </si>
  <si>
    <t>NCP81-5146438</t>
    <phoneticPr fontId="13"/>
  </si>
  <si>
    <t>8/8/30</t>
    <phoneticPr fontId="13"/>
  </si>
  <si>
    <t>姫路 501 め 6924</t>
    <rPh sb="0" eb="2">
      <t>ヒメジ</t>
    </rPh>
    <phoneticPr fontId="13"/>
  </si>
  <si>
    <t>アクア</t>
    <phoneticPr fontId="13"/>
  </si>
  <si>
    <t>NHP10-6063158</t>
    <phoneticPr fontId="13"/>
  </si>
  <si>
    <t>9/7/18</t>
    <phoneticPr fontId="13"/>
  </si>
  <si>
    <t>姫路 501 め 8934</t>
    <rPh sb="0" eb="2">
      <t>ヒメジ</t>
    </rPh>
    <phoneticPr fontId="13"/>
  </si>
  <si>
    <t>NHP10-2026527</t>
    <phoneticPr fontId="13"/>
  </si>
  <si>
    <t>姫路 501 も 805</t>
    <rPh sb="0" eb="2">
      <t>ヒメジ</t>
    </rPh>
    <phoneticPr fontId="13"/>
  </si>
  <si>
    <t>旧25-5539</t>
    <rPh sb="0" eb="1">
      <t>キュウ</t>
    </rPh>
    <phoneticPr fontId="13"/>
  </si>
  <si>
    <t>プリウス</t>
    <phoneticPr fontId="13"/>
  </si>
  <si>
    <t>ZVW30-0277422</t>
    <phoneticPr fontId="13"/>
  </si>
  <si>
    <t>姫路 301 に 5255</t>
    <rPh sb="0" eb="2">
      <t>ヒメジ</t>
    </rPh>
    <phoneticPr fontId="13"/>
  </si>
  <si>
    <t>旧25-4986</t>
    <rPh sb="0" eb="1">
      <t>キュウ</t>
    </rPh>
    <phoneticPr fontId="13"/>
  </si>
  <si>
    <t>デリカ</t>
    <phoneticPr fontId="13"/>
  </si>
  <si>
    <t>MB15S-500840</t>
    <phoneticPr fontId="13"/>
  </si>
  <si>
    <t>8/12/24</t>
    <phoneticPr fontId="13"/>
  </si>
  <si>
    <t>姫路 501 も 5387</t>
    <rPh sb="0" eb="2">
      <t>ヒメジ</t>
    </rPh>
    <phoneticPr fontId="13"/>
  </si>
  <si>
    <t>旧26-1998</t>
    <rPh sb="0" eb="1">
      <t>キュウ</t>
    </rPh>
    <phoneticPr fontId="13"/>
  </si>
  <si>
    <t>ZVW30-5381970</t>
    <phoneticPr fontId="13"/>
  </si>
  <si>
    <t>8/12/15</t>
    <phoneticPr fontId="13"/>
  </si>
  <si>
    <t>姫路 301 ぬ 2893</t>
    <rPh sb="0" eb="2">
      <t>ヒメジ</t>
    </rPh>
    <phoneticPr fontId="13"/>
  </si>
  <si>
    <t>旧26-2558</t>
    <rPh sb="0" eb="1">
      <t>キュウ</t>
    </rPh>
    <phoneticPr fontId="13"/>
  </si>
  <si>
    <t>GP5-1004384</t>
    <phoneticPr fontId="13"/>
  </si>
  <si>
    <t>8/7/6</t>
    <phoneticPr fontId="13"/>
  </si>
  <si>
    <t>姫路 501 も 8358</t>
    <rPh sb="0" eb="2">
      <t>ヒメジ</t>
    </rPh>
    <phoneticPr fontId="13"/>
  </si>
  <si>
    <t>旧26-4609</t>
    <rPh sb="0" eb="1">
      <t>キュウ</t>
    </rPh>
    <phoneticPr fontId="13"/>
  </si>
  <si>
    <t>NHP10-2353688</t>
    <phoneticPr fontId="13"/>
  </si>
  <si>
    <t>9/9/2</t>
    <phoneticPr fontId="13"/>
  </si>
  <si>
    <t>姫路 501 も 8357</t>
    <rPh sb="0" eb="2">
      <t>ヒメジ</t>
    </rPh>
    <phoneticPr fontId="13"/>
  </si>
  <si>
    <t>旧26-4462</t>
    <rPh sb="0" eb="1">
      <t>キュウ</t>
    </rPh>
    <phoneticPr fontId="13"/>
  </si>
  <si>
    <t>状況</t>
    <rPh sb="0" eb="2">
      <t>ジョウキョウ</t>
    </rPh>
    <phoneticPr fontId="13"/>
  </si>
  <si>
    <t>売上日</t>
    <rPh sb="0" eb="2">
      <t>ウリアゲ</t>
    </rPh>
    <rPh sb="2" eb="3">
      <t>ビ</t>
    </rPh>
    <phoneticPr fontId="13"/>
  </si>
  <si>
    <t>27-001</t>
    <phoneticPr fontId="13"/>
  </si>
  <si>
    <t>27-002</t>
  </si>
  <si>
    <t>27-003</t>
  </si>
  <si>
    <t>27-004</t>
  </si>
  <si>
    <t>27-005</t>
  </si>
  <si>
    <t>R27-006</t>
  </si>
  <si>
    <t>⑥</t>
    <phoneticPr fontId="13"/>
  </si>
  <si>
    <t>2025/    ﾚﾝﾀｶｰに移行</t>
    <rPh sb="15" eb="17">
      <t>イコウ</t>
    </rPh>
    <phoneticPr fontId="13"/>
  </si>
  <si>
    <t>27-144からR27-006へ変更</t>
    <rPh sb="16" eb="18">
      <t>ヘンコウ</t>
    </rPh>
    <phoneticPr fontId="13"/>
  </si>
  <si>
    <t>300 わ 6860</t>
    <phoneticPr fontId="13"/>
  </si>
  <si>
    <t>NHP10-2211685</t>
    <phoneticPr fontId="13"/>
  </si>
  <si>
    <t>8/6/21</t>
    <phoneticPr fontId="13"/>
  </si>
  <si>
    <t>USS神戸/992/10049</t>
    <rPh sb="3" eb="5">
      <t>コウベ</t>
    </rPh>
    <phoneticPr fontId="13"/>
  </si>
  <si>
    <t>売上先/回次/番号</t>
    <rPh sb="0" eb="2">
      <t>ウリアゲ</t>
    </rPh>
    <rPh sb="2" eb="3">
      <t>サキ</t>
    </rPh>
    <rPh sb="4" eb="6">
      <t>カイジ</t>
    </rPh>
    <rPh sb="7" eb="9">
      <t>バンゴウ</t>
    </rPh>
    <phoneticPr fontId="13"/>
  </si>
  <si>
    <t>旧27-1708</t>
    <rPh sb="0" eb="1">
      <t>キュウ</t>
    </rPh>
    <phoneticPr fontId="13"/>
  </si>
  <si>
    <t>姫路 501 ゆ 2852</t>
    <rPh sb="0" eb="2">
      <t>ヒメジ</t>
    </rPh>
    <phoneticPr fontId="13"/>
  </si>
  <si>
    <t>マーチ</t>
    <phoneticPr fontId="13"/>
  </si>
  <si>
    <t>姫路 501 ゆ 1577</t>
    <rPh sb="0" eb="2">
      <t>ヒメジ</t>
    </rPh>
    <phoneticPr fontId="13"/>
  </si>
  <si>
    <t>旧26-5962</t>
    <rPh sb="0" eb="1">
      <t>キュウ</t>
    </rPh>
    <phoneticPr fontId="13"/>
  </si>
  <si>
    <t>仕入れ日/仕入れ先</t>
    <phoneticPr fontId="13"/>
  </si>
  <si>
    <t>USS神戸/1000/7007</t>
    <rPh sb="3" eb="5">
      <t>コウベ</t>
    </rPh>
    <phoneticPr fontId="13"/>
  </si>
  <si>
    <t>USS神戸/1000/7008</t>
    <rPh sb="3" eb="5">
      <t>コウベ</t>
    </rPh>
    <phoneticPr fontId="13"/>
  </si>
  <si>
    <t>NHP10-2025762</t>
    <phoneticPr fontId="13"/>
  </si>
  <si>
    <t>車輌番号/所有者</t>
    <phoneticPr fontId="13"/>
  </si>
  <si>
    <t>売上日/売上先</t>
    <phoneticPr fontId="13"/>
  </si>
  <si>
    <t>　車体番号</t>
    <rPh sb="1" eb="5">
      <t>シャタイバンゴウ</t>
    </rPh>
    <phoneticPr fontId="13"/>
  </si>
  <si>
    <t>R27-007</t>
  </si>
  <si>
    <t>⑦</t>
    <phoneticPr fontId="13"/>
  </si>
  <si>
    <t>2026/2 ﾚﾝﾀｶｰに移行</t>
    <rPh sb="13" eb="15">
      <t>イコウ</t>
    </rPh>
    <phoneticPr fontId="13"/>
  </si>
  <si>
    <t>27-110からR27-007へ変更</t>
    <rPh sb="16" eb="18">
      <t>ヘンコウ</t>
    </rPh>
    <phoneticPr fontId="13"/>
  </si>
  <si>
    <t>300 わ 7016</t>
    <phoneticPr fontId="13"/>
  </si>
  <si>
    <t>評価損</t>
    <rPh sb="0" eb="2">
      <t>コウチ</t>
    </rPh>
    <phoneticPr fontId="13"/>
  </si>
  <si>
    <t>姫路 501 ゆ 5395</t>
    <rPh sb="0" eb="2">
      <t>ヒメジ</t>
    </rPh>
    <phoneticPr fontId="13"/>
  </si>
  <si>
    <t>旧27-2584</t>
    <rPh sb="0" eb="1">
      <t>キュウ</t>
    </rPh>
    <phoneticPr fontId="13"/>
  </si>
  <si>
    <t>USS神戸/1012/9070</t>
    <rPh sb="3" eb="5">
      <t>コウベ</t>
    </rPh>
    <phoneticPr fontId="13"/>
  </si>
  <si>
    <t>USS神戸/1012/9072</t>
    <rPh sb="3" eb="5">
      <t>コウベ</t>
    </rPh>
    <phoneticPr fontId="13"/>
  </si>
  <si>
    <t>USS神戸/1012/10161</t>
    <rPh sb="3" eb="5">
      <t>コウベ</t>
    </rPh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</si>
</sst>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Blue]General"/>
    <numFmt numFmtId="177" formatCode="#,##0_);[Red]\(#,##0\)"/>
    <numFmt numFmtId="178" formatCode="&quot;姫路 &quot;@\ "/>
    <numFmt numFmtId="179" formatCode="####&quot;回&quot;"/>
    <numFmt numFmtId="180" formatCode="###&quot;回&quot;"/>
    <numFmt numFmtId="181" formatCode="0_);[Red]\(0\)"/>
    <numFmt numFmtId="182" formatCode="m&quot;月&quot;d&quot;日&quot;;@"/>
  </numFmts>
  <fonts count="19">
    <font>
      <sz val="11"/>
      <color theme="1"/>
      <name val="ＭＳ Ｐゴシック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sz val="11"/>
      <color theme="4" tint="-0.499984740745262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rgb="FFC00000"/>
      <name val="ＭＳ Ｐゴシック"/>
      <family val="3"/>
      <charset val="128"/>
      <scheme val="minor"/>
    </font>
    <font>
      <b/>
      <sz val="11"/>
      <color theme="4" tint="-0.499984740745262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sz val="11"/>
      <color theme="1"/>
      <name val="ＭＳ Ｐゴシック"/>
      <family val="3"/>
      <charset val="128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 style="thick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5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  <xf numFmtId="0" fontId="0" fillId="0" borderId="1" xfId="0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177" fontId="2" fillId="0" borderId="11" xfId="0" applyNumberFormat="1" applyFont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49" fontId="10" fillId="2" borderId="12" xfId="0" applyNumberFormat="1" applyFont="1" applyFill="1" applyBorder="1" applyAlignment="1">
      <alignment horizontal="center" vertical="center"/>
    </xf>
    <xf numFmtId="181" fontId="0" fillId="0" borderId="1" xfId="0" applyNumberFormat="1" applyBorder="1">
      <alignment vertical="center"/>
    </xf>
    <xf numFmtId="181" fontId="3" fillId="4" borderId="3" xfId="0" applyNumberFormat="1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178" fontId="9" fillId="0" borderId="24" xfId="0" applyNumberFormat="1" applyFont="1" applyBorder="1" applyAlignment="1">
      <alignment horizontal="center" vertical="center"/>
    </xf>
    <xf numFmtId="176" fontId="12" fillId="0" borderId="23" xfId="0" applyNumberFormat="1" applyFont="1" applyBorder="1" applyAlignment="1">
      <alignment horizontal="center" vertical="center"/>
    </xf>
    <xf numFmtId="181" fontId="0" fillId="0" borderId="0" xfId="0" applyNumberFormat="1">
      <alignment vertical="center"/>
    </xf>
    <xf numFmtId="49" fontId="2" fillId="0" borderId="27" xfId="0" applyNumberFormat="1" applyFont="1" applyBorder="1" applyAlignment="1">
      <alignment horizontal="center" vertical="center"/>
    </xf>
    <xf numFmtId="179" fontId="2" fillId="0" borderId="7" xfId="0" applyNumberFormat="1" applyFont="1" applyBorder="1" applyAlignment="1">
      <alignment horizontal="center" vertical="center"/>
    </xf>
    <xf numFmtId="177" fontId="2" fillId="0" borderId="12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178" fontId="9" fillId="0" borderId="39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3" fillId="6" borderId="43" xfId="0" applyFont="1" applyFill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176" fontId="12" fillId="0" borderId="44" xfId="0" applyNumberFormat="1" applyFont="1" applyBorder="1" applyAlignment="1">
      <alignment horizontal="center" vertical="center"/>
    </xf>
    <xf numFmtId="49" fontId="4" fillId="2" borderId="11" xfId="0" applyNumberFormat="1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49" fontId="4" fillId="2" borderId="43" xfId="0" applyNumberFormat="1" applyFont="1" applyFill="1" applyBorder="1" applyAlignment="1">
      <alignment horizontal="center" vertical="center"/>
    </xf>
    <xf numFmtId="49" fontId="15" fillId="2" borderId="12" xfId="0" applyNumberFormat="1" applyFont="1" applyFill="1" applyBorder="1" applyAlignment="1">
      <alignment horizontal="center" vertical="center"/>
    </xf>
    <xf numFmtId="49" fontId="2" fillId="0" borderId="50" xfId="0" applyNumberFormat="1" applyFont="1" applyBorder="1" applyAlignment="1">
      <alignment horizontal="center" vertical="center"/>
    </xf>
    <xf numFmtId="177" fontId="2" fillId="0" borderId="13" xfId="0" applyNumberFormat="1" applyFont="1" applyBorder="1" applyAlignment="1">
      <alignment horizontal="center" vertical="center"/>
    </xf>
    <xf numFmtId="0" fontId="18" fillId="0" borderId="0" xfId="0" applyFont="1">
      <alignment vertical="center"/>
    </xf>
    <xf numFmtId="0" fontId="1" fillId="0" borderId="30" xfId="2" applyFont="1" applyBorder="1" applyAlignment="1">
      <alignment horizontal="center" vertical="center"/>
    </xf>
    <xf numFmtId="0" fontId="1" fillId="0" borderId="56" xfId="2" applyFont="1" applyBorder="1" applyAlignment="1">
      <alignment horizontal="center" vertical="center"/>
    </xf>
    <xf numFmtId="0" fontId="2" fillId="0" borderId="0" xfId="2">
      <alignment vertical="center"/>
    </xf>
    <xf numFmtId="0" fontId="2" fillId="7" borderId="31" xfId="2" applyFill="1" applyBorder="1" applyAlignment="1">
      <alignment horizontal="center" vertical="center"/>
    </xf>
    <xf numFmtId="0" fontId="2" fillId="0" borderId="31" xfId="2" applyBorder="1" applyAlignment="1">
      <alignment horizontal="center" vertical="center"/>
    </xf>
    <xf numFmtId="49" fontId="2" fillId="0" borderId="31" xfId="2" applyNumberFormat="1" applyBorder="1" applyAlignment="1">
      <alignment horizontal="center" vertical="center"/>
    </xf>
    <xf numFmtId="0" fontId="2" fillId="0" borderId="55" xfId="2" applyBorder="1" applyAlignment="1">
      <alignment horizontal="center" vertical="center"/>
    </xf>
    <xf numFmtId="49" fontId="2" fillId="0" borderId="8" xfId="2" applyNumberFormat="1" applyBorder="1" applyAlignment="1">
      <alignment horizontal="center" vertical="center"/>
    </xf>
    <xf numFmtId="14" fontId="2" fillId="0" borderId="8" xfId="2" applyNumberFormat="1" applyBorder="1">
      <alignment vertical="center"/>
    </xf>
    <xf numFmtId="14" fontId="2" fillId="0" borderId="8" xfId="2" applyNumberFormat="1" applyBorder="1" applyAlignment="1">
      <alignment horizontal="center" vertical="center"/>
    </xf>
    <xf numFmtId="14" fontId="2" fillId="0" borderId="31" xfId="2" applyNumberFormat="1" applyBorder="1">
      <alignment vertical="center"/>
    </xf>
    <xf numFmtId="14" fontId="2" fillId="0" borderId="31" xfId="2" applyNumberFormat="1" applyBorder="1" applyAlignment="1">
      <alignment horizontal="center" vertical="center"/>
    </xf>
    <xf numFmtId="0" fontId="2" fillId="0" borderId="31" xfId="2" applyBorder="1">
      <alignment vertical="center"/>
    </xf>
    <xf numFmtId="0" fontId="2" fillId="8" borderId="31" xfId="2" applyFill="1" applyBorder="1" applyAlignment="1">
      <alignment horizontal="center" vertical="center"/>
    </xf>
    <xf numFmtId="49" fontId="9" fillId="0" borderId="31" xfId="2" applyNumberFormat="1" applyFont="1" applyBorder="1" applyAlignment="1">
      <alignment horizontal="center" vertical="center"/>
    </xf>
    <xf numFmtId="0" fontId="2" fillId="12" borderId="31" xfId="2" applyFill="1" applyBorder="1" applyAlignment="1">
      <alignment horizontal="center" vertical="center"/>
    </xf>
    <xf numFmtId="49" fontId="2" fillId="12" borderId="31" xfId="2" applyNumberFormat="1" applyFill="1" applyBorder="1" applyAlignment="1">
      <alignment horizontal="center" vertical="center"/>
    </xf>
    <xf numFmtId="0" fontId="2" fillId="12" borderId="55" xfId="2" applyFill="1" applyBorder="1" applyAlignment="1">
      <alignment horizontal="center" vertical="center"/>
    </xf>
    <xf numFmtId="0" fontId="16" fillId="12" borderId="31" xfId="2" applyFont="1" applyFill="1" applyBorder="1" applyAlignment="1">
      <alignment horizontal="center" vertical="center"/>
    </xf>
    <xf numFmtId="0" fontId="2" fillId="12" borderId="31" xfId="2" applyFill="1" applyBorder="1">
      <alignment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4" fontId="2" fillId="0" borderId="25" xfId="0" applyNumberFormat="1" applyFont="1" applyBorder="1" applyAlignment="1">
      <alignment horizontal="center" vertical="center"/>
    </xf>
    <xf numFmtId="180" fontId="2" fillId="0" borderId="14" xfId="0" applyNumberFormat="1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177" fontId="2" fillId="0" borderId="35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14" fontId="2" fillId="0" borderId="46" xfId="0" applyNumberFormat="1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3" fontId="2" fillId="0" borderId="14" xfId="0" applyNumberFormat="1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56" fontId="2" fillId="0" borderId="46" xfId="0" applyNumberFormat="1" applyFont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3" fontId="2" fillId="0" borderId="35" xfId="0" applyNumberFormat="1" applyFont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17" fontId="2" fillId="0" borderId="14" xfId="0" applyNumberFormat="1" applyFont="1" applyBorder="1" applyAlignment="1">
      <alignment horizontal="center" vertical="center"/>
    </xf>
    <xf numFmtId="0" fontId="9" fillId="2" borderId="14" xfId="0" applyFont="1" applyFill="1" applyBorder="1">
      <alignment vertical="center"/>
    </xf>
    <xf numFmtId="0" fontId="2" fillId="2" borderId="14" xfId="0" applyFont="1" applyFill="1" applyBorder="1">
      <alignment vertical="center"/>
    </xf>
    <xf numFmtId="0" fontId="9" fillId="0" borderId="35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centerContinuous" vertical="center"/>
    </xf>
    <xf numFmtId="0" fontId="3" fillId="4" borderId="5" xfId="0" applyFont="1" applyFill="1" applyBorder="1" applyAlignment="1">
      <alignment horizontal="centerContinuous" vertical="center"/>
    </xf>
    <xf numFmtId="0" fontId="9" fillId="0" borderId="36" xfId="0" applyFont="1" applyBorder="1" applyAlignment="1">
      <alignment horizontal="center" vertical="center"/>
    </xf>
    <xf numFmtId="177" fontId="5" fillId="0" borderId="17" xfId="0" applyNumberFormat="1" applyFont="1" applyBorder="1" applyAlignment="1">
      <alignment horizontal="center" vertical="center"/>
    </xf>
    <xf numFmtId="177" fontId="5" fillId="0" borderId="19" xfId="0" applyNumberFormat="1" applyFont="1" applyBorder="1" applyAlignment="1">
      <alignment horizontal="center" vertical="center"/>
    </xf>
    <xf numFmtId="182" fontId="11" fillId="0" borderId="52" xfId="0" applyNumberFormat="1" applyFont="1" applyBorder="1" applyAlignment="1">
      <alignment horizontal="center" vertical="center"/>
    </xf>
    <xf numFmtId="182" fontId="11" fillId="0" borderId="54" xfId="0" applyNumberFormat="1" applyFont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29" xfId="0" applyFont="1" applyFill="1" applyBorder="1" applyAlignment="1">
      <alignment horizontal="center" vertical="center"/>
    </xf>
    <xf numFmtId="49" fontId="2" fillId="3" borderId="9" xfId="0" applyNumberFormat="1" applyFont="1" applyFill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38" fontId="5" fillId="0" borderId="32" xfId="1" applyFont="1" applyBorder="1" applyAlignment="1">
      <alignment horizontal="center" vertical="center"/>
    </xf>
    <xf numFmtId="38" fontId="5" fillId="0" borderId="33" xfId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7" fillId="11" borderId="6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77" fontId="5" fillId="0" borderId="38" xfId="0" applyNumberFormat="1" applyFont="1" applyBorder="1" applyAlignment="1">
      <alignment horizontal="center" vertical="center"/>
    </xf>
    <xf numFmtId="177" fontId="5" fillId="0" borderId="41" xfId="0" applyNumberFormat="1" applyFont="1" applyBorder="1" applyAlignment="1">
      <alignment horizontal="center" vertical="center"/>
    </xf>
    <xf numFmtId="182" fontId="11" fillId="0" borderId="9" xfId="0" applyNumberFormat="1" applyFont="1" applyBorder="1" applyAlignment="1">
      <alignment horizontal="center" vertical="center"/>
    </xf>
    <xf numFmtId="182" fontId="11" fillId="0" borderId="10" xfId="0" applyNumberFormat="1" applyFont="1" applyBorder="1" applyAlignment="1">
      <alignment horizontal="center" vertical="center"/>
    </xf>
    <xf numFmtId="182" fontId="11" fillId="0" borderId="42" xfId="0" applyNumberFormat="1" applyFont="1" applyBorder="1" applyAlignment="1">
      <alignment horizontal="center" vertical="center"/>
    </xf>
    <xf numFmtId="38" fontId="5" fillId="0" borderId="34" xfId="1" applyFont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56" fontId="11" fillId="0" borderId="9" xfId="0" applyNumberFormat="1" applyFont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11" borderId="10" xfId="0" applyFont="1" applyFill="1" applyBorder="1" applyAlignment="1">
      <alignment horizontal="center" vertical="center"/>
    </xf>
  </cellXfs>
  <cellStyles count="3">
    <cellStyle name="桁区切り" xfId="1" builtinId="6"/>
    <cellStyle name="標準" xfId="0" builtinId="0"/>
    <cellStyle name="標準 2" xfId="2" xr:uid="{00000000-0005-0000-0000-000002000000}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/>
  <colors>
    <mruColors>
      <color rgb="FFFFCCFF"/>
      <color rgb="FFCCFFFF"/>
      <color rgb="FFEDEDED"/>
      <color rgb="FFCCFFCC"/>
      <color rgb="FFFFC000"/>
      <color rgb="FFFFFF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60"/>
  <sheetViews>
    <sheetView tabSelected="1" zoomScaleNormal="100" workbookViewId="0">
      <pane xSplit="7" ySplit="1" topLeftCell="J2" activePane="bottomRight" state="frozen"/>
      <selection pane="topRight"/>
      <selection pane="bottomLeft"/>
      <selection pane="bottomRight" activeCell="D7" sqref="D7"/>
    </sheetView>
  </sheetViews>
  <sheetFormatPr defaultColWidth="9" defaultRowHeight="17.100000000000001" customHeight="1"/>
  <cols>
    <col min="1" max="1" width="9.5546875" bestFit="1" customWidth="1"/>
    <col min="2" max="2" width="25" style="2" bestFit="1" customWidth="1"/>
    <col min="3" max="3" width="15.109375" style="2" bestFit="1" customWidth="1"/>
    <col min="4" max="4" width="17.109375" style="2" bestFit="1" customWidth="1"/>
    <col min="5" max="5" width="4.21875" style="3" bestFit="1" customWidth="1"/>
    <col min="6" max="6" width="42.21875" style="4" bestFit="1" customWidth="1"/>
    <col min="7" max="7" width="10.6640625" style="2" bestFit="1" customWidth="1"/>
    <col min="8" max="8" width="7.5546875" style="5" bestFit="1" customWidth="1"/>
    <col min="9" max="9" width="31.77734375" bestFit="1" customWidth="1"/>
    <col min="10" max="10" width="20.33203125" bestFit="1" customWidth="1"/>
    <col min="11" max="11" width="17.5546875" bestFit="1" customWidth="1"/>
    <col min="12" max="12" width="16.44140625" bestFit="1" customWidth="1"/>
    <col min="13" max="13" width="15" bestFit="1" customWidth="1"/>
    <col min="14" max="14" width="12.21875" bestFit="1" customWidth="1"/>
    <col min="15" max="15" width="17.33203125" style="18" customWidth="1"/>
    <col min="16" max="16" width="39" customWidth="1"/>
    <col min="17" max="17" width="6.77734375" style="6" customWidth="1"/>
    <col min="18" max="18" width="7.109375" style="7" bestFit="1" customWidth="1"/>
    <col min="19" max="19" width="65.6640625" style="113" bestFit="1" customWidth="1"/>
    <col min="20" max="20" width="40.5546875" bestFit="1" customWidth="1"/>
    <col min="21" max="21" width="19.33203125" bestFit="1" customWidth="1"/>
    <col min="22" max="22" width="21.33203125" style="2" bestFit="1" customWidth="1"/>
    <col min="23" max="23" width="15.109375" style="2" bestFit="1" customWidth="1"/>
    <col min="24" max="24" width="12.21875" style="8" bestFit="1" customWidth="1"/>
    <col min="25" max="25" width="11" style="8" bestFit="1" customWidth="1"/>
    <col min="26" max="26" width="10.33203125" style="8" bestFit="1" customWidth="1"/>
    <col min="27" max="27" width="12.21875" style="8" bestFit="1" customWidth="1"/>
    <col min="28" max="28" width="11.21875" style="9" bestFit="1" customWidth="1"/>
  </cols>
  <sheetData>
    <row r="1" spans="1:28" s="1" customFormat="1" ht="17.100000000000001" customHeight="1" thickBot="1">
      <c r="A1" s="10" t="s">
        <v>0</v>
      </c>
      <c r="B1" s="11" t="s">
        <v>309</v>
      </c>
      <c r="C1" s="12" t="s">
        <v>2</v>
      </c>
      <c r="D1" s="11" t="s">
        <v>3</v>
      </c>
      <c r="E1" s="131" t="s">
        <v>315</v>
      </c>
      <c r="F1" s="132"/>
      <c r="G1" s="10" t="s">
        <v>5</v>
      </c>
      <c r="H1" s="11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9" t="s">
        <v>321</v>
      </c>
      <c r="P1" s="10" t="s">
        <v>313</v>
      </c>
      <c r="Q1" s="114" t="s">
        <v>21</v>
      </c>
      <c r="R1" s="115"/>
      <c r="S1" s="106"/>
      <c r="T1" s="10" t="s">
        <v>15</v>
      </c>
      <c r="U1" s="20" t="s">
        <v>16</v>
      </c>
      <c r="V1" s="101" t="s">
        <v>314</v>
      </c>
      <c r="W1" s="10" t="s">
        <v>2</v>
      </c>
      <c r="X1" s="10" t="s">
        <v>7</v>
      </c>
      <c r="Y1" s="10" t="s">
        <v>8</v>
      </c>
      <c r="Z1" s="10" t="s">
        <v>10</v>
      </c>
      <c r="AA1" s="10" t="s">
        <v>12</v>
      </c>
      <c r="AB1" s="11" t="s">
        <v>18</v>
      </c>
    </row>
    <row r="2" spans="1:28" ht="17.100000000000001" customHeight="1" thickTop="1">
      <c r="A2" s="121" t="s">
        <v>290</v>
      </c>
      <c r="B2" s="30">
        <v>36329</v>
      </c>
      <c r="C2" s="31"/>
      <c r="D2" s="31" t="s">
        <v>28</v>
      </c>
      <c r="E2" s="133"/>
      <c r="F2" s="102" t="s">
        <v>29</v>
      </c>
      <c r="G2" s="24"/>
      <c r="H2" s="134"/>
      <c r="I2" s="80">
        <v>430000</v>
      </c>
      <c r="J2" s="80">
        <v>21500</v>
      </c>
      <c r="K2" s="80" t="s">
        <v>30</v>
      </c>
      <c r="L2" s="80" t="s">
        <v>31</v>
      </c>
      <c r="M2" s="80" t="s">
        <v>32</v>
      </c>
      <c r="N2" s="136">
        <v>879965</v>
      </c>
      <c r="O2" s="141">
        <v>20000</v>
      </c>
      <c r="P2" s="103" t="s">
        <v>33</v>
      </c>
      <c r="Q2" s="32" t="s">
        <v>19</v>
      </c>
      <c r="R2" s="112"/>
      <c r="S2" s="116"/>
      <c r="T2" s="104">
        <v>100000</v>
      </c>
      <c r="U2" s="33"/>
      <c r="V2" s="97"/>
      <c r="W2" s="72"/>
      <c r="X2" s="137"/>
      <c r="Y2" s="137">
        <f>X2*0.1</f>
        <v>0</v>
      </c>
      <c r="Z2" s="137"/>
      <c r="AA2" s="137">
        <f>SUM(X2:Z2)</f>
        <v>0</v>
      </c>
      <c r="AB2" s="140"/>
    </row>
    <row r="3" spans="1:28" ht="17.100000000000001" customHeight="1" thickBot="1">
      <c r="A3" s="122"/>
      <c r="B3" s="34" t="s">
        <v>34</v>
      </c>
      <c r="C3" s="34"/>
      <c r="D3" s="34" t="s">
        <v>35</v>
      </c>
      <c r="E3" s="124"/>
      <c r="F3" s="73" t="s">
        <v>36</v>
      </c>
      <c r="G3" s="26"/>
      <c r="H3" s="135"/>
      <c r="I3" s="26" t="s">
        <v>37</v>
      </c>
      <c r="J3" s="26" t="s">
        <v>38</v>
      </c>
      <c r="K3" s="26" t="s">
        <v>39</v>
      </c>
      <c r="L3" s="26" t="s">
        <v>40</v>
      </c>
      <c r="M3" s="26"/>
      <c r="N3" s="118"/>
      <c r="O3" s="128"/>
      <c r="P3" s="75" t="s">
        <v>41</v>
      </c>
      <c r="Q3" s="35" t="s">
        <v>20</v>
      </c>
      <c r="R3" s="36"/>
      <c r="S3" s="89"/>
      <c r="T3" s="78"/>
      <c r="U3" s="37"/>
      <c r="V3" s="93"/>
      <c r="W3" s="78"/>
      <c r="X3" s="118"/>
      <c r="Y3" s="118"/>
      <c r="Z3" s="118"/>
      <c r="AA3" s="118"/>
      <c r="AB3" s="139"/>
    </row>
    <row r="4" spans="1:28" ht="17.100000000000001" customHeight="1" thickTop="1">
      <c r="A4" s="121" t="s">
        <v>291</v>
      </c>
      <c r="B4" s="28">
        <v>37996</v>
      </c>
      <c r="C4" s="29"/>
      <c r="D4" s="29" t="s">
        <v>42</v>
      </c>
      <c r="E4" s="123"/>
      <c r="F4" s="65" t="s">
        <v>43</v>
      </c>
      <c r="G4" s="24"/>
      <c r="H4" s="129"/>
      <c r="I4" s="81">
        <v>560000</v>
      </c>
      <c r="J4" s="81">
        <v>28000</v>
      </c>
      <c r="K4" s="81"/>
      <c r="L4" s="81"/>
      <c r="M4" s="81">
        <v>4200</v>
      </c>
      <c r="N4" s="117">
        <v>592885</v>
      </c>
      <c r="O4" s="127">
        <v>20000</v>
      </c>
      <c r="P4" s="68" t="s">
        <v>44</v>
      </c>
      <c r="Q4" s="15" t="s">
        <v>19</v>
      </c>
      <c r="R4" s="110"/>
      <c r="S4" s="105"/>
      <c r="T4" s="98">
        <v>354800</v>
      </c>
      <c r="U4" s="21"/>
      <c r="V4" s="100"/>
      <c r="W4" s="72"/>
      <c r="X4" s="117"/>
      <c r="Y4" s="137">
        <f>X4*0.1</f>
        <v>0</v>
      </c>
      <c r="Z4" s="117"/>
      <c r="AA4" s="117">
        <f>SUM(X4:Z4)</f>
        <v>0</v>
      </c>
      <c r="AB4" s="138"/>
    </row>
    <row r="5" spans="1:28" ht="17.100000000000001" customHeight="1" thickBot="1">
      <c r="A5" s="122"/>
      <c r="B5" s="27" t="s">
        <v>45</v>
      </c>
      <c r="C5" s="27"/>
      <c r="D5" s="27" t="s">
        <v>46</v>
      </c>
      <c r="E5" s="124"/>
      <c r="F5" s="73" t="s">
        <v>47</v>
      </c>
      <c r="G5" s="26"/>
      <c r="H5" s="135"/>
      <c r="I5" s="78" t="s">
        <v>48</v>
      </c>
      <c r="J5" s="78"/>
      <c r="K5" s="78"/>
      <c r="L5" s="78"/>
      <c r="M5" s="78"/>
      <c r="N5" s="118"/>
      <c r="O5" s="128"/>
      <c r="P5" s="76" t="s">
        <v>49</v>
      </c>
      <c r="Q5" s="16" t="s">
        <v>20</v>
      </c>
      <c r="R5" s="38"/>
      <c r="S5" s="94"/>
      <c r="T5" s="78"/>
      <c r="U5" s="22" t="s">
        <v>50</v>
      </c>
      <c r="V5" s="87"/>
      <c r="W5" s="78"/>
      <c r="X5" s="118"/>
      <c r="Y5" s="118"/>
      <c r="Z5" s="118"/>
      <c r="AA5" s="118"/>
      <c r="AB5" s="139"/>
    </row>
    <row r="6" spans="1:28" ht="17.100000000000001" customHeight="1" thickTop="1">
      <c r="A6" s="121" t="s">
        <v>292</v>
      </c>
      <c r="B6" s="30">
        <v>38325</v>
      </c>
      <c r="C6" s="31"/>
      <c r="D6" s="31" t="s">
        <v>51</v>
      </c>
      <c r="E6" s="123"/>
      <c r="F6" s="65" t="s">
        <v>52</v>
      </c>
      <c r="G6" s="39"/>
      <c r="H6" s="129"/>
      <c r="I6" s="82">
        <v>430000</v>
      </c>
      <c r="J6" s="82">
        <v>21500</v>
      </c>
      <c r="K6" s="82">
        <v>11200</v>
      </c>
      <c r="L6" s="82">
        <v>4200</v>
      </c>
      <c r="M6" s="82"/>
      <c r="N6" s="117">
        <v>541900</v>
      </c>
      <c r="O6" s="127">
        <v>20000</v>
      </c>
      <c r="P6" s="95" t="s">
        <v>53</v>
      </c>
      <c r="Q6" s="32" t="s">
        <v>19</v>
      </c>
      <c r="R6" s="111"/>
      <c r="S6" s="107"/>
      <c r="T6" s="98">
        <v>100000</v>
      </c>
      <c r="U6" s="21"/>
      <c r="V6" s="97"/>
      <c r="W6" s="72"/>
      <c r="X6" s="117"/>
      <c r="Y6" s="137">
        <f>X6*0.1</f>
        <v>0</v>
      </c>
      <c r="Z6" s="117"/>
      <c r="AA6" s="117">
        <f>SUM(X6:Z6)</f>
        <v>0</v>
      </c>
      <c r="AB6" s="138"/>
    </row>
    <row r="7" spans="1:28" ht="17.100000000000001" customHeight="1" thickBot="1">
      <c r="A7" s="122"/>
      <c r="B7" s="34" t="s">
        <v>45</v>
      </c>
      <c r="C7" s="34"/>
      <c r="D7" s="34" t="s">
        <v>54</v>
      </c>
      <c r="E7" s="124"/>
      <c r="F7" s="73" t="s">
        <v>55</v>
      </c>
      <c r="G7" s="26">
        <v>98100</v>
      </c>
      <c r="H7" s="135"/>
      <c r="I7" s="78" t="s">
        <v>56</v>
      </c>
      <c r="J7" s="78" t="s">
        <v>57</v>
      </c>
      <c r="K7" s="78" t="s">
        <v>58</v>
      </c>
      <c r="L7" s="78" t="s">
        <v>59</v>
      </c>
      <c r="M7" s="78"/>
      <c r="N7" s="118"/>
      <c r="O7" s="128"/>
      <c r="P7" s="90" t="s">
        <v>60</v>
      </c>
      <c r="Q7" s="35" t="s">
        <v>20</v>
      </c>
      <c r="R7" s="40"/>
      <c r="S7" s="92"/>
      <c r="T7" s="78"/>
      <c r="U7" s="22" t="s">
        <v>50</v>
      </c>
      <c r="V7" s="93"/>
      <c r="W7" s="78"/>
      <c r="X7" s="118"/>
      <c r="Y7" s="118"/>
      <c r="Z7" s="118"/>
      <c r="AA7" s="118"/>
      <c r="AB7" s="139"/>
    </row>
    <row r="8" spans="1:28" ht="17.100000000000001" customHeight="1" thickTop="1">
      <c r="A8" s="121" t="s">
        <v>293</v>
      </c>
      <c r="B8" s="28">
        <v>38596</v>
      </c>
      <c r="C8" s="29"/>
      <c r="D8" s="29" t="s">
        <v>61</v>
      </c>
      <c r="E8" s="123"/>
      <c r="F8" s="65" t="s">
        <v>62</v>
      </c>
      <c r="G8" s="24"/>
      <c r="H8" s="129"/>
      <c r="I8" s="81">
        <v>1000000</v>
      </c>
      <c r="J8" s="81">
        <v>50000</v>
      </c>
      <c r="K8" s="81"/>
      <c r="L8" s="81"/>
      <c r="M8" s="81">
        <v>21000</v>
      </c>
      <c r="N8" s="117">
        <v>1071850</v>
      </c>
      <c r="O8" s="127">
        <v>20000</v>
      </c>
      <c r="P8" s="68" t="s">
        <v>63</v>
      </c>
      <c r="Q8" s="15" t="s">
        <v>19</v>
      </c>
      <c r="R8" s="111"/>
      <c r="S8" s="107"/>
      <c r="T8" s="98">
        <v>315000</v>
      </c>
      <c r="U8" s="21"/>
      <c r="V8" s="99"/>
      <c r="W8" s="72"/>
      <c r="X8" s="117"/>
      <c r="Y8" s="137">
        <f>X8*0.1</f>
        <v>0</v>
      </c>
      <c r="Z8" s="117"/>
      <c r="AA8" s="117">
        <f>SUM(X8:Z8)</f>
        <v>0</v>
      </c>
      <c r="AB8" s="138"/>
    </row>
    <row r="9" spans="1:28" ht="17.100000000000001" customHeight="1" thickBot="1">
      <c r="A9" s="122"/>
      <c r="B9" s="27" t="s">
        <v>64</v>
      </c>
      <c r="C9" s="27"/>
      <c r="D9" s="27" t="s">
        <v>65</v>
      </c>
      <c r="E9" s="124"/>
      <c r="F9" s="73" t="s">
        <v>66</v>
      </c>
      <c r="G9" s="26"/>
      <c r="H9" s="135"/>
      <c r="I9" s="78" t="s">
        <v>67</v>
      </c>
      <c r="J9" s="78"/>
      <c r="K9" s="78"/>
      <c r="L9" s="78"/>
      <c r="M9" s="78"/>
      <c r="N9" s="118"/>
      <c r="O9" s="128"/>
      <c r="P9" s="76" t="s">
        <v>68</v>
      </c>
      <c r="Q9" s="16" t="s">
        <v>20</v>
      </c>
      <c r="R9" s="38"/>
      <c r="S9" s="96"/>
      <c r="T9" s="78"/>
      <c r="U9" s="22" t="s">
        <v>50</v>
      </c>
      <c r="V9" s="87"/>
      <c r="W9" s="78"/>
      <c r="X9" s="118"/>
      <c r="Y9" s="118"/>
      <c r="Z9" s="118"/>
      <c r="AA9" s="118"/>
      <c r="AB9" s="139"/>
    </row>
    <row r="10" spans="1:28" ht="17.100000000000001" customHeight="1" thickTop="1">
      <c r="A10" s="121" t="s">
        <v>294</v>
      </c>
      <c r="B10" s="30">
        <v>38768</v>
      </c>
      <c r="C10" s="31"/>
      <c r="D10" s="31" t="s">
        <v>69</v>
      </c>
      <c r="E10" s="123"/>
      <c r="F10" s="65" t="s">
        <v>70</v>
      </c>
      <c r="G10" s="24"/>
      <c r="H10" s="129"/>
      <c r="I10" s="82">
        <v>320000</v>
      </c>
      <c r="J10" s="82">
        <v>16000</v>
      </c>
      <c r="K10" s="82"/>
      <c r="L10" s="82"/>
      <c r="M10" s="82">
        <v>18375</v>
      </c>
      <c r="N10" s="117">
        <v>376110</v>
      </c>
      <c r="O10" s="127">
        <v>20000</v>
      </c>
      <c r="P10" s="95" t="s">
        <v>71</v>
      </c>
      <c r="Q10" s="32" t="s">
        <v>19</v>
      </c>
      <c r="R10" s="111"/>
      <c r="S10" s="107"/>
      <c r="T10" s="70">
        <v>341500</v>
      </c>
      <c r="U10" s="21"/>
      <c r="V10" s="97"/>
      <c r="W10" s="72"/>
      <c r="X10" s="117"/>
      <c r="Y10" s="137">
        <f>X10*0.1</f>
        <v>0</v>
      </c>
      <c r="Z10" s="117"/>
      <c r="AA10" s="117">
        <f>SUM(X10:Z10)</f>
        <v>0</v>
      </c>
      <c r="AB10" s="138"/>
    </row>
    <row r="11" spans="1:28" ht="17.100000000000001" customHeight="1" thickBot="1">
      <c r="A11" s="122"/>
      <c r="B11" s="34" t="s">
        <v>72</v>
      </c>
      <c r="C11" s="34"/>
      <c r="D11" s="34" t="s">
        <v>73</v>
      </c>
      <c r="E11" s="124"/>
      <c r="F11" s="73" t="s">
        <v>74</v>
      </c>
      <c r="G11" s="26"/>
      <c r="H11" s="135"/>
      <c r="I11" s="78" t="s">
        <v>75</v>
      </c>
      <c r="J11" s="78" t="s">
        <v>76</v>
      </c>
      <c r="K11" s="82"/>
      <c r="L11" s="82"/>
      <c r="M11" s="82"/>
      <c r="N11" s="118"/>
      <c r="O11" s="128"/>
      <c r="P11" s="90" t="s">
        <v>77</v>
      </c>
      <c r="Q11" s="35" t="s">
        <v>20</v>
      </c>
      <c r="R11" s="40"/>
      <c r="S11" s="91" t="s">
        <v>78</v>
      </c>
      <c r="T11" s="78"/>
      <c r="U11" s="22"/>
      <c r="V11" s="93"/>
      <c r="W11" s="78"/>
      <c r="X11" s="118"/>
      <c r="Y11" s="118"/>
      <c r="Z11" s="118"/>
      <c r="AA11" s="118"/>
      <c r="AB11" s="139"/>
    </row>
    <row r="12" spans="1:28" ht="17.100000000000001" customHeight="1" thickTop="1">
      <c r="A12" s="121"/>
      <c r="B12" s="28"/>
      <c r="C12" s="25"/>
      <c r="D12" s="13"/>
      <c r="E12" s="123"/>
      <c r="F12" s="65"/>
      <c r="G12" s="24"/>
      <c r="H12" s="125"/>
      <c r="I12" s="117"/>
      <c r="J12" s="117">
        <f>I12*0.1</f>
        <v>0</v>
      </c>
      <c r="K12" s="117">
        <v>0</v>
      </c>
      <c r="L12" s="117"/>
      <c r="M12" s="117"/>
      <c r="N12" s="117">
        <f>SUM(I12:M13)</f>
        <v>0</v>
      </c>
      <c r="O12" s="127"/>
      <c r="P12" s="66"/>
      <c r="Q12" s="15" t="s">
        <v>19</v>
      </c>
      <c r="R12" s="110"/>
      <c r="S12" s="105"/>
      <c r="T12" s="70"/>
      <c r="U12" s="21"/>
      <c r="V12" s="71"/>
      <c r="W12" s="72"/>
      <c r="X12" s="117"/>
      <c r="Y12" s="117">
        <f>X12*0.1</f>
        <v>0</v>
      </c>
      <c r="Z12" s="117"/>
      <c r="AA12" s="117">
        <f>SUM(X12:Z12)</f>
        <v>0</v>
      </c>
      <c r="AB12" s="119"/>
    </row>
    <row r="13" spans="1:28" ht="17.100000000000001" customHeight="1" thickBot="1">
      <c r="A13" s="122"/>
      <c r="B13" s="27"/>
      <c r="C13" s="27"/>
      <c r="D13" s="14"/>
      <c r="E13" s="124"/>
      <c r="F13" s="73"/>
      <c r="G13" s="26"/>
      <c r="H13" s="126"/>
      <c r="I13" s="118"/>
      <c r="J13" s="118"/>
      <c r="K13" s="118"/>
      <c r="L13" s="118"/>
      <c r="M13" s="118"/>
      <c r="N13" s="118"/>
      <c r="O13" s="128"/>
      <c r="P13" s="74"/>
      <c r="Q13" s="16" t="s">
        <v>20</v>
      </c>
      <c r="R13" s="17"/>
      <c r="S13" s="77"/>
      <c r="T13" s="78"/>
      <c r="U13" s="22"/>
      <c r="V13" s="79"/>
      <c r="W13" s="78"/>
      <c r="X13" s="118"/>
      <c r="Y13" s="118"/>
      <c r="Z13" s="118"/>
      <c r="AA13" s="118"/>
      <c r="AB13" s="120"/>
    </row>
    <row r="14" spans="1:28" ht="17.100000000000001" customHeight="1" thickTop="1">
      <c r="A14" s="121"/>
      <c r="B14" s="28"/>
      <c r="C14" s="25"/>
      <c r="D14" s="13"/>
      <c r="E14" s="123"/>
      <c r="F14" s="65"/>
      <c r="G14" s="24"/>
      <c r="H14" s="125"/>
      <c r="I14" s="117"/>
      <c r="J14" s="117">
        <f>I14*0.1</f>
        <v>0</v>
      </c>
      <c r="K14" s="117">
        <v>0</v>
      </c>
      <c r="L14" s="117"/>
      <c r="M14" s="117"/>
      <c r="N14" s="117">
        <f>SUM(I14:M15)</f>
        <v>0</v>
      </c>
      <c r="O14" s="127"/>
      <c r="P14" s="66"/>
      <c r="Q14" s="15" t="s">
        <v>19</v>
      </c>
      <c r="R14" s="110"/>
      <c r="S14" s="105"/>
      <c r="T14" s="70"/>
      <c r="U14" s="21"/>
      <c r="V14" s="71"/>
      <c r="W14" s="72"/>
      <c r="X14" s="117"/>
      <c r="Y14" s="117">
        <f>X14*0.1</f>
        <v>0</v>
      </c>
      <c r="Z14" s="117"/>
      <c r="AA14" s="117">
        <f>SUM(X14:Z14)</f>
        <v>0</v>
      </c>
      <c r="AB14" s="119"/>
    </row>
    <row r="15" spans="1:28" ht="17.100000000000001" customHeight="1" thickBot="1">
      <c r="A15" s="122"/>
      <c r="B15" s="27"/>
      <c r="C15" s="27"/>
      <c r="D15" s="14"/>
      <c r="E15" s="124"/>
      <c r="F15" s="73"/>
      <c r="G15" s="26"/>
      <c r="H15" s="126"/>
      <c r="I15" s="118"/>
      <c r="J15" s="118"/>
      <c r="K15" s="118"/>
      <c r="L15" s="118"/>
      <c r="M15" s="118"/>
      <c r="N15" s="118"/>
      <c r="O15" s="128"/>
      <c r="P15" s="74"/>
      <c r="Q15" s="16" t="s">
        <v>20</v>
      </c>
      <c r="R15" s="17"/>
      <c r="S15" s="77"/>
      <c r="T15" s="78"/>
      <c r="U15" s="22"/>
      <c r="V15" s="79"/>
      <c r="W15" s="78"/>
      <c r="X15" s="118"/>
      <c r="Y15" s="118"/>
      <c r="Z15" s="118"/>
      <c r="AA15" s="118"/>
      <c r="AB15" s="120"/>
    </row>
    <row r="16" spans="1:28" ht="17.100000000000001" customHeight="1" thickTop="1">
      <c r="A16" s="121"/>
      <c r="B16" s="28"/>
      <c r="C16" s="25"/>
      <c r="D16" s="13"/>
      <c r="E16" s="123"/>
      <c r="F16" s="65"/>
      <c r="G16" s="24"/>
      <c r="H16" s="125"/>
      <c r="I16" s="117"/>
      <c r="J16" s="117">
        <f>I16*0.1</f>
        <v>0</v>
      </c>
      <c r="K16" s="117">
        <v>0</v>
      </c>
      <c r="L16" s="117"/>
      <c r="M16" s="117"/>
      <c r="N16" s="117">
        <f>SUM(I16:M17)</f>
        <v>0</v>
      </c>
      <c r="O16" s="127"/>
      <c r="P16" s="66"/>
      <c r="Q16" s="15" t="s">
        <v>19</v>
      </c>
      <c r="R16" s="110"/>
      <c r="S16" s="105"/>
      <c r="T16" s="70"/>
      <c r="U16" s="21"/>
      <c r="V16" s="71"/>
      <c r="W16" s="72"/>
      <c r="X16" s="117"/>
      <c r="Y16" s="117">
        <f>X16*0.1</f>
        <v>0</v>
      </c>
      <c r="Z16" s="117"/>
      <c r="AA16" s="117">
        <f>SUM(X16:Z16)</f>
        <v>0</v>
      </c>
      <c r="AB16" s="119"/>
    </row>
    <row r="17" spans="1:28" ht="17.100000000000001" customHeight="1" thickBot="1">
      <c r="A17" s="122"/>
      <c r="B17" s="27"/>
      <c r="C17" s="27"/>
      <c r="D17" s="14"/>
      <c r="E17" s="124"/>
      <c r="F17" s="73"/>
      <c r="G17" s="26"/>
      <c r="H17" s="126"/>
      <c r="I17" s="118"/>
      <c r="J17" s="118"/>
      <c r="K17" s="118"/>
      <c r="L17" s="118"/>
      <c r="M17" s="118"/>
      <c r="N17" s="118"/>
      <c r="O17" s="128"/>
      <c r="P17" s="74"/>
      <c r="Q17" s="16" t="s">
        <v>20</v>
      </c>
      <c r="R17" s="17"/>
      <c r="S17" s="77"/>
      <c r="T17" s="78"/>
      <c r="U17" s="22"/>
      <c r="V17" s="79"/>
      <c r="W17" s="78"/>
      <c r="X17" s="118"/>
      <c r="Y17" s="118"/>
      <c r="Z17" s="118"/>
      <c r="AA17" s="118"/>
      <c r="AB17" s="120"/>
    </row>
    <row r="18" spans="1:28" ht="17.100000000000001" customHeight="1" thickTop="1">
      <c r="A18" s="121"/>
      <c r="B18" s="28"/>
      <c r="C18" s="25"/>
      <c r="D18" s="13"/>
      <c r="E18" s="123"/>
      <c r="F18" s="65"/>
      <c r="G18" s="24"/>
      <c r="H18" s="125"/>
      <c r="I18" s="117"/>
      <c r="J18" s="117">
        <f>I18*0.1</f>
        <v>0</v>
      </c>
      <c r="K18" s="117">
        <v>0</v>
      </c>
      <c r="L18" s="117"/>
      <c r="M18" s="117"/>
      <c r="N18" s="117">
        <f>SUM(I18:M19)</f>
        <v>0</v>
      </c>
      <c r="O18" s="127"/>
      <c r="P18" s="66"/>
      <c r="Q18" s="15" t="s">
        <v>19</v>
      </c>
      <c r="R18" s="110"/>
      <c r="S18" s="105"/>
      <c r="T18" s="70"/>
      <c r="U18" s="21"/>
      <c r="V18" s="71"/>
      <c r="W18" s="72"/>
      <c r="X18" s="117"/>
      <c r="Y18" s="117">
        <f>X18*0.1</f>
        <v>0</v>
      </c>
      <c r="Z18" s="117"/>
      <c r="AA18" s="117">
        <f>SUM(X18:Z18)</f>
        <v>0</v>
      </c>
      <c r="AB18" s="119"/>
    </row>
    <row r="19" spans="1:28" ht="17.100000000000001" customHeight="1" thickBot="1">
      <c r="A19" s="122"/>
      <c r="B19" s="27"/>
      <c r="C19" s="27"/>
      <c r="D19" s="14"/>
      <c r="E19" s="124"/>
      <c r="F19" s="73"/>
      <c r="G19" s="26"/>
      <c r="H19" s="126"/>
      <c r="I19" s="118"/>
      <c r="J19" s="118"/>
      <c r="K19" s="118"/>
      <c r="L19" s="118"/>
      <c r="M19" s="118"/>
      <c r="N19" s="118"/>
      <c r="O19" s="128"/>
      <c r="P19" s="74"/>
      <c r="Q19" s="16" t="s">
        <v>20</v>
      </c>
      <c r="R19" s="17"/>
      <c r="S19" s="77"/>
      <c r="T19" s="78"/>
      <c r="U19" s="22"/>
      <c r="V19" s="79"/>
      <c r="W19" s="78"/>
      <c r="X19" s="118"/>
      <c r="Y19" s="118"/>
      <c r="Z19" s="118"/>
      <c r="AA19" s="118"/>
      <c r="AB19" s="120"/>
    </row>
    <row r="20" spans="1:28" ht="17.100000000000001" customHeight="1" thickTop="1">
      <c r="A20" s="121"/>
      <c r="B20" s="28"/>
      <c r="C20" s="25"/>
      <c r="D20" s="13"/>
      <c r="E20" s="123"/>
      <c r="F20" s="65"/>
      <c r="G20" s="24"/>
      <c r="H20" s="125"/>
      <c r="I20" s="117"/>
      <c r="J20" s="117">
        <f>I20*0.1</f>
        <v>0</v>
      </c>
      <c r="K20" s="117">
        <v>0</v>
      </c>
      <c r="L20" s="117"/>
      <c r="M20" s="117"/>
      <c r="N20" s="117">
        <f>SUM(I20:M21)</f>
        <v>0</v>
      </c>
      <c r="O20" s="127"/>
      <c r="P20" s="66"/>
      <c r="Q20" s="15" t="s">
        <v>19</v>
      </c>
      <c r="R20" s="110"/>
      <c r="S20" s="105"/>
      <c r="T20" s="70"/>
      <c r="U20" s="21"/>
      <c r="V20" s="71"/>
      <c r="W20" s="72"/>
      <c r="X20" s="117"/>
      <c r="Y20" s="117">
        <f>X20*0.1</f>
        <v>0</v>
      </c>
      <c r="Z20" s="117"/>
      <c r="AA20" s="117">
        <f>SUM(X20:Z20)</f>
        <v>0</v>
      </c>
      <c r="AB20" s="119"/>
    </row>
    <row r="21" spans="1:28" ht="17.100000000000001" customHeight="1" thickBot="1">
      <c r="A21" s="122"/>
      <c r="B21" s="27"/>
      <c r="C21" s="27"/>
      <c r="D21" s="14"/>
      <c r="E21" s="124"/>
      <c r="F21" s="73"/>
      <c r="G21" s="26"/>
      <c r="H21" s="126"/>
      <c r="I21" s="118"/>
      <c r="J21" s="118"/>
      <c r="K21" s="118"/>
      <c r="L21" s="118"/>
      <c r="M21" s="118"/>
      <c r="N21" s="118"/>
      <c r="O21" s="128"/>
      <c r="P21" s="74"/>
      <c r="Q21" s="16" t="s">
        <v>20</v>
      </c>
      <c r="R21" s="17"/>
      <c r="S21" s="77"/>
      <c r="T21" s="78"/>
      <c r="U21" s="22"/>
      <c r="V21" s="79"/>
      <c r="W21" s="78"/>
      <c r="X21" s="118"/>
      <c r="Y21" s="118"/>
      <c r="Z21" s="118"/>
      <c r="AA21" s="118"/>
      <c r="AB21" s="120"/>
    </row>
    <row r="22" spans="1:28" ht="17.100000000000001" customHeight="1" thickTop="1">
      <c r="A22" s="121"/>
      <c r="B22" s="28"/>
      <c r="C22" s="25"/>
      <c r="D22" s="13"/>
      <c r="E22" s="123"/>
      <c r="F22" s="65"/>
      <c r="G22" s="24"/>
      <c r="H22" s="125"/>
      <c r="I22" s="117"/>
      <c r="J22" s="117">
        <f>I22*0.1</f>
        <v>0</v>
      </c>
      <c r="K22" s="117">
        <v>0</v>
      </c>
      <c r="L22" s="117"/>
      <c r="M22" s="117"/>
      <c r="N22" s="117">
        <f>SUM(I22:M23)</f>
        <v>0</v>
      </c>
      <c r="O22" s="127"/>
      <c r="P22" s="66"/>
      <c r="Q22" s="15" t="s">
        <v>19</v>
      </c>
      <c r="R22" s="110"/>
      <c r="S22" s="105"/>
      <c r="T22" s="70"/>
      <c r="U22" s="21"/>
      <c r="V22" s="71"/>
      <c r="W22" s="72"/>
      <c r="X22" s="117"/>
      <c r="Y22" s="117">
        <f>X22*0.1</f>
        <v>0</v>
      </c>
      <c r="Z22" s="117"/>
      <c r="AA22" s="117">
        <f>SUM(X22:Z22)</f>
        <v>0</v>
      </c>
      <c r="AB22" s="119"/>
    </row>
    <row r="23" spans="1:28" ht="17.100000000000001" customHeight="1" thickBot="1">
      <c r="A23" s="122"/>
      <c r="B23" s="27"/>
      <c r="C23" s="27"/>
      <c r="D23" s="14"/>
      <c r="E23" s="124"/>
      <c r="F23" s="73"/>
      <c r="G23" s="26"/>
      <c r="H23" s="126"/>
      <c r="I23" s="118"/>
      <c r="J23" s="118"/>
      <c r="K23" s="118"/>
      <c r="L23" s="118"/>
      <c r="M23" s="118"/>
      <c r="N23" s="118"/>
      <c r="O23" s="128"/>
      <c r="P23" s="74"/>
      <c r="Q23" s="16" t="s">
        <v>20</v>
      </c>
      <c r="R23" s="17"/>
      <c r="S23" s="77"/>
      <c r="T23" s="78"/>
      <c r="U23" s="22"/>
      <c r="V23" s="79"/>
      <c r="W23" s="78"/>
      <c r="X23" s="118"/>
      <c r="Y23" s="118"/>
      <c r="Z23" s="118"/>
      <c r="AA23" s="118"/>
      <c r="AB23" s="120"/>
    </row>
    <row r="24" spans="1:28" ht="17.100000000000001" customHeight="1" thickTop="1">
      <c r="A24" s="121"/>
      <c r="B24" s="28"/>
      <c r="C24" s="25"/>
      <c r="D24" s="13"/>
      <c r="E24" s="123"/>
      <c r="F24" s="65"/>
      <c r="G24" s="24"/>
      <c r="H24" s="125"/>
      <c r="I24" s="117"/>
      <c r="J24" s="117">
        <f>I24*0.1</f>
        <v>0</v>
      </c>
      <c r="K24" s="117">
        <v>0</v>
      </c>
      <c r="L24" s="117"/>
      <c r="M24" s="117"/>
      <c r="N24" s="117">
        <f>SUM(I24:M25)</f>
        <v>0</v>
      </c>
      <c r="O24" s="127"/>
      <c r="P24" s="66"/>
      <c r="Q24" s="15" t="s">
        <v>19</v>
      </c>
      <c r="R24" s="110"/>
      <c r="S24" s="105"/>
      <c r="T24" s="70"/>
      <c r="U24" s="21"/>
      <c r="V24" s="71"/>
      <c r="W24" s="72"/>
      <c r="X24" s="117"/>
      <c r="Y24" s="117">
        <f>X24*0.1</f>
        <v>0</v>
      </c>
      <c r="Z24" s="117"/>
      <c r="AA24" s="117">
        <f>SUM(X24:Z24)</f>
        <v>0</v>
      </c>
      <c r="AB24" s="119"/>
    </row>
    <row r="25" spans="1:28" ht="17.100000000000001" customHeight="1" thickBot="1">
      <c r="A25" s="122"/>
      <c r="B25" s="27"/>
      <c r="C25" s="27"/>
      <c r="D25" s="14"/>
      <c r="E25" s="124"/>
      <c r="F25" s="73"/>
      <c r="G25" s="26"/>
      <c r="H25" s="126"/>
      <c r="I25" s="118"/>
      <c r="J25" s="118"/>
      <c r="K25" s="118"/>
      <c r="L25" s="118"/>
      <c r="M25" s="118"/>
      <c r="N25" s="118"/>
      <c r="O25" s="128"/>
      <c r="P25" s="74"/>
      <c r="Q25" s="16" t="s">
        <v>20</v>
      </c>
      <c r="R25" s="17"/>
      <c r="S25" s="77"/>
      <c r="T25" s="78"/>
      <c r="U25" s="22"/>
      <c r="V25" s="79"/>
      <c r="W25" s="78"/>
      <c r="X25" s="118"/>
      <c r="Y25" s="118"/>
      <c r="Z25" s="118"/>
      <c r="AA25" s="118"/>
      <c r="AB25" s="120"/>
    </row>
    <row r="26" spans="1:28" ht="17.100000000000001" customHeight="1" thickTop="1">
      <c r="A26" s="121"/>
      <c r="B26" s="28"/>
      <c r="C26" s="25"/>
      <c r="D26" s="13"/>
      <c r="E26" s="123"/>
      <c r="F26" s="65"/>
      <c r="G26" s="24"/>
      <c r="H26" s="125"/>
      <c r="I26" s="117"/>
      <c r="J26" s="117">
        <f>I26*0.1</f>
        <v>0</v>
      </c>
      <c r="K26" s="117">
        <v>0</v>
      </c>
      <c r="L26" s="117"/>
      <c r="M26" s="117"/>
      <c r="N26" s="117">
        <f>SUM(I26:M27)</f>
        <v>0</v>
      </c>
      <c r="O26" s="127"/>
      <c r="P26" s="66"/>
      <c r="Q26" s="15" t="s">
        <v>19</v>
      </c>
      <c r="R26" s="110"/>
      <c r="S26" s="105"/>
      <c r="T26" s="70"/>
      <c r="U26" s="21"/>
      <c r="V26" s="71"/>
      <c r="W26" s="72"/>
      <c r="X26" s="117"/>
      <c r="Y26" s="117">
        <f>X26*0.1</f>
        <v>0</v>
      </c>
      <c r="Z26" s="117"/>
      <c r="AA26" s="117">
        <f>SUM(X26:Z26)</f>
        <v>0</v>
      </c>
      <c r="AB26" s="119"/>
    </row>
    <row r="27" spans="1:28" ht="17.100000000000001" customHeight="1" thickBot="1">
      <c r="A27" s="122"/>
      <c r="B27" s="27"/>
      <c r="C27" s="27"/>
      <c r="D27" s="14"/>
      <c r="E27" s="124"/>
      <c r="F27" s="73"/>
      <c r="G27" s="26"/>
      <c r="H27" s="126"/>
      <c r="I27" s="118"/>
      <c r="J27" s="118"/>
      <c r="K27" s="118"/>
      <c r="L27" s="118"/>
      <c r="M27" s="118"/>
      <c r="N27" s="118"/>
      <c r="O27" s="128"/>
      <c r="P27" s="74"/>
      <c r="Q27" s="16" t="s">
        <v>20</v>
      </c>
      <c r="R27" s="17"/>
      <c r="S27" s="77"/>
      <c r="T27" s="78"/>
      <c r="U27" s="22"/>
      <c r="V27" s="79"/>
      <c r="W27" s="78"/>
      <c r="X27" s="118"/>
      <c r="Y27" s="118"/>
      <c r="Z27" s="118"/>
      <c r="AA27" s="118"/>
      <c r="AB27" s="120"/>
    </row>
    <row r="28" spans="1:28" ht="17.100000000000001" customHeight="1" thickTop="1">
      <c r="A28" s="121"/>
      <c r="B28" s="28"/>
      <c r="C28" s="25"/>
      <c r="D28" s="13"/>
      <c r="E28" s="123"/>
      <c r="F28" s="65"/>
      <c r="G28" s="24"/>
      <c r="H28" s="125"/>
      <c r="I28" s="117"/>
      <c r="J28" s="117">
        <f>I28*0.1</f>
        <v>0</v>
      </c>
      <c r="K28" s="117">
        <v>0</v>
      </c>
      <c r="L28" s="117"/>
      <c r="M28" s="117"/>
      <c r="N28" s="117">
        <f>SUM(I28:M29)</f>
        <v>0</v>
      </c>
      <c r="O28" s="127"/>
      <c r="P28" s="66"/>
      <c r="Q28" s="15" t="s">
        <v>19</v>
      </c>
      <c r="R28" s="110"/>
      <c r="S28" s="105"/>
      <c r="T28" s="70"/>
      <c r="U28" s="21"/>
      <c r="V28" s="71"/>
      <c r="W28" s="72"/>
      <c r="X28" s="117"/>
      <c r="Y28" s="117">
        <f>X28*0.1</f>
        <v>0</v>
      </c>
      <c r="Z28" s="117"/>
      <c r="AA28" s="117">
        <f>SUM(X28:Z28)</f>
        <v>0</v>
      </c>
      <c r="AB28" s="119"/>
    </row>
    <row r="29" spans="1:28" ht="17.100000000000001" customHeight="1" thickBot="1">
      <c r="A29" s="122"/>
      <c r="B29" s="27"/>
      <c r="C29" s="27"/>
      <c r="D29" s="14"/>
      <c r="E29" s="124"/>
      <c r="F29" s="73"/>
      <c r="G29" s="26"/>
      <c r="H29" s="126"/>
      <c r="I29" s="118"/>
      <c r="J29" s="118"/>
      <c r="K29" s="118"/>
      <c r="L29" s="118"/>
      <c r="M29" s="118"/>
      <c r="N29" s="118"/>
      <c r="O29" s="128"/>
      <c r="P29" s="74"/>
      <c r="Q29" s="16" t="s">
        <v>20</v>
      </c>
      <c r="R29" s="17"/>
      <c r="S29" s="77"/>
      <c r="T29" s="78"/>
      <c r="U29" s="22"/>
      <c r="V29" s="79"/>
      <c r="W29" s="78"/>
      <c r="X29" s="118"/>
      <c r="Y29" s="118"/>
      <c r="Z29" s="118"/>
      <c r="AA29" s="118"/>
      <c r="AB29" s="120"/>
    </row>
    <row r="30" spans="1:28" ht="17.100000000000001" customHeight="1" thickTop="1">
      <c r="A30" s="121"/>
      <c r="B30" s="28"/>
      <c r="C30" s="25"/>
      <c r="D30" s="13"/>
      <c r="E30" s="123"/>
      <c r="F30" s="65"/>
      <c r="G30" s="24"/>
      <c r="H30" s="125"/>
      <c r="I30" s="117"/>
      <c r="J30" s="117">
        <f>I30*0.1</f>
        <v>0</v>
      </c>
      <c r="K30" s="117">
        <v>0</v>
      </c>
      <c r="L30" s="117"/>
      <c r="M30" s="117"/>
      <c r="N30" s="117">
        <f>SUM(I30:M31)</f>
        <v>0</v>
      </c>
      <c r="O30" s="127"/>
      <c r="P30" s="66"/>
      <c r="Q30" s="15" t="s">
        <v>19</v>
      </c>
      <c r="R30" s="110"/>
      <c r="S30" s="105"/>
      <c r="T30" s="70"/>
      <c r="U30" s="21"/>
      <c r="V30" s="71"/>
      <c r="W30" s="72"/>
      <c r="X30" s="117"/>
      <c r="Y30" s="117">
        <f>X30*0.1</f>
        <v>0</v>
      </c>
      <c r="Z30" s="117"/>
      <c r="AA30" s="117">
        <f>SUM(X30:Z30)</f>
        <v>0</v>
      </c>
      <c r="AB30" s="119"/>
    </row>
    <row r="31" spans="1:28" ht="17.100000000000001" customHeight="1" thickBot="1">
      <c r="A31" s="122"/>
      <c r="B31" s="27"/>
      <c r="C31" s="27"/>
      <c r="D31" s="14"/>
      <c r="E31" s="124"/>
      <c r="F31" s="73"/>
      <c r="G31" s="26"/>
      <c r="H31" s="126"/>
      <c r="I31" s="118"/>
      <c r="J31" s="118"/>
      <c r="K31" s="118"/>
      <c r="L31" s="118"/>
      <c r="M31" s="118"/>
      <c r="N31" s="118"/>
      <c r="O31" s="128"/>
      <c r="P31" s="74"/>
      <c r="Q31" s="16" t="s">
        <v>20</v>
      </c>
      <c r="R31" s="17"/>
      <c r="S31" s="77"/>
      <c r="T31" s="78"/>
      <c r="U31" s="22"/>
      <c r="V31" s="79"/>
      <c r="W31" s="78"/>
      <c r="X31" s="118"/>
      <c r="Y31" s="118"/>
      <c r="Z31" s="118"/>
      <c r="AA31" s="118"/>
      <c r="AB31" s="120"/>
    </row>
    <row r="32" spans="1:28" ht="17.100000000000001" customHeight="1" thickTop="1">
      <c r="A32" s="121"/>
      <c r="B32" s="28"/>
      <c r="C32" s="25"/>
      <c r="D32" s="13"/>
      <c r="E32" s="123"/>
      <c r="F32" s="65"/>
      <c r="G32" s="24"/>
      <c r="H32" s="125"/>
      <c r="I32" s="117"/>
      <c r="J32" s="117">
        <f>I32*0.1</f>
        <v>0</v>
      </c>
      <c r="K32" s="117">
        <v>0</v>
      </c>
      <c r="L32" s="117"/>
      <c r="M32" s="117"/>
      <c r="N32" s="117">
        <f>SUM(I32:M33)</f>
        <v>0</v>
      </c>
      <c r="O32" s="127"/>
      <c r="P32" s="66"/>
      <c r="Q32" s="15" t="s">
        <v>19</v>
      </c>
      <c r="R32" s="110"/>
      <c r="S32" s="105"/>
      <c r="T32" s="70"/>
      <c r="U32" s="21"/>
      <c r="V32" s="71"/>
      <c r="W32" s="72"/>
      <c r="X32" s="117"/>
      <c r="Y32" s="117">
        <f>X32*0.1</f>
        <v>0</v>
      </c>
      <c r="Z32" s="117"/>
      <c r="AA32" s="117">
        <f>SUM(X32:Z32)</f>
        <v>0</v>
      </c>
      <c r="AB32" s="119"/>
    </row>
    <row r="33" spans="1:28" ht="17.100000000000001" customHeight="1" thickBot="1">
      <c r="A33" s="122"/>
      <c r="B33" s="27"/>
      <c r="C33" s="27"/>
      <c r="D33" s="14"/>
      <c r="E33" s="124"/>
      <c r="F33" s="73"/>
      <c r="G33" s="26"/>
      <c r="H33" s="126"/>
      <c r="I33" s="118"/>
      <c r="J33" s="118"/>
      <c r="K33" s="118"/>
      <c r="L33" s="118"/>
      <c r="M33" s="118"/>
      <c r="N33" s="118"/>
      <c r="O33" s="128"/>
      <c r="P33" s="74"/>
      <c r="Q33" s="16" t="s">
        <v>20</v>
      </c>
      <c r="R33" s="17"/>
      <c r="S33" s="77"/>
      <c r="T33" s="78"/>
      <c r="U33" s="22"/>
      <c r="V33" s="79"/>
      <c r="W33" s="78"/>
      <c r="X33" s="118"/>
      <c r="Y33" s="118"/>
      <c r="Z33" s="118"/>
      <c r="AA33" s="118"/>
      <c r="AB33" s="120"/>
    </row>
    <row r="34" spans="1:28" ht="17.100000000000001" customHeight="1" thickTop="1">
      <c r="A34" s="121"/>
      <c r="B34" s="28"/>
      <c r="C34" s="25"/>
      <c r="D34" s="13"/>
      <c r="E34" s="123"/>
      <c r="F34" s="65"/>
      <c r="G34" s="24"/>
      <c r="H34" s="125"/>
      <c r="I34" s="117"/>
      <c r="J34" s="117">
        <f>I34*0.1</f>
        <v>0</v>
      </c>
      <c r="K34" s="117">
        <v>0</v>
      </c>
      <c r="L34" s="117"/>
      <c r="M34" s="117"/>
      <c r="N34" s="117">
        <f>SUM(I34:M35)</f>
        <v>0</v>
      </c>
      <c r="O34" s="127"/>
      <c r="P34" s="66"/>
      <c r="Q34" s="15" t="s">
        <v>19</v>
      </c>
      <c r="R34" s="110"/>
      <c r="S34" s="105"/>
      <c r="T34" s="70"/>
      <c r="U34" s="21"/>
      <c r="V34" s="71"/>
      <c r="W34" s="72"/>
      <c r="X34" s="117"/>
      <c r="Y34" s="117">
        <f>X34*0.1</f>
        <v>0</v>
      </c>
      <c r="Z34" s="117"/>
      <c r="AA34" s="117">
        <f>SUM(X34:Z34)</f>
        <v>0</v>
      </c>
      <c r="AB34" s="119"/>
    </row>
    <row r="35" spans="1:28" ht="17.100000000000001" customHeight="1" thickBot="1">
      <c r="A35" s="122"/>
      <c r="B35" s="27"/>
      <c r="C35" s="27"/>
      <c r="D35" s="14"/>
      <c r="E35" s="124"/>
      <c r="F35" s="73"/>
      <c r="G35" s="26"/>
      <c r="H35" s="126"/>
      <c r="I35" s="118"/>
      <c r="J35" s="118"/>
      <c r="K35" s="118"/>
      <c r="L35" s="118"/>
      <c r="M35" s="118"/>
      <c r="N35" s="118"/>
      <c r="O35" s="128"/>
      <c r="P35" s="74"/>
      <c r="Q35" s="16" t="s">
        <v>20</v>
      </c>
      <c r="R35" s="17"/>
      <c r="S35" s="77"/>
      <c r="T35" s="78"/>
      <c r="U35" s="22"/>
      <c r="V35" s="79"/>
      <c r="W35" s="78"/>
      <c r="X35" s="118"/>
      <c r="Y35" s="118"/>
      <c r="Z35" s="118"/>
      <c r="AA35" s="118"/>
      <c r="AB35" s="120"/>
    </row>
    <row r="36" spans="1:28" ht="17.100000000000001" customHeight="1" thickTop="1">
      <c r="A36" s="121"/>
      <c r="B36" s="28"/>
      <c r="C36" s="25"/>
      <c r="D36" s="13"/>
      <c r="E36" s="123"/>
      <c r="F36" s="65"/>
      <c r="G36" s="24"/>
      <c r="H36" s="125"/>
      <c r="I36" s="117"/>
      <c r="J36" s="117">
        <f>I36*0.1</f>
        <v>0</v>
      </c>
      <c r="K36" s="117">
        <v>0</v>
      </c>
      <c r="L36" s="117"/>
      <c r="M36" s="117"/>
      <c r="N36" s="117">
        <f>SUM(I36:M37)</f>
        <v>0</v>
      </c>
      <c r="O36" s="127"/>
      <c r="P36" s="66"/>
      <c r="Q36" s="15" t="s">
        <v>19</v>
      </c>
      <c r="R36" s="110"/>
      <c r="S36" s="105"/>
      <c r="T36" s="70"/>
      <c r="U36" s="21"/>
      <c r="V36" s="71"/>
      <c r="W36" s="72"/>
      <c r="X36" s="117"/>
      <c r="Y36" s="117">
        <f>X36*0.1</f>
        <v>0</v>
      </c>
      <c r="Z36" s="117"/>
      <c r="AA36" s="117">
        <f>SUM(X36:Z36)</f>
        <v>0</v>
      </c>
      <c r="AB36" s="119"/>
    </row>
    <row r="37" spans="1:28" ht="17.100000000000001" customHeight="1" thickBot="1">
      <c r="A37" s="122"/>
      <c r="B37" s="27"/>
      <c r="C37" s="27"/>
      <c r="D37" s="14"/>
      <c r="E37" s="124"/>
      <c r="F37" s="73"/>
      <c r="G37" s="26"/>
      <c r="H37" s="126"/>
      <c r="I37" s="118"/>
      <c r="J37" s="118"/>
      <c r="K37" s="118"/>
      <c r="L37" s="118"/>
      <c r="M37" s="118"/>
      <c r="N37" s="118"/>
      <c r="O37" s="128"/>
      <c r="P37" s="74"/>
      <c r="Q37" s="16" t="s">
        <v>20</v>
      </c>
      <c r="R37" s="17"/>
      <c r="S37" s="77"/>
      <c r="T37" s="78"/>
      <c r="U37" s="22"/>
      <c r="V37" s="79"/>
      <c r="W37" s="78"/>
      <c r="X37" s="118"/>
      <c r="Y37" s="118"/>
      <c r="Z37" s="118"/>
      <c r="AA37" s="118"/>
      <c r="AB37" s="120"/>
    </row>
    <row r="38" spans="1:28" ht="17.100000000000001" customHeight="1" thickTop="1">
      <c r="A38" s="121"/>
      <c r="B38" s="28"/>
      <c r="C38" s="25"/>
      <c r="D38" s="13"/>
      <c r="E38" s="123"/>
      <c r="F38" s="65"/>
      <c r="G38" s="24"/>
      <c r="H38" s="125"/>
      <c r="I38" s="117"/>
      <c r="J38" s="117">
        <f>I38*0.1</f>
        <v>0</v>
      </c>
      <c r="K38" s="117">
        <v>0</v>
      </c>
      <c r="L38" s="117"/>
      <c r="M38" s="117"/>
      <c r="N38" s="117">
        <f>SUM(I38:M39)</f>
        <v>0</v>
      </c>
      <c r="O38" s="127"/>
      <c r="P38" s="66"/>
      <c r="Q38" s="15" t="s">
        <v>19</v>
      </c>
      <c r="R38" s="110"/>
      <c r="S38" s="105"/>
      <c r="T38" s="70"/>
      <c r="U38" s="21"/>
      <c r="V38" s="71"/>
      <c r="W38" s="72"/>
      <c r="X38" s="117"/>
      <c r="Y38" s="117">
        <f>X38*0.1</f>
        <v>0</v>
      </c>
      <c r="Z38" s="117"/>
      <c r="AA38" s="117">
        <f>SUM(X38:Z38)</f>
        <v>0</v>
      </c>
      <c r="AB38" s="119"/>
    </row>
    <row r="39" spans="1:28" ht="17.100000000000001" customHeight="1" thickBot="1">
      <c r="A39" s="122"/>
      <c r="B39" s="27"/>
      <c r="C39" s="27"/>
      <c r="D39" s="14"/>
      <c r="E39" s="124"/>
      <c r="F39" s="73"/>
      <c r="G39" s="26"/>
      <c r="H39" s="126"/>
      <c r="I39" s="118"/>
      <c r="J39" s="118"/>
      <c r="K39" s="118"/>
      <c r="L39" s="118"/>
      <c r="M39" s="118"/>
      <c r="N39" s="118"/>
      <c r="O39" s="128"/>
      <c r="P39" s="74"/>
      <c r="Q39" s="16" t="s">
        <v>20</v>
      </c>
      <c r="R39" s="17"/>
      <c r="S39" s="77"/>
      <c r="T39" s="78"/>
      <c r="U39" s="22"/>
      <c r="V39" s="79"/>
      <c r="W39" s="78"/>
      <c r="X39" s="118"/>
      <c r="Y39" s="118"/>
      <c r="Z39" s="118"/>
      <c r="AA39" s="118"/>
      <c r="AB39" s="120"/>
    </row>
    <row r="40" spans="1:28" ht="17.100000000000001" customHeight="1" thickTop="1">
      <c r="A40" s="121"/>
      <c r="B40" s="28"/>
      <c r="C40" s="25"/>
      <c r="D40" s="13"/>
      <c r="E40" s="123"/>
      <c r="F40" s="65"/>
      <c r="G40" s="24"/>
      <c r="H40" s="125"/>
      <c r="I40" s="117"/>
      <c r="J40" s="117">
        <f>I40*0.1</f>
        <v>0</v>
      </c>
      <c r="K40" s="117">
        <v>0</v>
      </c>
      <c r="L40" s="117"/>
      <c r="M40" s="117"/>
      <c r="N40" s="117">
        <f>SUM(I40:M41)</f>
        <v>0</v>
      </c>
      <c r="O40" s="127"/>
      <c r="P40" s="66"/>
      <c r="Q40" s="15" t="s">
        <v>19</v>
      </c>
      <c r="R40" s="110"/>
      <c r="S40" s="105"/>
      <c r="T40" s="70"/>
      <c r="U40" s="21"/>
      <c r="V40" s="71"/>
      <c r="W40" s="72"/>
      <c r="X40" s="117"/>
      <c r="Y40" s="117">
        <f>X40*0.1</f>
        <v>0</v>
      </c>
      <c r="Z40" s="117"/>
      <c r="AA40" s="117">
        <f>SUM(X40:Z40)</f>
        <v>0</v>
      </c>
      <c r="AB40" s="119"/>
    </row>
    <row r="41" spans="1:28" ht="17.100000000000001" customHeight="1" thickBot="1">
      <c r="A41" s="122"/>
      <c r="B41" s="27"/>
      <c r="C41" s="27"/>
      <c r="D41" s="14"/>
      <c r="E41" s="124"/>
      <c r="F41" s="73"/>
      <c r="G41" s="26"/>
      <c r="H41" s="126"/>
      <c r="I41" s="118"/>
      <c r="J41" s="118"/>
      <c r="K41" s="118"/>
      <c r="L41" s="118"/>
      <c r="M41" s="118"/>
      <c r="N41" s="118"/>
      <c r="O41" s="128"/>
      <c r="P41" s="74"/>
      <c r="Q41" s="16" t="s">
        <v>20</v>
      </c>
      <c r="R41" s="17"/>
      <c r="S41" s="77"/>
      <c r="T41" s="78"/>
      <c r="U41" s="22"/>
      <c r="V41" s="79"/>
      <c r="W41" s="78"/>
      <c r="X41" s="118"/>
      <c r="Y41" s="118"/>
      <c r="Z41" s="118"/>
      <c r="AA41" s="118"/>
      <c r="AB41" s="120"/>
    </row>
    <row r="42" spans="1:28" ht="17.100000000000001" customHeight="1" thickTop="1">
      <c r="A42" s="121"/>
      <c r="B42" s="28"/>
      <c r="C42" s="25"/>
      <c r="D42" s="13"/>
      <c r="E42" s="123"/>
      <c r="F42" s="65"/>
      <c r="G42" s="24"/>
      <c r="H42" s="125"/>
      <c r="I42" s="117"/>
      <c r="J42" s="117">
        <f>I42*0.1</f>
        <v>0</v>
      </c>
      <c r="K42" s="117">
        <v>0</v>
      </c>
      <c r="L42" s="117"/>
      <c r="M42" s="117"/>
      <c r="N42" s="117">
        <f>SUM(I42:M43)</f>
        <v>0</v>
      </c>
      <c r="O42" s="127"/>
      <c r="P42" s="66"/>
      <c r="Q42" s="15" t="s">
        <v>19</v>
      </c>
      <c r="R42" s="110"/>
      <c r="S42" s="105"/>
      <c r="T42" s="70"/>
      <c r="U42" s="21"/>
      <c r="V42" s="71"/>
      <c r="W42" s="72"/>
      <c r="X42" s="117"/>
      <c r="Y42" s="117">
        <f>X42*0.1</f>
        <v>0</v>
      </c>
      <c r="Z42" s="117"/>
      <c r="AA42" s="117">
        <f>SUM(X42:Z42)</f>
        <v>0</v>
      </c>
      <c r="AB42" s="119"/>
    </row>
    <row r="43" spans="1:28" ht="17.100000000000001" customHeight="1" thickBot="1">
      <c r="A43" s="122"/>
      <c r="B43" s="27"/>
      <c r="C43" s="27"/>
      <c r="D43" s="14"/>
      <c r="E43" s="124"/>
      <c r="F43" s="73"/>
      <c r="G43" s="26"/>
      <c r="H43" s="126"/>
      <c r="I43" s="118"/>
      <c r="J43" s="118"/>
      <c r="K43" s="118"/>
      <c r="L43" s="118"/>
      <c r="M43" s="118"/>
      <c r="N43" s="118"/>
      <c r="O43" s="128"/>
      <c r="P43" s="74"/>
      <c r="Q43" s="16" t="s">
        <v>20</v>
      </c>
      <c r="R43" s="17"/>
      <c r="S43" s="77"/>
      <c r="T43" s="78"/>
      <c r="U43" s="22"/>
      <c r="V43" s="79"/>
      <c r="W43" s="78"/>
      <c r="X43" s="118"/>
      <c r="Y43" s="118"/>
      <c r="Z43" s="118"/>
      <c r="AA43" s="118"/>
      <c r="AB43" s="120"/>
    </row>
    <row r="44" spans="1:28" ht="17.100000000000001" customHeight="1" thickTop="1">
      <c r="A44" s="121"/>
      <c r="B44" s="28"/>
      <c r="C44" s="25"/>
      <c r="D44" s="13"/>
      <c r="E44" s="123"/>
      <c r="F44" s="65"/>
      <c r="G44" s="24"/>
      <c r="H44" s="125"/>
      <c r="I44" s="117"/>
      <c r="J44" s="117">
        <f>I44*0.1</f>
        <v>0</v>
      </c>
      <c r="K44" s="117">
        <v>0</v>
      </c>
      <c r="L44" s="117"/>
      <c r="M44" s="117"/>
      <c r="N44" s="117">
        <f>SUM(I44:M45)</f>
        <v>0</v>
      </c>
      <c r="O44" s="127"/>
      <c r="P44" s="66"/>
      <c r="Q44" s="15" t="s">
        <v>19</v>
      </c>
      <c r="R44" s="110"/>
      <c r="S44" s="105"/>
      <c r="T44" s="70"/>
      <c r="U44" s="21"/>
      <c r="V44" s="71"/>
      <c r="W44" s="72"/>
      <c r="X44" s="117"/>
      <c r="Y44" s="117">
        <f>X44*0.1</f>
        <v>0</v>
      </c>
      <c r="Z44" s="117"/>
      <c r="AA44" s="117">
        <f>SUM(X44:Z44)</f>
        <v>0</v>
      </c>
      <c r="AB44" s="119"/>
    </row>
    <row r="45" spans="1:28" ht="17.100000000000001" customHeight="1" thickBot="1">
      <c r="A45" s="122"/>
      <c r="B45" s="27"/>
      <c r="C45" s="27"/>
      <c r="D45" s="14"/>
      <c r="E45" s="124"/>
      <c r="F45" s="73"/>
      <c r="G45" s="26"/>
      <c r="H45" s="126"/>
      <c r="I45" s="118"/>
      <c r="J45" s="118"/>
      <c r="K45" s="118"/>
      <c r="L45" s="118"/>
      <c r="M45" s="118"/>
      <c r="N45" s="118"/>
      <c r="O45" s="128"/>
      <c r="P45" s="74"/>
      <c r="Q45" s="16" t="s">
        <v>20</v>
      </c>
      <c r="R45" s="17"/>
      <c r="S45" s="77"/>
      <c r="T45" s="78"/>
      <c r="U45" s="22"/>
      <c r="V45" s="79"/>
      <c r="W45" s="78"/>
      <c r="X45" s="118"/>
      <c r="Y45" s="118"/>
      <c r="Z45" s="118"/>
      <c r="AA45" s="118"/>
      <c r="AB45" s="120"/>
    </row>
    <row r="46" spans="1:28" ht="17.100000000000001" customHeight="1" thickTop="1">
      <c r="A46" s="121"/>
      <c r="B46" s="28"/>
      <c r="C46" s="25"/>
      <c r="D46" s="13"/>
      <c r="E46" s="123"/>
      <c r="F46" s="65"/>
      <c r="G46" s="24"/>
      <c r="H46" s="125"/>
      <c r="I46" s="117"/>
      <c r="J46" s="117">
        <f>I46*0.1</f>
        <v>0</v>
      </c>
      <c r="K46" s="117">
        <v>0</v>
      </c>
      <c r="L46" s="117"/>
      <c r="M46" s="117"/>
      <c r="N46" s="117">
        <f>SUM(I46:M47)</f>
        <v>0</v>
      </c>
      <c r="O46" s="127"/>
      <c r="P46" s="66"/>
      <c r="Q46" s="15" t="s">
        <v>19</v>
      </c>
      <c r="R46" s="110"/>
      <c r="S46" s="105"/>
      <c r="T46" s="70"/>
      <c r="U46" s="21"/>
      <c r="V46" s="71"/>
      <c r="W46" s="72"/>
      <c r="X46" s="117"/>
      <c r="Y46" s="117">
        <f>X46*0.1</f>
        <v>0</v>
      </c>
      <c r="Z46" s="117"/>
      <c r="AA46" s="117">
        <f>SUM(X46:Z46)</f>
        <v>0</v>
      </c>
      <c r="AB46" s="119"/>
    </row>
    <row r="47" spans="1:28" ht="17.100000000000001" customHeight="1" thickBot="1">
      <c r="A47" s="122"/>
      <c r="B47" s="27"/>
      <c r="C47" s="27"/>
      <c r="D47" s="14"/>
      <c r="E47" s="124"/>
      <c r="F47" s="73"/>
      <c r="G47" s="26"/>
      <c r="H47" s="126"/>
      <c r="I47" s="118"/>
      <c r="J47" s="118"/>
      <c r="K47" s="118"/>
      <c r="L47" s="118"/>
      <c r="M47" s="118"/>
      <c r="N47" s="118"/>
      <c r="O47" s="128"/>
      <c r="P47" s="74"/>
      <c r="Q47" s="16" t="s">
        <v>20</v>
      </c>
      <c r="R47" s="17"/>
      <c r="S47" s="77"/>
      <c r="T47" s="78"/>
      <c r="U47" s="22"/>
      <c r="V47" s="79"/>
      <c r="W47" s="78"/>
      <c r="X47" s="118"/>
      <c r="Y47" s="118"/>
      <c r="Z47" s="118"/>
      <c r="AA47" s="118"/>
      <c r="AB47" s="120"/>
    </row>
    <row r="48" spans="1:28" ht="17.100000000000001" customHeight="1" thickTop="1">
      <c r="A48" s="121"/>
      <c r="B48" s="28"/>
      <c r="C48" s="25"/>
      <c r="D48" s="13"/>
      <c r="E48" s="123"/>
      <c r="F48" s="65"/>
      <c r="G48" s="24"/>
      <c r="H48" s="125"/>
      <c r="I48" s="117"/>
      <c r="J48" s="117">
        <f>I48*0.1</f>
        <v>0</v>
      </c>
      <c r="K48" s="117">
        <v>0</v>
      </c>
      <c r="L48" s="117"/>
      <c r="M48" s="117"/>
      <c r="N48" s="117">
        <f>SUM(I48:M49)</f>
        <v>0</v>
      </c>
      <c r="O48" s="127"/>
      <c r="P48" s="66"/>
      <c r="Q48" s="15" t="s">
        <v>19</v>
      </c>
      <c r="R48" s="110"/>
      <c r="S48" s="105"/>
      <c r="T48" s="70"/>
      <c r="U48" s="21"/>
      <c r="V48" s="71"/>
      <c r="W48" s="72"/>
      <c r="X48" s="117"/>
      <c r="Y48" s="117">
        <f>X48*0.1</f>
        <v>0</v>
      </c>
      <c r="Z48" s="117"/>
      <c r="AA48" s="117">
        <f>SUM(X48:Z48)</f>
        <v>0</v>
      </c>
      <c r="AB48" s="119"/>
    </row>
    <row r="49" spans="1:28" ht="17.100000000000001" customHeight="1" thickBot="1">
      <c r="A49" s="122"/>
      <c r="B49" s="27"/>
      <c r="C49" s="27"/>
      <c r="D49" s="14"/>
      <c r="E49" s="124"/>
      <c r="F49" s="73"/>
      <c r="G49" s="26"/>
      <c r="H49" s="126"/>
      <c r="I49" s="118"/>
      <c r="J49" s="118"/>
      <c r="K49" s="118"/>
      <c r="L49" s="118"/>
      <c r="M49" s="118"/>
      <c r="N49" s="118"/>
      <c r="O49" s="128"/>
      <c r="P49" s="74"/>
      <c r="Q49" s="16" t="s">
        <v>20</v>
      </c>
      <c r="R49" s="17"/>
      <c r="S49" s="77"/>
      <c r="T49" s="78"/>
      <c r="U49" s="22"/>
      <c r="V49" s="79"/>
      <c r="W49" s="78"/>
      <c r="X49" s="118"/>
      <c r="Y49" s="118"/>
      <c r="Z49" s="118"/>
      <c r="AA49" s="118"/>
      <c r="AB49" s="120"/>
    </row>
    <row r="50" spans="1:28" ht="17.100000000000001" customHeight="1" thickTop="1">
      <c r="A50" s="121"/>
      <c r="B50" s="28"/>
      <c r="C50" s="25"/>
      <c r="D50" s="13"/>
      <c r="E50" s="123"/>
      <c r="F50" s="65"/>
      <c r="G50" s="24"/>
      <c r="H50" s="125"/>
      <c r="I50" s="117"/>
      <c r="J50" s="117">
        <f>I50*0.1</f>
        <v>0</v>
      </c>
      <c r="K50" s="117">
        <v>0</v>
      </c>
      <c r="L50" s="117"/>
      <c r="M50" s="117"/>
      <c r="N50" s="117">
        <f>SUM(I50:M51)</f>
        <v>0</v>
      </c>
      <c r="O50" s="127"/>
      <c r="P50" s="66"/>
      <c r="Q50" s="15" t="s">
        <v>19</v>
      </c>
      <c r="R50" s="110"/>
      <c r="S50" s="105"/>
      <c r="T50" s="70"/>
      <c r="U50" s="21"/>
      <c r="V50" s="71"/>
      <c r="W50" s="72"/>
      <c r="X50" s="117"/>
      <c r="Y50" s="117">
        <f>X50*0.1</f>
        <v>0</v>
      </c>
      <c r="Z50" s="117"/>
      <c r="AA50" s="117">
        <f>SUM(X50:Z50)</f>
        <v>0</v>
      </c>
      <c r="AB50" s="119"/>
    </row>
    <row r="51" spans="1:28" ht="17.100000000000001" customHeight="1" thickBot="1">
      <c r="A51" s="122"/>
      <c r="B51" s="27"/>
      <c r="C51" s="27"/>
      <c r="D51" s="14"/>
      <c r="E51" s="124"/>
      <c r="F51" s="73"/>
      <c r="G51" s="26"/>
      <c r="H51" s="126"/>
      <c r="I51" s="118"/>
      <c r="J51" s="118"/>
      <c r="K51" s="118"/>
      <c r="L51" s="118"/>
      <c r="M51" s="118"/>
      <c r="N51" s="118"/>
      <c r="O51" s="128"/>
      <c r="P51" s="74"/>
      <c r="Q51" s="16" t="s">
        <v>20</v>
      </c>
      <c r="R51" s="17"/>
      <c r="S51" s="77"/>
      <c r="T51" s="78"/>
      <c r="U51" s="22"/>
      <c r="V51" s="79"/>
      <c r="W51" s="78"/>
      <c r="X51" s="118"/>
      <c r="Y51" s="118"/>
      <c r="Z51" s="118"/>
      <c r="AA51" s="118"/>
      <c r="AB51" s="120"/>
    </row>
    <row r="52" spans="1:28" ht="17.100000000000001" customHeight="1" thickTop="1">
      <c r="A52" s="121"/>
      <c r="B52" s="28"/>
      <c r="C52" s="25"/>
      <c r="D52" s="13"/>
      <c r="E52" s="123"/>
      <c r="F52" s="65"/>
      <c r="G52" s="24"/>
      <c r="H52" s="125"/>
      <c r="I52" s="117"/>
      <c r="J52" s="117">
        <f>I52*0.1</f>
        <v>0</v>
      </c>
      <c r="K52" s="117">
        <v>0</v>
      </c>
      <c r="L52" s="117"/>
      <c r="M52" s="117"/>
      <c r="N52" s="117">
        <f>SUM(I52:M53)</f>
        <v>0</v>
      </c>
      <c r="O52" s="127"/>
      <c r="P52" s="66"/>
      <c r="Q52" s="15" t="s">
        <v>19</v>
      </c>
      <c r="R52" s="110"/>
      <c r="S52" s="105"/>
      <c r="T52" s="70"/>
      <c r="U52" s="21"/>
      <c r="V52" s="71"/>
      <c r="W52" s="72"/>
      <c r="X52" s="117"/>
      <c r="Y52" s="117">
        <f>X52*0.1</f>
        <v>0</v>
      </c>
      <c r="Z52" s="117"/>
      <c r="AA52" s="117">
        <f>SUM(X52:Z52)</f>
        <v>0</v>
      </c>
      <c r="AB52" s="119"/>
    </row>
    <row r="53" spans="1:28" ht="17.100000000000001" customHeight="1" thickBot="1">
      <c r="A53" s="122"/>
      <c r="B53" s="27"/>
      <c r="C53" s="27"/>
      <c r="D53" s="14"/>
      <c r="E53" s="124"/>
      <c r="F53" s="73"/>
      <c r="G53" s="26"/>
      <c r="H53" s="126"/>
      <c r="I53" s="118"/>
      <c r="J53" s="118"/>
      <c r="K53" s="118"/>
      <c r="L53" s="118"/>
      <c r="M53" s="118"/>
      <c r="N53" s="118"/>
      <c r="O53" s="128"/>
      <c r="P53" s="74"/>
      <c r="Q53" s="16" t="s">
        <v>20</v>
      </c>
      <c r="R53" s="17"/>
      <c r="S53" s="77"/>
      <c r="T53" s="78"/>
      <c r="U53" s="22"/>
      <c r="V53" s="79"/>
      <c r="W53" s="78"/>
      <c r="X53" s="118"/>
      <c r="Y53" s="118"/>
      <c r="Z53" s="118"/>
      <c r="AA53" s="118"/>
      <c r="AB53" s="120"/>
    </row>
    <row r="54" spans="1:28" ht="17.100000000000001" customHeight="1" thickTop="1">
      <c r="A54" s="121"/>
      <c r="B54" s="28"/>
      <c r="C54" s="25"/>
      <c r="D54" s="13"/>
      <c r="E54" s="123"/>
      <c r="F54" s="65"/>
      <c r="G54" s="24"/>
      <c r="H54" s="125"/>
      <c r="I54" s="117"/>
      <c r="J54" s="117">
        <f>I54*0.1</f>
        <v>0</v>
      </c>
      <c r="K54" s="117">
        <v>0</v>
      </c>
      <c r="L54" s="117"/>
      <c r="M54" s="117"/>
      <c r="N54" s="117">
        <f>SUM(I54:M55)</f>
        <v>0</v>
      </c>
      <c r="O54" s="127"/>
      <c r="P54" s="66"/>
      <c r="Q54" s="15" t="s">
        <v>19</v>
      </c>
      <c r="R54" s="110"/>
      <c r="S54" s="105"/>
      <c r="T54" s="70"/>
      <c r="U54" s="21"/>
      <c r="V54" s="71"/>
      <c r="W54" s="72"/>
      <c r="X54" s="117"/>
      <c r="Y54" s="117">
        <f>X54*0.1</f>
        <v>0</v>
      </c>
      <c r="Z54" s="117"/>
      <c r="AA54" s="117">
        <f>SUM(X54:Z54)</f>
        <v>0</v>
      </c>
      <c r="AB54" s="119"/>
    </row>
    <row r="55" spans="1:28" ht="17.100000000000001" customHeight="1" thickBot="1">
      <c r="A55" s="122"/>
      <c r="B55" s="27"/>
      <c r="C55" s="27"/>
      <c r="D55" s="14"/>
      <c r="E55" s="124"/>
      <c r="F55" s="73"/>
      <c r="G55" s="26"/>
      <c r="H55" s="126"/>
      <c r="I55" s="118"/>
      <c r="J55" s="118"/>
      <c r="K55" s="118"/>
      <c r="L55" s="118"/>
      <c r="M55" s="118"/>
      <c r="N55" s="118"/>
      <c r="O55" s="128"/>
      <c r="P55" s="74"/>
      <c r="Q55" s="16" t="s">
        <v>20</v>
      </c>
      <c r="R55" s="17"/>
      <c r="S55" s="77"/>
      <c r="T55" s="78"/>
      <c r="U55" s="22"/>
      <c r="V55" s="79"/>
      <c r="W55" s="78"/>
      <c r="X55" s="118"/>
      <c r="Y55" s="118"/>
      <c r="Z55" s="118"/>
      <c r="AA55" s="118"/>
      <c r="AB55" s="120"/>
    </row>
    <row r="56" spans="1:28" ht="17.100000000000001" customHeight="1" thickTop="1">
      <c r="A56" s="121"/>
      <c r="B56" s="28"/>
      <c r="C56" s="25"/>
      <c r="D56" s="13"/>
      <c r="E56" s="123"/>
      <c r="F56" s="65"/>
      <c r="G56" s="24"/>
      <c r="H56" s="125"/>
      <c r="I56" s="117"/>
      <c r="J56" s="117">
        <f>I56*0.1</f>
        <v>0</v>
      </c>
      <c r="K56" s="117">
        <v>0</v>
      </c>
      <c r="L56" s="117"/>
      <c r="M56" s="117"/>
      <c r="N56" s="117">
        <f>SUM(I56:M57)</f>
        <v>0</v>
      </c>
      <c r="O56" s="127"/>
      <c r="P56" s="66"/>
      <c r="Q56" s="15" t="s">
        <v>19</v>
      </c>
      <c r="R56" s="110"/>
      <c r="S56" s="105"/>
      <c r="T56" s="70"/>
      <c r="U56" s="21"/>
      <c r="V56" s="71"/>
      <c r="W56" s="72"/>
      <c r="X56" s="117"/>
      <c r="Y56" s="117">
        <f>X56*0.1</f>
        <v>0</v>
      </c>
      <c r="Z56" s="117"/>
      <c r="AA56" s="117">
        <f>SUM(X56:Z56)</f>
        <v>0</v>
      </c>
      <c r="AB56" s="119"/>
    </row>
    <row r="57" spans="1:28" ht="17.100000000000001" customHeight="1" thickBot="1">
      <c r="A57" s="122"/>
      <c r="B57" s="27"/>
      <c r="C57" s="27"/>
      <c r="D57" s="14"/>
      <c r="E57" s="124"/>
      <c r="F57" s="73"/>
      <c r="G57" s="26"/>
      <c r="H57" s="126"/>
      <c r="I57" s="118"/>
      <c r="J57" s="118"/>
      <c r="K57" s="118"/>
      <c r="L57" s="118"/>
      <c r="M57" s="118"/>
      <c r="N57" s="118"/>
      <c r="O57" s="128"/>
      <c r="P57" s="74"/>
      <c r="Q57" s="16" t="s">
        <v>20</v>
      </c>
      <c r="R57" s="17"/>
      <c r="S57" s="77"/>
      <c r="T57" s="78"/>
      <c r="U57" s="22"/>
      <c r="V57" s="79"/>
      <c r="W57" s="78"/>
      <c r="X57" s="118"/>
      <c r="Y57" s="118"/>
      <c r="Z57" s="118"/>
      <c r="AA57" s="118"/>
      <c r="AB57" s="120"/>
    </row>
    <row r="58" spans="1:28" ht="17.100000000000001" customHeight="1" thickTop="1">
      <c r="A58" s="121"/>
      <c r="B58" s="28"/>
      <c r="C58" s="25"/>
      <c r="D58" s="13"/>
      <c r="E58" s="123"/>
      <c r="F58" s="65"/>
      <c r="G58" s="24"/>
      <c r="H58" s="125"/>
      <c r="I58" s="117"/>
      <c r="J58" s="117">
        <f>I58*0.1</f>
        <v>0</v>
      </c>
      <c r="K58" s="117">
        <v>0</v>
      </c>
      <c r="L58" s="117"/>
      <c r="M58" s="117"/>
      <c r="N58" s="117">
        <f>SUM(I58:M59)</f>
        <v>0</v>
      </c>
      <c r="O58" s="127"/>
      <c r="P58" s="66"/>
      <c r="Q58" s="15" t="s">
        <v>19</v>
      </c>
      <c r="R58" s="110"/>
      <c r="S58" s="105"/>
      <c r="T58" s="70"/>
      <c r="U58" s="21"/>
      <c r="V58" s="71"/>
      <c r="W58" s="72"/>
      <c r="X58" s="117"/>
      <c r="Y58" s="117">
        <f>X58*0.1</f>
        <v>0</v>
      </c>
      <c r="Z58" s="117"/>
      <c r="AA58" s="117">
        <f>SUM(X58:Z58)</f>
        <v>0</v>
      </c>
      <c r="AB58" s="119"/>
    </row>
    <row r="59" spans="1:28" ht="17.100000000000001" customHeight="1" thickBot="1">
      <c r="A59" s="122"/>
      <c r="B59" s="27"/>
      <c r="C59" s="27"/>
      <c r="D59" s="14"/>
      <c r="E59" s="124"/>
      <c r="F59" s="73"/>
      <c r="G59" s="26"/>
      <c r="H59" s="126"/>
      <c r="I59" s="118"/>
      <c r="J59" s="118"/>
      <c r="K59" s="118"/>
      <c r="L59" s="118"/>
      <c r="M59" s="118"/>
      <c r="N59" s="118"/>
      <c r="O59" s="128"/>
      <c r="P59" s="74"/>
      <c r="Q59" s="16" t="s">
        <v>20</v>
      </c>
      <c r="R59" s="17"/>
      <c r="S59" s="77"/>
      <c r="T59" s="78"/>
      <c r="U59" s="22"/>
      <c r="V59" s="79"/>
      <c r="W59" s="78"/>
      <c r="X59" s="118"/>
      <c r="Y59" s="118"/>
      <c r="Z59" s="118"/>
      <c r="AA59" s="118"/>
      <c r="AB59" s="120"/>
    </row>
    <row r="60" spans="1:28" ht="17.100000000000001" customHeight="1" thickTop="1"/>
  </sheetData>
  <sheetProtection selectLockedCells="1" selectUnlockedCells="1"/>
  <mergeCells count="411">
    <mergeCell ref="A56:A57"/>
    <mergeCell ref="E56:E57"/>
    <mergeCell ref="H56:H57"/>
    <mergeCell ref="I56:I57"/>
    <mergeCell ref="J56:J57"/>
    <mergeCell ref="K56:K57"/>
    <mergeCell ref="L56:L57"/>
    <mergeCell ref="M56:M57"/>
    <mergeCell ref="N56:N57"/>
    <mergeCell ref="O56:O57"/>
    <mergeCell ref="X56:X57"/>
    <mergeCell ref="Y56:Y57"/>
    <mergeCell ref="Z56:Z57"/>
    <mergeCell ref="AA56:AA57"/>
    <mergeCell ref="AB56:AB57"/>
    <mergeCell ref="A58:A59"/>
    <mergeCell ref="E58:E59"/>
    <mergeCell ref="H58:H59"/>
    <mergeCell ref="I58:I59"/>
    <mergeCell ref="J58:J59"/>
    <mergeCell ref="K58:K59"/>
    <mergeCell ref="L58:L59"/>
    <mergeCell ref="M58:M59"/>
    <mergeCell ref="N58:N59"/>
    <mergeCell ref="O58:O59"/>
    <mergeCell ref="X58:X59"/>
    <mergeCell ref="Y58:Y59"/>
    <mergeCell ref="Z58:Z59"/>
    <mergeCell ref="AA58:AA59"/>
    <mergeCell ref="AB58:AB59"/>
    <mergeCell ref="A52:A53"/>
    <mergeCell ref="E52:E53"/>
    <mergeCell ref="H52:H53"/>
    <mergeCell ref="I52:I53"/>
    <mergeCell ref="J52:J53"/>
    <mergeCell ref="K52:K53"/>
    <mergeCell ref="L52:L53"/>
    <mergeCell ref="M52:M53"/>
    <mergeCell ref="N52:N53"/>
    <mergeCell ref="O52:O53"/>
    <mergeCell ref="X52:X53"/>
    <mergeCell ref="Y52:Y53"/>
    <mergeCell ref="Z52:Z53"/>
    <mergeCell ref="AA52:AA53"/>
    <mergeCell ref="AB52:AB53"/>
    <mergeCell ref="A54:A55"/>
    <mergeCell ref="E54:E55"/>
    <mergeCell ref="H54:H55"/>
    <mergeCell ref="I54:I55"/>
    <mergeCell ref="J54:J55"/>
    <mergeCell ref="K54:K55"/>
    <mergeCell ref="L54:L55"/>
    <mergeCell ref="M54:M55"/>
    <mergeCell ref="N54:N55"/>
    <mergeCell ref="O54:O55"/>
    <mergeCell ref="X54:X55"/>
    <mergeCell ref="Y54:Y55"/>
    <mergeCell ref="Z54:Z55"/>
    <mergeCell ref="AA54:AA55"/>
    <mergeCell ref="AB54:AB55"/>
    <mergeCell ref="A48:A49"/>
    <mergeCell ref="E48:E49"/>
    <mergeCell ref="H48:H49"/>
    <mergeCell ref="I48:I49"/>
    <mergeCell ref="J48:J49"/>
    <mergeCell ref="K48:K49"/>
    <mergeCell ref="L48:L49"/>
    <mergeCell ref="M48:M49"/>
    <mergeCell ref="N48:N49"/>
    <mergeCell ref="O48:O49"/>
    <mergeCell ref="X48:X49"/>
    <mergeCell ref="Y48:Y49"/>
    <mergeCell ref="Z48:Z49"/>
    <mergeCell ref="AA48:AA49"/>
    <mergeCell ref="AB48:AB49"/>
    <mergeCell ref="A50:A51"/>
    <mergeCell ref="E50:E51"/>
    <mergeCell ref="H50:H51"/>
    <mergeCell ref="I50:I51"/>
    <mergeCell ref="J50:J51"/>
    <mergeCell ref="K50:K51"/>
    <mergeCell ref="L50:L51"/>
    <mergeCell ref="M50:M51"/>
    <mergeCell ref="N50:N51"/>
    <mergeCell ref="O50:O51"/>
    <mergeCell ref="X50:X51"/>
    <mergeCell ref="Y50:Y51"/>
    <mergeCell ref="Z50:Z51"/>
    <mergeCell ref="AA50:AA51"/>
    <mergeCell ref="AB50:AB51"/>
    <mergeCell ref="A44:A45"/>
    <mergeCell ref="E44:E45"/>
    <mergeCell ref="H44:H45"/>
    <mergeCell ref="I44:I45"/>
    <mergeCell ref="J44:J45"/>
    <mergeCell ref="K44:K45"/>
    <mergeCell ref="L44:L45"/>
    <mergeCell ref="M44:M45"/>
    <mergeCell ref="N44:N45"/>
    <mergeCell ref="O44:O45"/>
    <mergeCell ref="X44:X45"/>
    <mergeCell ref="Y44:Y45"/>
    <mergeCell ref="Z44:Z45"/>
    <mergeCell ref="AA44:AA45"/>
    <mergeCell ref="AB44:AB45"/>
    <mergeCell ref="A46:A47"/>
    <mergeCell ref="E46:E47"/>
    <mergeCell ref="H46:H47"/>
    <mergeCell ref="I46:I47"/>
    <mergeCell ref="J46:J47"/>
    <mergeCell ref="K46:K47"/>
    <mergeCell ref="L46:L47"/>
    <mergeCell ref="M46:M47"/>
    <mergeCell ref="N46:N47"/>
    <mergeCell ref="O46:O47"/>
    <mergeCell ref="X46:X47"/>
    <mergeCell ref="Y46:Y47"/>
    <mergeCell ref="Z46:Z47"/>
    <mergeCell ref="AA46:AA47"/>
    <mergeCell ref="AB46:AB47"/>
    <mergeCell ref="A40:A41"/>
    <mergeCell ref="E40:E41"/>
    <mergeCell ref="H40:H41"/>
    <mergeCell ref="I40:I41"/>
    <mergeCell ref="J40:J41"/>
    <mergeCell ref="K40:K41"/>
    <mergeCell ref="L40:L41"/>
    <mergeCell ref="M40:M41"/>
    <mergeCell ref="N40:N41"/>
    <mergeCell ref="O40:O41"/>
    <mergeCell ref="X40:X41"/>
    <mergeCell ref="Y40:Y41"/>
    <mergeCell ref="Z40:Z41"/>
    <mergeCell ref="AA40:AA41"/>
    <mergeCell ref="AB40:AB41"/>
    <mergeCell ref="A42:A43"/>
    <mergeCell ref="E42:E43"/>
    <mergeCell ref="H42:H43"/>
    <mergeCell ref="I42:I43"/>
    <mergeCell ref="J42:J43"/>
    <mergeCell ref="K42:K43"/>
    <mergeCell ref="L42:L43"/>
    <mergeCell ref="M42:M43"/>
    <mergeCell ref="N42:N43"/>
    <mergeCell ref="O42:O43"/>
    <mergeCell ref="X42:X43"/>
    <mergeCell ref="Y42:Y43"/>
    <mergeCell ref="Z42:Z43"/>
    <mergeCell ref="AA42:AA43"/>
    <mergeCell ref="AB42:AB43"/>
    <mergeCell ref="A36:A37"/>
    <mergeCell ref="E36:E37"/>
    <mergeCell ref="H36:H37"/>
    <mergeCell ref="I36:I37"/>
    <mergeCell ref="J36:J37"/>
    <mergeCell ref="K36:K37"/>
    <mergeCell ref="L36:L37"/>
    <mergeCell ref="M36:M37"/>
    <mergeCell ref="N36:N37"/>
    <mergeCell ref="O36:O37"/>
    <mergeCell ref="X36:X37"/>
    <mergeCell ref="Y36:Y37"/>
    <mergeCell ref="Z36:Z37"/>
    <mergeCell ref="AA36:AA37"/>
    <mergeCell ref="AB36:AB37"/>
    <mergeCell ref="A38:A39"/>
    <mergeCell ref="E38:E39"/>
    <mergeCell ref="H38:H39"/>
    <mergeCell ref="I38:I39"/>
    <mergeCell ref="J38:J39"/>
    <mergeCell ref="K38:K39"/>
    <mergeCell ref="L38:L39"/>
    <mergeCell ref="M38:M39"/>
    <mergeCell ref="N38:N39"/>
    <mergeCell ref="O38:O39"/>
    <mergeCell ref="X38:X39"/>
    <mergeCell ref="Y38:Y39"/>
    <mergeCell ref="Z38:Z39"/>
    <mergeCell ref="AA38:AA39"/>
    <mergeCell ref="AB38:AB39"/>
    <mergeCell ref="A32:A33"/>
    <mergeCell ref="E32:E33"/>
    <mergeCell ref="H32:H33"/>
    <mergeCell ref="I32:I33"/>
    <mergeCell ref="J32:J33"/>
    <mergeCell ref="K32:K33"/>
    <mergeCell ref="L32:L33"/>
    <mergeCell ref="M32:M33"/>
    <mergeCell ref="N32:N33"/>
    <mergeCell ref="O32:O33"/>
    <mergeCell ref="X32:X33"/>
    <mergeCell ref="Y32:Y33"/>
    <mergeCell ref="Z32:Z33"/>
    <mergeCell ref="AA32:AA33"/>
    <mergeCell ref="AB32:AB33"/>
    <mergeCell ref="A34:A35"/>
    <mergeCell ref="E34:E35"/>
    <mergeCell ref="H34:H35"/>
    <mergeCell ref="I34:I35"/>
    <mergeCell ref="J34:J35"/>
    <mergeCell ref="K34:K35"/>
    <mergeCell ref="L34:L35"/>
    <mergeCell ref="M34:M35"/>
    <mergeCell ref="N34:N35"/>
    <mergeCell ref="O34:O35"/>
    <mergeCell ref="X34:X35"/>
    <mergeCell ref="Y34:Y35"/>
    <mergeCell ref="Z34:Z35"/>
    <mergeCell ref="AA34:AA35"/>
    <mergeCell ref="AB34:AB35"/>
    <mergeCell ref="A28:A29"/>
    <mergeCell ref="E28:E29"/>
    <mergeCell ref="H28:H29"/>
    <mergeCell ref="I28:I29"/>
    <mergeCell ref="J28:J29"/>
    <mergeCell ref="K28:K29"/>
    <mergeCell ref="L28:L29"/>
    <mergeCell ref="M28:M29"/>
    <mergeCell ref="N28:N29"/>
    <mergeCell ref="O28:O29"/>
    <mergeCell ref="X28:X29"/>
    <mergeCell ref="Y28:Y29"/>
    <mergeCell ref="Z28:Z29"/>
    <mergeCell ref="AA28:AA29"/>
    <mergeCell ref="AB28:AB29"/>
    <mergeCell ref="A30:A31"/>
    <mergeCell ref="E30:E31"/>
    <mergeCell ref="H30:H31"/>
    <mergeCell ref="I30:I31"/>
    <mergeCell ref="J30:J31"/>
    <mergeCell ref="K30:K31"/>
    <mergeCell ref="L30:L31"/>
    <mergeCell ref="M30:M31"/>
    <mergeCell ref="N30:N31"/>
    <mergeCell ref="O30:O31"/>
    <mergeCell ref="X30:X31"/>
    <mergeCell ref="Y30:Y31"/>
    <mergeCell ref="Z30:Z31"/>
    <mergeCell ref="AA30:AA31"/>
    <mergeCell ref="AB30:AB31"/>
    <mergeCell ref="A24:A25"/>
    <mergeCell ref="E24:E25"/>
    <mergeCell ref="H24:H25"/>
    <mergeCell ref="I24:I25"/>
    <mergeCell ref="J24:J25"/>
    <mergeCell ref="K24:K25"/>
    <mergeCell ref="L24:L25"/>
    <mergeCell ref="M24:M25"/>
    <mergeCell ref="N24:N25"/>
    <mergeCell ref="O24:O25"/>
    <mergeCell ref="X24:X25"/>
    <mergeCell ref="Y24:Y25"/>
    <mergeCell ref="Z24:Z25"/>
    <mergeCell ref="AA24:AA25"/>
    <mergeCell ref="AB24:AB25"/>
    <mergeCell ref="A26:A27"/>
    <mergeCell ref="E26:E27"/>
    <mergeCell ref="H26:H27"/>
    <mergeCell ref="I26:I27"/>
    <mergeCell ref="J26:J27"/>
    <mergeCell ref="K26:K27"/>
    <mergeCell ref="L26:L27"/>
    <mergeCell ref="M26:M27"/>
    <mergeCell ref="N26:N27"/>
    <mergeCell ref="O26:O27"/>
    <mergeCell ref="X26:X27"/>
    <mergeCell ref="Y26:Y27"/>
    <mergeCell ref="Z26:Z27"/>
    <mergeCell ref="AA26:AA27"/>
    <mergeCell ref="AB26:AB27"/>
    <mergeCell ref="A20:A21"/>
    <mergeCell ref="E20:E21"/>
    <mergeCell ref="H20:H21"/>
    <mergeCell ref="I20:I21"/>
    <mergeCell ref="J20:J21"/>
    <mergeCell ref="K20:K21"/>
    <mergeCell ref="L20:L21"/>
    <mergeCell ref="M20:M21"/>
    <mergeCell ref="N20:N21"/>
    <mergeCell ref="O20:O21"/>
    <mergeCell ref="X20:X21"/>
    <mergeCell ref="Y20:Y21"/>
    <mergeCell ref="Z20:Z21"/>
    <mergeCell ref="AA20:AA21"/>
    <mergeCell ref="AB20:AB21"/>
    <mergeCell ref="A22:A23"/>
    <mergeCell ref="E22:E23"/>
    <mergeCell ref="H22:H23"/>
    <mergeCell ref="I22:I23"/>
    <mergeCell ref="J22:J23"/>
    <mergeCell ref="K22:K23"/>
    <mergeCell ref="L22:L23"/>
    <mergeCell ref="M22:M23"/>
    <mergeCell ref="N22:N23"/>
    <mergeCell ref="O22:O23"/>
    <mergeCell ref="X22:X23"/>
    <mergeCell ref="Y22:Y23"/>
    <mergeCell ref="Z22:Z23"/>
    <mergeCell ref="AA22:AA23"/>
    <mergeCell ref="AB22:AB23"/>
    <mergeCell ref="A16:A17"/>
    <mergeCell ref="E16:E17"/>
    <mergeCell ref="H16:H17"/>
    <mergeCell ref="I16:I17"/>
    <mergeCell ref="J16:J17"/>
    <mergeCell ref="K16:K17"/>
    <mergeCell ref="L16:L17"/>
    <mergeCell ref="M16:M17"/>
    <mergeCell ref="N16:N17"/>
    <mergeCell ref="O16:O17"/>
    <mergeCell ref="X16:X17"/>
    <mergeCell ref="Y16:Y17"/>
    <mergeCell ref="Z16:Z17"/>
    <mergeCell ref="AA16:AA17"/>
    <mergeCell ref="AB16:AB17"/>
    <mergeCell ref="A18:A19"/>
    <mergeCell ref="E18:E19"/>
    <mergeCell ref="H18:H19"/>
    <mergeCell ref="I18:I19"/>
    <mergeCell ref="J18:J19"/>
    <mergeCell ref="K18:K19"/>
    <mergeCell ref="L18:L19"/>
    <mergeCell ref="M18:M19"/>
    <mergeCell ref="N18:N19"/>
    <mergeCell ref="O18:O19"/>
    <mergeCell ref="X18:X19"/>
    <mergeCell ref="Y18:Y19"/>
    <mergeCell ref="Z18:Z19"/>
    <mergeCell ref="AA18:AA19"/>
    <mergeCell ref="AB18:AB19"/>
    <mergeCell ref="A12:A13"/>
    <mergeCell ref="E12:E13"/>
    <mergeCell ref="H12:H13"/>
    <mergeCell ref="I12:I13"/>
    <mergeCell ref="J12:J13"/>
    <mergeCell ref="K12:K13"/>
    <mergeCell ref="L12:L13"/>
    <mergeCell ref="M12:M13"/>
    <mergeCell ref="N12:N13"/>
    <mergeCell ref="O12:O13"/>
    <mergeCell ref="X12:X13"/>
    <mergeCell ref="Y12:Y13"/>
    <mergeCell ref="Z12:Z13"/>
    <mergeCell ref="AA12:AA13"/>
    <mergeCell ref="AB12:AB13"/>
    <mergeCell ref="A14:A15"/>
    <mergeCell ref="E14:E15"/>
    <mergeCell ref="H14:H15"/>
    <mergeCell ref="I14:I15"/>
    <mergeCell ref="J14:J15"/>
    <mergeCell ref="K14:K15"/>
    <mergeCell ref="L14:L15"/>
    <mergeCell ref="M14:M15"/>
    <mergeCell ref="N14:N15"/>
    <mergeCell ref="O14:O15"/>
    <mergeCell ref="X14:X15"/>
    <mergeCell ref="Y14:Y15"/>
    <mergeCell ref="Z14:Z15"/>
    <mergeCell ref="AA14:AA15"/>
    <mergeCell ref="AB14:AB15"/>
    <mergeCell ref="X4:X5"/>
    <mergeCell ref="Y4:Y5"/>
    <mergeCell ref="Z4:Z5"/>
    <mergeCell ref="AA4:AA5"/>
    <mergeCell ref="AB4:AB5"/>
    <mergeCell ref="O2:O3"/>
    <mergeCell ref="O4:O5"/>
    <mergeCell ref="O6:O7"/>
    <mergeCell ref="X10:X11"/>
    <mergeCell ref="Y10:Y11"/>
    <mergeCell ref="Z10:Z11"/>
    <mergeCell ref="AA10:AA11"/>
    <mergeCell ref="AB10:AB11"/>
    <mergeCell ref="O10:O11"/>
    <mergeCell ref="A10:A11"/>
    <mergeCell ref="E10:E11"/>
    <mergeCell ref="H10:H11"/>
    <mergeCell ref="N10:N11"/>
    <mergeCell ref="E1:F1"/>
    <mergeCell ref="A2:A3"/>
    <mergeCell ref="E2:E3"/>
    <mergeCell ref="H2:H3"/>
    <mergeCell ref="N2:N3"/>
    <mergeCell ref="X6:X7"/>
    <mergeCell ref="Y6:Y7"/>
    <mergeCell ref="Z6:Z7"/>
    <mergeCell ref="AA6:AA7"/>
    <mergeCell ref="AB6:AB7"/>
    <mergeCell ref="A8:A9"/>
    <mergeCell ref="E8:E9"/>
    <mergeCell ref="H8:H9"/>
    <mergeCell ref="N8:N9"/>
    <mergeCell ref="X8:X9"/>
    <mergeCell ref="Y8:Y9"/>
    <mergeCell ref="Z8:Z9"/>
    <mergeCell ref="AA8:AA9"/>
    <mergeCell ref="AB8:AB9"/>
    <mergeCell ref="A6:A7"/>
    <mergeCell ref="E6:E7"/>
    <mergeCell ref="H6:H7"/>
    <mergeCell ref="N6:N7"/>
    <mergeCell ref="O8:O9"/>
    <mergeCell ref="X2:X3"/>
    <mergeCell ref="Y2:Y3"/>
    <mergeCell ref="Z2:Z3"/>
    <mergeCell ref="AA2:AA3"/>
    <mergeCell ref="AB2:AB3"/>
    <mergeCell ref="A4:A5"/>
    <mergeCell ref="E4:E5"/>
    <mergeCell ref="H4:H5"/>
    <mergeCell ref="N4:N5"/>
  </mergeCells>
  <phoneticPr fontId="13"/>
  <conditionalFormatting sqref="A2:A59">
    <cfRule type="expression" dxfId="1" priority="7">
      <formula>X2&lt;&gt;""</formula>
    </cfRule>
  </conditionalFormatting>
  <pageMargins left="0.70866141732283472" right="0.70866141732283472" top="0.74803149606299213" bottom="0.74803149606299213" header="0.31496062992125984" footer="0.31496062992125984"/>
  <pageSetup paperSize="9" scale="70" fitToWidth="0" orientation="landscape" horizontalDpi="360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B18"/>
  <sheetViews>
    <sheetView showGridLines="0" workbookViewId="0">
      <pane xSplit="7" ySplit="1" topLeftCell="O2" activePane="bottomRight" state="frozen"/>
      <selection pane="topRight" activeCell="J1" sqref="J1"/>
      <selection pane="bottomLeft" activeCell="A2" sqref="A2"/>
      <selection pane="bottomRight" activeCell="R14" sqref="R14"/>
    </sheetView>
  </sheetViews>
  <sheetFormatPr defaultColWidth="9" defaultRowHeight="17.100000000000001" customHeight="1"/>
  <cols>
    <col min="1" max="1" width="10.6640625" customWidth="1"/>
    <col min="2" max="2" width="19.88671875" style="2" bestFit="1" customWidth="1"/>
    <col min="3" max="3" width="15.109375" style="2" bestFit="1" customWidth="1"/>
    <col min="4" max="4" width="10.6640625" style="2" customWidth="1"/>
    <col min="5" max="5" width="3.5546875" style="3" bestFit="1" customWidth="1"/>
    <col min="6" max="6" width="31.5546875" style="4" bestFit="1" customWidth="1"/>
    <col min="7" max="7" width="10.6640625" style="2" bestFit="1" customWidth="1"/>
    <col min="8" max="8" width="7.5546875" style="5" bestFit="1" customWidth="1"/>
    <col min="9" max="9" width="11" bestFit="1" customWidth="1"/>
    <col min="10" max="10" width="9.33203125" bestFit="1" customWidth="1"/>
    <col min="11" max="11" width="8.21875" bestFit="1" customWidth="1"/>
    <col min="12" max="12" width="10.33203125" bestFit="1" customWidth="1"/>
    <col min="13" max="13" width="8.21875" bestFit="1" customWidth="1"/>
    <col min="14" max="14" width="11" bestFit="1" customWidth="1"/>
    <col min="15" max="15" width="16.109375" style="23" bestFit="1" customWidth="1"/>
    <col min="16" max="16" width="22.6640625" bestFit="1" customWidth="1"/>
    <col min="17" max="17" width="5.5546875" style="6" bestFit="1" customWidth="1"/>
    <col min="18" max="18" width="7.109375" style="7" bestFit="1" customWidth="1"/>
    <col min="19" max="19" width="49.44140625" style="113" bestFit="1" customWidth="1"/>
    <col min="20" max="20" width="28.109375" bestFit="1" customWidth="1"/>
    <col min="21" max="21" width="17.6640625" bestFit="1" customWidth="1"/>
    <col min="22" max="23" width="15.109375" style="2" bestFit="1" customWidth="1"/>
    <col min="24" max="24" width="9.33203125" style="8" bestFit="1" customWidth="1"/>
    <col min="25" max="25" width="8.21875" style="8" bestFit="1" customWidth="1"/>
    <col min="26" max="26" width="10.33203125" style="8" bestFit="1" customWidth="1"/>
    <col min="27" max="27" width="9.33203125" style="8" bestFit="1" customWidth="1"/>
    <col min="28" max="28" width="10.77734375" style="9" customWidth="1"/>
  </cols>
  <sheetData>
    <row r="1" spans="1:28" s="1" customFormat="1" ht="17.100000000000001" customHeight="1" thickBot="1">
      <c r="A1" s="10" t="s">
        <v>0</v>
      </c>
      <c r="B1" s="11" t="s">
        <v>1</v>
      </c>
      <c r="C1" s="12" t="s">
        <v>2</v>
      </c>
      <c r="D1" s="11" t="s">
        <v>3</v>
      </c>
      <c r="E1" s="131" t="s">
        <v>4</v>
      </c>
      <c r="F1" s="132"/>
      <c r="G1" s="10" t="s">
        <v>5</v>
      </c>
      <c r="H1" s="11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9" t="s">
        <v>13</v>
      </c>
      <c r="P1" s="10" t="s">
        <v>14</v>
      </c>
      <c r="Q1" s="131" t="s">
        <v>21</v>
      </c>
      <c r="R1" s="132"/>
      <c r="S1" s="132"/>
      <c r="T1" s="10" t="s">
        <v>15</v>
      </c>
      <c r="U1" s="20" t="s">
        <v>16</v>
      </c>
      <c r="V1" s="101" t="s">
        <v>17</v>
      </c>
      <c r="W1" s="10" t="s">
        <v>2</v>
      </c>
      <c r="X1" s="10" t="s">
        <v>7</v>
      </c>
      <c r="Y1" s="10" t="s">
        <v>8</v>
      </c>
      <c r="Z1" s="10" t="s">
        <v>10</v>
      </c>
      <c r="AA1" s="10" t="s">
        <v>12</v>
      </c>
      <c r="AB1" s="11" t="s">
        <v>18</v>
      </c>
    </row>
    <row r="2" spans="1:28" ht="16.5" customHeight="1" thickTop="1">
      <c r="A2" s="147" t="s">
        <v>203</v>
      </c>
      <c r="B2" s="28">
        <v>43192</v>
      </c>
      <c r="C2" s="29" t="s">
        <v>154</v>
      </c>
      <c r="D2" s="13" t="s">
        <v>84</v>
      </c>
      <c r="E2" s="123" t="s">
        <v>155</v>
      </c>
      <c r="F2" s="86" t="s">
        <v>92</v>
      </c>
      <c r="G2" s="42" t="s">
        <v>156</v>
      </c>
      <c r="H2" s="125">
        <v>4</v>
      </c>
      <c r="I2" s="117">
        <v>965000</v>
      </c>
      <c r="J2" s="117">
        <v>77200</v>
      </c>
      <c r="K2" s="117">
        <v>0</v>
      </c>
      <c r="L2" s="117">
        <v>8460</v>
      </c>
      <c r="M2" s="117">
        <v>8640</v>
      </c>
      <c r="N2" s="117">
        <f>SUM(I2:M2)</f>
        <v>1059300</v>
      </c>
      <c r="O2" s="127"/>
      <c r="P2" s="83" t="s">
        <v>157</v>
      </c>
      <c r="Q2" s="15" t="s">
        <v>19</v>
      </c>
      <c r="S2" s="69" t="s">
        <v>108</v>
      </c>
      <c r="T2" s="68" t="s">
        <v>158</v>
      </c>
      <c r="U2" s="21" t="s">
        <v>159</v>
      </c>
      <c r="V2" s="88"/>
      <c r="W2" s="72"/>
      <c r="X2" s="117"/>
      <c r="Y2" s="137">
        <f>X2*0.1</f>
        <v>0</v>
      </c>
      <c r="Z2" s="117"/>
      <c r="AA2" s="117">
        <f>SUM(X2:Z2)</f>
        <v>0</v>
      </c>
      <c r="AB2" s="144"/>
    </row>
    <row r="3" spans="1:28" ht="17.100000000000001" customHeight="1" thickBot="1">
      <c r="A3" s="149"/>
      <c r="B3" s="27" t="s">
        <v>91</v>
      </c>
      <c r="C3" s="27">
        <v>11006</v>
      </c>
      <c r="D3" s="14" t="s">
        <v>88</v>
      </c>
      <c r="E3" s="124"/>
      <c r="F3" s="73" t="s">
        <v>160</v>
      </c>
      <c r="G3" s="43">
        <v>15855</v>
      </c>
      <c r="H3" s="126"/>
      <c r="I3" s="118"/>
      <c r="J3" s="118"/>
      <c r="K3" s="118"/>
      <c r="L3" s="118"/>
      <c r="M3" s="118"/>
      <c r="N3" s="118"/>
      <c r="O3" s="128"/>
      <c r="P3" s="27" t="s">
        <v>161</v>
      </c>
      <c r="Q3" s="16" t="s">
        <v>20</v>
      </c>
      <c r="R3" s="17" t="s">
        <v>110</v>
      </c>
      <c r="S3" s="77" t="s">
        <v>162</v>
      </c>
      <c r="T3" s="76"/>
      <c r="U3" s="22"/>
      <c r="V3" s="87"/>
      <c r="W3" s="78"/>
      <c r="X3" s="118"/>
      <c r="Y3" s="118"/>
      <c r="Z3" s="118"/>
      <c r="AA3" s="118"/>
      <c r="AB3" s="145"/>
    </row>
    <row r="4" spans="1:28" ht="16.5" customHeight="1" thickTop="1">
      <c r="A4" s="147" t="s">
        <v>204</v>
      </c>
      <c r="B4" s="28">
        <v>43497</v>
      </c>
      <c r="C4" s="29"/>
      <c r="D4" s="13" t="s">
        <v>163</v>
      </c>
      <c r="E4" s="123" t="s">
        <v>164</v>
      </c>
      <c r="F4" s="86" t="s">
        <v>165</v>
      </c>
      <c r="G4" s="42" t="s">
        <v>166</v>
      </c>
      <c r="H4" s="125">
        <v>3.5</v>
      </c>
      <c r="I4" s="117">
        <v>405000</v>
      </c>
      <c r="J4" s="117">
        <v>32400</v>
      </c>
      <c r="K4" s="117">
        <v>0</v>
      </c>
      <c r="L4" s="117">
        <v>8510</v>
      </c>
      <c r="M4" s="117">
        <f>45000+3600</f>
        <v>48600</v>
      </c>
      <c r="N4" s="117">
        <f>SUM(I4:M4)</f>
        <v>494510</v>
      </c>
      <c r="O4" s="127"/>
      <c r="P4" s="83" t="s">
        <v>167</v>
      </c>
      <c r="Q4" s="15" t="s">
        <v>19</v>
      </c>
      <c r="S4" s="69" t="s">
        <v>95</v>
      </c>
      <c r="T4" s="68" t="s">
        <v>168</v>
      </c>
      <c r="U4" s="21" t="s">
        <v>169</v>
      </c>
      <c r="V4" s="88"/>
      <c r="W4" s="72"/>
      <c r="X4" s="117"/>
      <c r="Y4" s="137">
        <f>X4*0.1</f>
        <v>0</v>
      </c>
      <c r="Z4" s="117"/>
      <c r="AA4" s="117">
        <f>SUM(X4:Z4)</f>
        <v>0</v>
      </c>
      <c r="AB4" s="144"/>
    </row>
    <row r="5" spans="1:28" ht="17.100000000000001" customHeight="1" thickBot="1">
      <c r="A5" s="149"/>
      <c r="B5" s="27" t="s">
        <v>90</v>
      </c>
      <c r="C5" s="27" t="s">
        <v>170</v>
      </c>
      <c r="D5" s="14" t="s">
        <v>85</v>
      </c>
      <c r="E5" s="124"/>
      <c r="F5" s="73" t="s">
        <v>171</v>
      </c>
      <c r="G5" s="43">
        <v>16923</v>
      </c>
      <c r="H5" s="126"/>
      <c r="I5" s="118"/>
      <c r="J5" s="118"/>
      <c r="K5" s="118"/>
      <c r="L5" s="118"/>
      <c r="M5" s="118"/>
      <c r="N5" s="118"/>
      <c r="O5" s="128"/>
      <c r="P5" s="27" t="s">
        <v>172</v>
      </c>
      <c r="Q5" s="16" t="s">
        <v>20</v>
      </c>
      <c r="R5" s="17" t="s">
        <v>107</v>
      </c>
      <c r="S5" s="77" t="s">
        <v>173</v>
      </c>
      <c r="T5" s="76"/>
      <c r="U5" s="22"/>
      <c r="V5" s="87"/>
      <c r="W5" s="78"/>
      <c r="X5" s="118"/>
      <c r="Y5" s="118"/>
      <c r="Z5" s="118"/>
      <c r="AA5" s="118"/>
      <c r="AB5" s="145"/>
    </row>
    <row r="6" spans="1:28" ht="17.100000000000001" customHeight="1" thickTop="1">
      <c r="A6" s="147" t="s">
        <v>205</v>
      </c>
      <c r="B6" s="28">
        <v>44794</v>
      </c>
      <c r="C6" s="25"/>
      <c r="D6" s="13" t="s">
        <v>128</v>
      </c>
      <c r="E6" s="123" t="s">
        <v>174</v>
      </c>
      <c r="F6" s="65" t="s">
        <v>175</v>
      </c>
      <c r="G6" s="24" t="s">
        <v>176</v>
      </c>
      <c r="H6" s="125"/>
      <c r="I6" s="117">
        <v>2894870</v>
      </c>
      <c r="J6" s="117"/>
      <c r="K6" s="117"/>
      <c r="L6" s="117"/>
      <c r="M6" s="117"/>
      <c r="N6" s="117">
        <f>SUM(I6:M6)</f>
        <v>2894870</v>
      </c>
      <c r="O6" s="127">
        <v>2000000</v>
      </c>
      <c r="P6" s="67" t="s">
        <v>177</v>
      </c>
      <c r="Q6" s="15" t="s">
        <v>19</v>
      </c>
      <c r="S6" s="69" t="s">
        <v>178</v>
      </c>
      <c r="T6" s="70" t="s">
        <v>179</v>
      </c>
      <c r="U6" s="21" t="s">
        <v>180</v>
      </c>
      <c r="V6" s="71"/>
      <c r="W6" s="72"/>
      <c r="X6" s="117"/>
      <c r="Y6" s="137">
        <f>X6*0.1</f>
        <v>0</v>
      </c>
      <c r="Z6" s="117"/>
      <c r="AA6" s="117">
        <f>SUM(X6:Z6)</f>
        <v>0</v>
      </c>
      <c r="AB6" s="144"/>
    </row>
    <row r="7" spans="1:28" ht="17.100000000000001" customHeight="1" thickBot="1">
      <c r="A7" s="149"/>
      <c r="B7" s="27" t="s">
        <v>181</v>
      </c>
      <c r="C7" s="27"/>
      <c r="D7" s="14" t="s">
        <v>132</v>
      </c>
      <c r="E7" s="124"/>
      <c r="F7" s="73" t="s">
        <v>182</v>
      </c>
      <c r="G7" s="26">
        <v>34800</v>
      </c>
      <c r="H7" s="126"/>
      <c r="I7" s="118"/>
      <c r="J7" s="118"/>
      <c r="K7" s="118"/>
      <c r="L7" s="118"/>
      <c r="M7" s="118"/>
      <c r="N7" s="118"/>
      <c r="O7" s="128"/>
      <c r="P7" s="75" t="s">
        <v>183</v>
      </c>
      <c r="Q7" s="16" t="s">
        <v>20</v>
      </c>
      <c r="R7" s="17"/>
      <c r="S7" s="77" t="s">
        <v>125</v>
      </c>
      <c r="T7" s="78" t="s">
        <v>184</v>
      </c>
      <c r="U7" s="22" t="s">
        <v>138</v>
      </c>
      <c r="V7" s="79"/>
      <c r="W7" s="78"/>
      <c r="X7" s="118"/>
      <c r="Y7" s="118"/>
      <c r="Z7" s="118"/>
      <c r="AA7" s="118"/>
      <c r="AB7" s="145"/>
    </row>
    <row r="8" spans="1:28" ht="17.100000000000001" customHeight="1" thickTop="1">
      <c r="A8" s="147" t="s">
        <v>206</v>
      </c>
      <c r="B8" s="28">
        <v>42934</v>
      </c>
      <c r="C8" s="29" t="s">
        <v>185</v>
      </c>
      <c r="D8" s="13" t="s">
        <v>87</v>
      </c>
      <c r="E8" s="143" t="s">
        <v>201</v>
      </c>
      <c r="F8" s="86" t="s">
        <v>186</v>
      </c>
      <c r="G8" s="24" t="s">
        <v>187</v>
      </c>
      <c r="H8" s="125">
        <v>4.5</v>
      </c>
      <c r="I8" s="117">
        <v>1470000</v>
      </c>
      <c r="J8" s="117">
        <v>117600</v>
      </c>
      <c r="K8" s="117">
        <v>26300</v>
      </c>
      <c r="L8" s="117">
        <v>18890</v>
      </c>
      <c r="M8" s="117">
        <v>12960</v>
      </c>
      <c r="N8" s="117">
        <f>SUM(I8:M8)</f>
        <v>1645750</v>
      </c>
      <c r="O8" s="127">
        <v>400000</v>
      </c>
      <c r="P8" s="85" t="s">
        <v>188</v>
      </c>
      <c r="Q8" s="15" t="s">
        <v>19</v>
      </c>
      <c r="S8" s="108"/>
      <c r="T8" s="70" t="s">
        <v>189</v>
      </c>
      <c r="U8" s="21" t="s">
        <v>190</v>
      </c>
      <c r="V8" s="88">
        <v>45952</v>
      </c>
      <c r="W8" s="72">
        <v>989</v>
      </c>
      <c r="X8" s="117">
        <v>466000</v>
      </c>
      <c r="Y8" s="137">
        <f>X8*0.1</f>
        <v>46600</v>
      </c>
      <c r="Z8" s="117">
        <v>18890</v>
      </c>
      <c r="AA8" s="117">
        <f>SUM(X8:Z8)</f>
        <v>531490</v>
      </c>
      <c r="AB8" s="146">
        <v>45957</v>
      </c>
    </row>
    <row r="9" spans="1:28" ht="17.100000000000001" customHeight="1" thickBot="1">
      <c r="A9" s="149"/>
      <c r="B9" s="27" t="s">
        <v>79</v>
      </c>
      <c r="C9" s="27">
        <v>84017</v>
      </c>
      <c r="D9" s="14" t="s">
        <v>82</v>
      </c>
      <c r="E9" s="142"/>
      <c r="F9" s="73" t="s">
        <v>191</v>
      </c>
      <c r="G9" s="26">
        <v>59700</v>
      </c>
      <c r="H9" s="126"/>
      <c r="I9" s="118"/>
      <c r="J9" s="118"/>
      <c r="K9" s="118"/>
      <c r="L9" s="118"/>
      <c r="M9" s="118"/>
      <c r="N9" s="118"/>
      <c r="O9" s="128"/>
      <c r="P9" s="76" t="s">
        <v>192</v>
      </c>
      <c r="Q9" s="16" t="s">
        <v>20</v>
      </c>
      <c r="R9" s="41"/>
      <c r="S9" s="77" t="s">
        <v>80</v>
      </c>
      <c r="T9" s="78" t="s">
        <v>193</v>
      </c>
      <c r="U9" s="22" t="s">
        <v>138</v>
      </c>
      <c r="V9" s="87" t="s">
        <v>134</v>
      </c>
      <c r="W9" s="78">
        <v>10262</v>
      </c>
      <c r="X9" s="118"/>
      <c r="Y9" s="118"/>
      <c r="Z9" s="118"/>
      <c r="AA9" s="118"/>
      <c r="AB9" s="145"/>
    </row>
    <row r="10" spans="1:28" s="44" customFormat="1" ht="17.100000000000001" customHeight="1" thickTop="1">
      <c r="A10" s="130" t="s">
        <v>207</v>
      </c>
      <c r="B10" s="28">
        <v>44600</v>
      </c>
      <c r="C10" s="25">
        <v>730</v>
      </c>
      <c r="D10" s="13" t="s">
        <v>122</v>
      </c>
      <c r="E10" s="143" t="s">
        <v>202</v>
      </c>
      <c r="F10" s="65" t="s">
        <v>194</v>
      </c>
      <c r="G10" s="24" t="s">
        <v>195</v>
      </c>
      <c r="H10" s="125">
        <v>4</v>
      </c>
      <c r="I10" s="117">
        <v>1035000</v>
      </c>
      <c r="J10" s="117">
        <v>103500</v>
      </c>
      <c r="K10" s="117">
        <v>0</v>
      </c>
      <c r="L10" s="117">
        <v>17490</v>
      </c>
      <c r="M10" s="117">
        <v>15950</v>
      </c>
      <c r="N10" s="117">
        <f>SUM(I10:M11)</f>
        <v>1171940</v>
      </c>
      <c r="O10" s="127">
        <v>650000</v>
      </c>
      <c r="P10" s="67" t="s">
        <v>196</v>
      </c>
      <c r="Q10" s="15" t="s">
        <v>19</v>
      </c>
      <c r="R10" s="110"/>
      <c r="S10" s="105"/>
      <c r="T10" s="70" t="s">
        <v>197</v>
      </c>
      <c r="U10" s="21" t="s">
        <v>198</v>
      </c>
      <c r="V10" s="71">
        <v>46064</v>
      </c>
      <c r="W10" s="72">
        <v>1004</v>
      </c>
      <c r="X10" s="117">
        <v>206000</v>
      </c>
      <c r="Y10" s="137">
        <f>X10*0.1</f>
        <v>20600</v>
      </c>
      <c r="Z10" s="117">
        <v>17490</v>
      </c>
      <c r="AA10" s="117">
        <f>SUM(X10:Z10)</f>
        <v>244090</v>
      </c>
      <c r="AB10" s="138">
        <v>46069</v>
      </c>
    </row>
    <row r="11" spans="1:28" s="44" customFormat="1" ht="17.100000000000001" customHeight="1" thickBot="1">
      <c r="A11" s="150"/>
      <c r="B11" s="27" t="s">
        <v>133</v>
      </c>
      <c r="C11" s="27">
        <v>5016</v>
      </c>
      <c r="D11" s="14" t="s">
        <v>121</v>
      </c>
      <c r="E11" s="142"/>
      <c r="F11" s="73" t="s">
        <v>199</v>
      </c>
      <c r="G11" s="26">
        <v>46355</v>
      </c>
      <c r="H11" s="126"/>
      <c r="I11" s="118"/>
      <c r="J11" s="118"/>
      <c r="K11" s="118"/>
      <c r="L11" s="118"/>
      <c r="M11" s="118"/>
      <c r="N11" s="118"/>
      <c r="O11" s="128"/>
      <c r="P11" s="75" t="s">
        <v>147</v>
      </c>
      <c r="Q11" s="16" t="s">
        <v>20</v>
      </c>
      <c r="R11" s="17" t="s">
        <v>139</v>
      </c>
      <c r="S11" s="77"/>
      <c r="T11" s="78" t="s">
        <v>200</v>
      </c>
      <c r="U11" s="22"/>
      <c r="V11" s="79" t="s">
        <v>134</v>
      </c>
      <c r="W11" s="78">
        <v>10021</v>
      </c>
      <c r="X11" s="118"/>
      <c r="Y11" s="118"/>
      <c r="Z11" s="118"/>
      <c r="AA11" s="118"/>
      <c r="AB11" s="139"/>
    </row>
    <row r="12" spans="1:28" ht="17.100000000000001" customHeight="1" thickTop="1">
      <c r="A12" s="147" t="s">
        <v>295</v>
      </c>
      <c r="B12" s="28">
        <v>44148</v>
      </c>
      <c r="C12" s="29" t="s">
        <v>109</v>
      </c>
      <c r="D12" s="13" t="s">
        <v>83</v>
      </c>
      <c r="E12" s="123" t="s">
        <v>296</v>
      </c>
      <c r="F12" s="86" t="s">
        <v>112</v>
      </c>
      <c r="G12" s="24"/>
      <c r="H12" s="125">
        <v>4</v>
      </c>
      <c r="I12" s="117">
        <v>1494000</v>
      </c>
      <c r="J12" s="117">
        <v>149400</v>
      </c>
      <c r="K12" s="117">
        <v>0</v>
      </c>
      <c r="L12" s="117">
        <v>14590</v>
      </c>
      <c r="M12" s="117">
        <v>22000</v>
      </c>
      <c r="N12" s="117">
        <f>SUM(I12:M12)</f>
        <v>1679990</v>
      </c>
      <c r="O12" s="127">
        <v>700000</v>
      </c>
      <c r="P12" s="84" t="s">
        <v>113</v>
      </c>
      <c r="Q12" s="15" t="s">
        <v>19</v>
      </c>
      <c r="S12" s="69" t="s">
        <v>94</v>
      </c>
      <c r="T12" s="70" t="s">
        <v>297</v>
      </c>
      <c r="U12" s="21" t="s">
        <v>299</v>
      </c>
      <c r="V12" s="71"/>
      <c r="W12" s="72"/>
      <c r="X12" s="117"/>
      <c r="Y12" s="137">
        <f>X12*0.1</f>
        <v>0</v>
      </c>
      <c r="Z12" s="117"/>
      <c r="AA12" s="117">
        <f>SUM(X12:Z12)</f>
        <v>0</v>
      </c>
      <c r="AB12" s="138"/>
    </row>
    <row r="13" spans="1:28" ht="17.100000000000001" customHeight="1" thickBot="1">
      <c r="A13" s="149"/>
      <c r="B13" s="27" t="s">
        <v>111</v>
      </c>
      <c r="C13" s="27">
        <v>40096</v>
      </c>
      <c r="D13" s="14" t="s">
        <v>93</v>
      </c>
      <c r="E13" s="124"/>
      <c r="F13" s="73" t="s">
        <v>114</v>
      </c>
      <c r="G13" s="26">
        <v>36584</v>
      </c>
      <c r="H13" s="126"/>
      <c r="I13" s="118"/>
      <c r="J13" s="118"/>
      <c r="K13" s="118"/>
      <c r="L13" s="118"/>
      <c r="M13" s="118"/>
      <c r="N13" s="118"/>
      <c r="O13" s="128"/>
      <c r="P13" s="75" t="s">
        <v>115</v>
      </c>
      <c r="Q13" s="16" t="s">
        <v>20</v>
      </c>
      <c r="R13" s="17" t="s">
        <v>116</v>
      </c>
      <c r="S13" s="77" t="s">
        <v>117</v>
      </c>
      <c r="T13" s="78" t="s">
        <v>298</v>
      </c>
      <c r="U13" s="22"/>
      <c r="V13" s="79"/>
      <c r="W13" s="78"/>
      <c r="X13" s="118"/>
      <c r="Y13" s="118"/>
      <c r="Z13" s="118"/>
      <c r="AA13" s="118"/>
      <c r="AB13" s="139"/>
    </row>
    <row r="14" spans="1:28" ht="17.100000000000001" customHeight="1" thickTop="1">
      <c r="A14" s="147" t="s">
        <v>316</v>
      </c>
      <c r="B14" s="28">
        <v>43840</v>
      </c>
      <c r="C14" s="29" t="s">
        <v>98</v>
      </c>
      <c r="D14" s="13" t="s">
        <v>99</v>
      </c>
      <c r="E14" s="123" t="s">
        <v>317</v>
      </c>
      <c r="F14" s="86" t="s">
        <v>100</v>
      </c>
      <c r="G14" s="24" t="s">
        <v>101</v>
      </c>
      <c r="H14" s="125">
        <v>4.5</v>
      </c>
      <c r="I14" s="117">
        <v>1550000</v>
      </c>
      <c r="J14" s="117">
        <v>155000</v>
      </c>
      <c r="K14" s="117">
        <v>6500</v>
      </c>
      <c r="L14" s="117">
        <v>20420</v>
      </c>
      <c r="M14" s="117">
        <v>24200</v>
      </c>
      <c r="N14" s="117">
        <f>SUM(I14:M14)</f>
        <v>1756120</v>
      </c>
      <c r="O14" s="127">
        <v>1100000</v>
      </c>
      <c r="P14" s="84" t="s">
        <v>102</v>
      </c>
      <c r="Q14" s="15" t="s">
        <v>19</v>
      </c>
      <c r="S14" s="69" t="s">
        <v>103</v>
      </c>
      <c r="T14" s="109" t="s">
        <v>318</v>
      </c>
      <c r="U14" s="21" t="s">
        <v>320</v>
      </c>
      <c r="V14" s="71"/>
      <c r="W14" s="72"/>
      <c r="X14" s="117"/>
      <c r="Y14" s="137">
        <f>X14*0.1</f>
        <v>0</v>
      </c>
      <c r="Z14" s="117"/>
      <c r="AA14" s="117">
        <f>SUM(X14:Z14)</f>
        <v>0</v>
      </c>
      <c r="AB14" s="138"/>
    </row>
    <row r="15" spans="1:28" ht="17.100000000000001" customHeight="1" thickBot="1">
      <c r="A15" s="149"/>
      <c r="B15" s="27" t="s">
        <v>81</v>
      </c>
      <c r="C15" s="27">
        <v>20624</v>
      </c>
      <c r="D15" s="14" t="s">
        <v>82</v>
      </c>
      <c r="E15" s="124"/>
      <c r="F15" s="73" t="s">
        <v>104</v>
      </c>
      <c r="G15" s="26">
        <v>39896</v>
      </c>
      <c r="H15" s="126"/>
      <c r="I15" s="118"/>
      <c r="J15" s="118"/>
      <c r="K15" s="118"/>
      <c r="L15" s="118"/>
      <c r="M15" s="118"/>
      <c r="N15" s="118"/>
      <c r="O15" s="128"/>
      <c r="P15" s="75" t="s">
        <v>105</v>
      </c>
      <c r="Q15" s="16" t="s">
        <v>20</v>
      </c>
      <c r="R15" s="17" t="s">
        <v>89</v>
      </c>
      <c r="S15" s="77" t="s">
        <v>106</v>
      </c>
      <c r="T15" s="78" t="s">
        <v>319</v>
      </c>
      <c r="U15" s="22"/>
      <c r="V15" s="79"/>
      <c r="W15" s="78"/>
      <c r="X15" s="118"/>
      <c r="Y15" s="118"/>
      <c r="Z15" s="118"/>
      <c r="AA15" s="118"/>
      <c r="AB15" s="139"/>
    </row>
    <row r="16" spans="1:28" ht="17.100000000000001" customHeight="1" thickTop="1">
      <c r="A16" s="147"/>
      <c r="B16" s="28"/>
      <c r="C16" s="25"/>
      <c r="D16" s="13"/>
      <c r="E16" s="123"/>
      <c r="F16" s="86"/>
      <c r="G16" s="24"/>
      <c r="H16" s="125"/>
      <c r="I16" s="117"/>
      <c r="J16" s="117"/>
      <c r="K16" s="117"/>
      <c r="L16" s="117"/>
      <c r="M16" s="117"/>
      <c r="N16" s="117">
        <f>SUM(I16:M16)</f>
        <v>0</v>
      </c>
      <c r="O16" s="127"/>
      <c r="P16" s="84"/>
      <c r="Q16" s="15" t="s">
        <v>19</v>
      </c>
      <c r="R16" s="110"/>
      <c r="S16" s="105"/>
      <c r="T16" s="70"/>
      <c r="U16" s="21"/>
      <c r="V16" s="71"/>
      <c r="W16" s="72"/>
      <c r="X16" s="117"/>
      <c r="Y16" s="117"/>
      <c r="Z16" s="117"/>
      <c r="AA16" s="117">
        <f>SUM(X16:Z16)</f>
        <v>0</v>
      </c>
      <c r="AB16" s="144"/>
    </row>
    <row r="17" spans="1:28" ht="17.100000000000001" customHeight="1" thickBot="1">
      <c r="A17" s="148"/>
      <c r="B17" s="27"/>
      <c r="C17" s="27"/>
      <c r="D17" s="14"/>
      <c r="E17" s="124"/>
      <c r="F17" s="73"/>
      <c r="G17" s="26"/>
      <c r="H17" s="126"/>
      <c r="I17" s="118"/>
      <c r="J17" s="118"/>
      <c r="K17" s="118"/>
      <c r="L17" s="118"/>
      <c r="M17" s="118"/>
      <c r="N17" s="118"/>
      <c r="O17" s="128"/>
      <c r="P17" s="75"/>
      <c r="Q17" s="16" t="s">
        <v>20</v>
      </c>
      <c r="R17" s="17"/>
      <c r="S17" s="77"/>
      <c r="T17" s="78"/>
      <c r="U17" s="22"/>
      <c r="V17" s="79"/>
      <c r="W17" s="78"/>
      <c r="X17" s="118"/>
      <c r="Y17" s="118"/>
      <c r="Z17" s="118"/>
      <c r="AA17" s="118"/>
      <c r="AB17" s="145"/>
    </row>
    <row r="18" spans="1:28" ht="17.100000000000001" customHeight="1" thickTop="1"/>
  </sheetData>
  <sheetProtection selectLockedCells="1" selectUnlockedCells="1"/>
  <mergeCells count="122">
    <mergeCell ref="E1:F1"/>
    <mergeCell ref="Q1:S1"/>
    <mergeCell ref="O10:O11"/>
    <mergeCell ref="O14:O15"/>
    <mergeCell ref="O16:O17"/>
    <mergeCell ref="I2:I3"/>
    <mergeCell ref="J2:J3"/>
    <mergeCell ref="K2:K3"/>
    <mergeCell ref="L2:L3"/>
    <mergeCell ref="M2:M3"/>
    <mergeCell ref="N2:N3"/>
    <mergeCell ref="M10:M11"/>
    <mergeCell ref="N10:N11"/>
    <mergeCell ref="X4:X5"/>
    <mergeCell ref="O2:O3"/>
    <mergeCell ref="O4:O5"/>
    <mergeCell ref="O6:O7"/>
    <mergeCell ref="O8:O9"/>
    <mergeCell ref="M8:M9"/>
    <mergeCell ref="N8:N9"/>
    <mergeCell ref="I16:I17"/>
    <mergeCell ref="J16:J17"/>
    <mergeCell ref="K16:K17"/>
    <mergeCell ref="L16:L17"/>
    <mergeCell ref="M16:M17"/>
    <mergeCell ref="N16:N17"/>
    <mergeCell ref="H14:H15"/>
    <mergeCell ref="M14:M15"/>
    <mergeCell ref="N14:N15"/>
    <mergeCell ref="I14:I15"/>
    <mergeCell ref="J14:J15"/>
    <mergeCell ref="K14:K15"/>
    <mergeCell ref="L14:L15"/>
    <mergeCell ref="I8:I9"/>
    <mergeCell ref="J8:J9"/>
    <mergeCell ref="K8:K9"/>
    <mergeCell ref="A10:A11"/>
    <mergeCell ref="E10:E11"/>
    <mergeCell ref="A14:A15"/>
    <mergeCell ref="E14:E15"/>
    <mergeCell ref="L8:L9"/>
    <mergeCell ref="H8:H9"/>
    <mergeCell ref="I10:I11"/>
    <mergeCell ref="J10:J11"/>
    <mergeCell ref="K10:K11"/>
    <mergeCell ref="L10:L11"/>
    <mergeCell ref="H12:H13"/>
    <mergeCell ref="I12:I13"/>
    <mergeCell ref="J12:J13"/>
    <mergeCell ref="K12:K13"/>
    <mergeCell ref="L12:L13"/>
    <mergeCell ref="A16:A17"/>
    <mergeCell ref="E16:E17"/>
    <mergeCell ref="H10:H11"/>
    <mergeCell ref="A6:A7"/>
    <mergeCell ref="A8:A9"/>
    <mergeCell ref="E2:E3"/>
    <mergeCell ref="E4:E5"/>
    <mergeCell ref="E6:E7"/>
    <mergeCell ref="E8:E9"/>
    <mergeCell ref="A2:A3"/>
    <mergeCell ref="A4:A5"/>
    <mergeCell ref="H2:H3"/>
    <mergeCell ref="H16:H17"/>
    <mergeCell ref="A12:A13"/>
    <mergeCell ref="E12:E13"/>
    <mergeCell ref="I6:I7"/>
    <mergeCell ref="J6:J7"/>
    <mergeCell ref="K6:K7"/>
    <mergeCell ref="L6:L7"/>
    <mergeCell ref="M6:M7"/>
    <mergeCell ref="N6:N7"/>
    <mergeCell ref="H4:H5"/>
    <mergeCell ref="I4:I5"/>
    <mergeCell ref="J4:J5"/>
    <mergeCell ref="K4:K5"/>
    <mergeCell ref="L4:L5"/>
    <mergeCell ref="M4:M5"/>
    <mergeCell ref="N4:N5"/>
    <mergeCell ref="H6:H7"/>
    <mergeCell ref="AB16:AB17"/>
    <mergeCell ref="AA16:AA17"/>
    <mergeCell ref="AB2:AB3"/>
    <mergeCell ref="AA4:AA5"/>
    <mergeCell ref="AB4:AB5"/>
    <mergeCell ref="Y4:Y5"/>
    <mergeCell ref="Z4:Z5"/>
    <mergeCell ref="X2:X3"/>
    <mergeCell ref="Y2:Y3"/>
    <mergeCell ref="Z2:Z3"/>
    <mergeCell ref="AB6:AB7"/>
    <mergeCell ref="AA8:AA9"/>
    <mergeCell ref="AB8:AB9"/>
    <mergeCell ref="X8:X9"/>
    <mergeCell ref="Y8:Y9"/>
    <mergeCell ref="Z8:Z9"/>
    <mergeCell ref="X6:X7"/>
    <mergeCell ref="Y6:Y7"/>
    <mergeCell ref="Z6:Z7"/>
    <mergeCell ref="AA6:AA7"/>
    <mergeCell ref="AA2:AA3"/>
    <mergeCell ref="X16:X17"/>
    <mergeCell ref="Y16:Y17"/>
    <mergeCell ref="Z16:Z17"/>
    <mergeCell ref="AB12:AB13"/>
    <mergeCell ref="M12:M13"/>
    <mergeCell ref="N12:N13"/>
    <mergeCell ref="O12:O13"/>
    <mergeCell ref="X12:X13"/>
    <mergeCell ref="AB10:AB11"/>
    <mergeCell ref="AA14:AA15"/>
    <mergeCell ref="AB14:AB15"/>
    <mergeCell ref="X10:X11"/>
    <mergeCell ref="Y10:Y11"/>
    <mergeCell ref="Z10:Z11"/>
    <mergeCell ref="Y14:Y15"/>
    <mergeCell ref="Z14:Z15"/>
    <mergeCell ref="AA10:AA11"/>
    <mergeCell ref="X14:X15"/>
    <mergeCell ref="Y12:Y13"/>
    <mergeCell ref="Z12:Z13"/>
    <mergeCell ref="AA12:AA13"/>
  </mergeCells>
  <phoneticPr fontId="13"/>
  <conditionalFormatting sqref="A2:A15">
    <cfRule type="expression" dxfId="0" priority="4">
      <formula>X2&lt;&gt;""</formula>
    </cfRule>
  </conditionalFormatting>
  <pageMargins left="0.69930555555555596" right="0.69930555555555596" top="0.75" bottom="0.75" header="0.3" footer="0.3"/>
  <pageSetup paperSize="9" scale="27" fitToHeight="0" orientation="landscape" horizontalDpi="360" verticalDpi="36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3"/>
  <sheetViews>
    <sheetView workbookViewId="0">
      <selection activeCell="Q14" sqref="Q14"/>
    </sheetView>
  </sheetViews>
  <sheetFormatPr defaultColWidth="8.88671875" defaultRowHeight="13.2"/>
  <cols>
    <col min="1" max="1" width="16.6640625" style="47" customWidth="1"/>
    <col min="2" max="2" width="17.6640625" style="47" customWidth="1"/>
    <col min="3" max="4" width="8.6640625" style="47" customWidth="1"/>
    <col min="5" max="5" width="10.6640625" style="47" customWidth="1"/>
    <col min="6" max="6" width="17.6640625" style="47" customWidth="1"/>
    <col min="7" max="7" width="13.33203125" style="47" customWidth="1"/>
    <col min="8" max="8" width="9.88671875" style="47" customWidth="1"/>
    <col min="9" max="9" width="16.44140625" style="47" customWidth="1"/>
    <col min="10" max="16384" width="8.88671875" style="47"/>
  </cols>
  <sheetData>
    <row r="1" spans="1:9" ht="18" customHeight="1" thickBot="1">
      <c r="A1" s="45" t="s">
        <v>22</v>
      </c>
      <c r="B1" s="45" t="s">
        <v>23</v>
      </c>
      <c r="C1" s="45" t="s">
        <v>24</v>
      </c>
      <c r="D1" s="45" t="s">
        <v>25</v>
      </c>
      <c r="E1" s="45" t="s">
        <v>26</v>
      </c>
      <c r="F1" s="46" t="s">
        <v>27</v>
      </c>
      <c r="G1" s="45" t="s">
        <v>288</v>
      </c>
      <c r="H1" s="45" t="s">
        <v>289</v>
      </c>
      <c r="I1" s="45" t="s">
        <v>303</v>
      </c>
    </row>
    <row r="2" spans="1:9" ht="18" customHeight="1">
      <c r="A2" s="48" t="s">
        <v>208</v>
      </c>
      <c r="B2" s="49" t="s">
        <v>209</v>
      </c>
      <c r="C2" s="50" t="s">
        <v>210</v>
      </c>
      <c r="D2" s="49" t="s">
        <v>211</v>
      </c>
      <c r="E2" s="50" t="s">
        <v>212</v>
      </c>
      <c r="F2" s="51" t="s">
        <v>213</v>
      </c>
      <c r="G2" s="52"/>
      <c r="H2" s="53"/>
      <c r="I2" s="54"/>
    </row>
    <row r="3" spans="1:9" ht="18" customHeight="1">
      <c r="A3" s="48" t="s">
        <v>214</v>
      </c>
      <c r="B3" s="49" t="s">
        <v>215</v>
      </c>
      <c r="C3" s="50" t="s">
        <v>148</v>
      </c>
      <c r="D3" s="49" t="s">
        <v>124</v>
      </c>
      <c r="E3" s="50" t="s">
        <v>216</v>
      </c>
      <c r="F3" s="51" t="s">
        <v>217</v>
      </c>
      <c r="G3" s="50"/>
      <c r="H3" s="55"/>
      <c r="I3" s="56"/>
    </row>
    <row r="4" spans="1:9" ht="18" customHeight="1">
      <c r="A4" s="48" t="s">
        <v>208</v>
      </c>
      <c r="B4" s="49" t="s">
        <v>218</v>
      </c>
      <c r="C4" s="50" t="s">
        <v>126</v>
      </c>
      <c r="D4" s="49" t="s">
        <v>141</v>
      </c>
      <c r="E4" s="50" t="s">
        <v>219</v>
      </c>
      <c r="F4" s="51" t="s">
        <v>220</v>
      </c>
      <c r="G4" s="50"/>
      <c r="H4" s="57"/>
      <c r="I4" s="49"/>
    </row>
    <row r="5" spans="1:9" ht="18" customHeight="1">
      <c r="A5" s="60" t="s">
        <v>221</v>
      </c>
      <c r="B5" s="60" t="s">
        <v>222</v>
      </c>
      <c r="C5" s="61" t="s">
        <v>223</v>
      </c>
      <c r="D5" s="60" t="s">
        <v>224</v>
      </c>
      <c r="E5" s="61" t="s">
        <v>225</v>
      </c>
      <c r="F5" s="62" t="s">
        <v>226</v>
      </c>
      <c r="G5" s="61" t="s">
        <v>227</v>
      </c>
      <c r="H5" s="64"/>
      <c r="I5" s="63" t="s">
        <v>311</v>
      </c>
    </row>
    <row r="6" spans="1:9" ht="18" customHeight="1">
      <c r="A6" s="58" t="s">
        <v>228</v>
      </c>
      <c r="B6" s="49" t="s">
        <v>229</v>
      </c>
      <c r="C6" s="50" t="s">
        <v>127</v>
      </c>
      <c r="D6" s="49" t="s">
        <v>132</v>
      </c>
      <c r="E6" s="50" t="s">
        <v>230</v>
      </c>
      <c r="F6" s="51" t="s">
        <v>231</v>
      </c>
      <c r="G6" s="50"/>
      <c r="H6" s="57"/>
      <c r="I6" s="49"/>
    </row>
    <row r="7" spans="1:9" ht="18" customHeight="1">
      <c r="A7" s="60" t="s">
        <v>235</v>
      </c>
      <c r="B7" s="60" t="s">
        <v>236</v>
      </c>
      <c r="C7" s="61" t="s">
        <v>237</v>
      </c>
      <c r="D7" s="60" t="s">
        <v>97</v>
      </c>
      <c r="E7" s="61" t="s">
        <v>238</v>
      </c>
      <c r="F7" s="62" t="s">
        <v>239</v>
      </c>
      <c r="G7" s="61"/>
      <c r="H7" s="60" t="s">
        <v>138</v>
      </c>
      <c r="I7" s="63" t="s">
        <v>324</v>
      </c>
    </row>
    <row r="8" spans="1:9" ht="18" customHeight="1">
      <c r="A8" s="58" t="s">
        <v>234</v>
      </c>
      <c r="B8" s="49" t="s">
        <v>240</v>
      </c>
      <c r="C8" s="50" t="s">
        <v>130</v>
      </c>
      <c r="D8" s="49" t="s">
        <v>132</v>
      </c>
      <c r="E8" s="50" t="s">
        <v>241</v>
      </c>
      <c r="F8" s="51" t="s">
        <v>242</v>
      </c>
      <c r="G8" s="50"/>
      <c r="H8" s="57"/>
      <c r="I8" s="49"/>
    </row>
    <row r="9" spans="1:9" ht="18" customHeight="1">
      <c r="A9" s="60" t="s">
        <v>243</v>
      </c>
      <c r="B9" s="60" t="s">
        <v>244</v>
      </c>
      <c r="C9" s="61" t="s">
        <v>145</v>
      </c>
      <c r="D9" s="60"/>
      <c r="E9" s="61" t="s">
        <v>150</v>
      </c>
      <c r="F9" s="62" t="s">
        <v>245</v>
      </c>
      <c r="G9" s="61"/>
      <c r="H9" s="60" t="s">
        <v>138</v>
      </c>
      <c r="I9" s="63" t="s">
        <v>302</v>
      </c>
    </row>
    <row r="10" spans="1:9" ht="18" customHeight="1">
      <c r="A10" s="60" t="s">
        <v>246</v>
      </c>
      <c r="B10" s="60" t="s">
        <v>247</v>
      </c>
      <c r="C10" s="61" t="s">
        <v>96</v>
      </c>
      <c r="D10" s="60" t="s">
        <v>120</v>
      </c>
      <c r="E10" s="61" t="s">
        <v>248</v>
      </c>
      <c r="F10" s="62" t="s">
        <v>249</v>
      </c>
      <c r="G10" s="61"/>
      <c r="H10" s="60" t="s">
        <v>138</v>
      </c>
      <c r="I10" s="63" t="s">
        <v>325</v>
      </c>
    </row>
    <row r="11" spans="1:9" ht="18" customHeight="1">
      <c r="A11" s="58" t="s">
        <v>233</v>
      </c>
      <c r="B11" s="49" t="s">
        <v>250</v>
      </c>
      <c r="C11" s="50" t="s">
        <v>251</v>
      </c>
      <c r="D11" s="49" t="s">
        <v>86</v>
      </c>
      <c r="E11" s="50" t="s">
        <v>152</v>
      </c>
      <c r="F11" s="51" t="s">
        <v>252</v>
      </c>
      <c r="G11" s="50"/>
      <c r="H11" s="57"/>
      <c r="I11" s="49"/>
    </row>
    <row r="12" spans="1:9" ht="18" customHeight="1">
      <c r="A12" s="58" t="s">
        <v>246</v>
      </c>
      <c r="B12" s="49" t="s">
        <v>253</v>
      </c>
      <c r="C12" s="50" t="s">
        <v>127</v>
      </c>
      <c r="D12" s="49" t="s">
        <v>137</v>
      </c>
      <c r="E12" s="50" t="s">
        <v>254</v>
      </c>
      <c r="F12" s="51" t="s">
        <v>255</v>
      </c>
      <c r="G12" s="50"/>
      <c r="H12" s="57"/>
      <c r="I12" s="49"/>
    </row>
    <row r="13" spans="1:9" ht="18" customHeight="1">
      <c r="A13" s="58" t="s">
        <v>256</v>
      </c>
      <c r="B13" s="49" t="s">
        <v>257</v>
      </c>
      <c r="C13" s="50" t="s">
        <v>153</v>
      </c>
      <c r="D13" s="49" t="s">
        <v>119</v>
      </c>
      <c r="E13" s="50" t="s">
        <v>258</v>
      </c>
      <c r="F13" s="51" t="s">
        <v>259</v>
      </c>
      <c r="G13" s="50"/>
      <c r="H13" s="57"/>
      <c r="I13" s="49"/>
    </row>
    <row r="14" spans="1:9" ht="18" customHeight="1">
      <c r="A14" s="58" t="s">
        <v>260</v>
      </c>
      <c r="B14" s="49" t="s">
        <v>261</v>
      </c>
      <c r="C14" s="50" t="s">
        <v>136</v>
      </c>
      <c r="D14" s="49" t="s">
        <v>124</v>
      </c>
      <c r="E14" s="59" t="s">
        <v>262</v>
      </c>
      <c r="F14" s="51" t="s">
        <v>263</v>
      </c>
      <c r="G14" s="50"/>
      <c r="H14" s="57"/>
      <c r="I14" s="49"/>
    </row>
    <row r="15" spans="1:9" ht="18" customHeight="1">
      <c r="A15" s="60" t="s">
        <v>260</v>
      </c>
      <c r="B15" s="60" t="s">
        <v>264</v>
      </c>
      <c r="C15" s="61" t="s">
        <v>127</v>
      </c>
      <c r="D15" s="60" t="s">
        <v>118</v>
      </c>
      <c r="E15" s="61" t="s">
        <v>149</v>
      </c>
      <c r="F15" s="62" t="s">
        <v>265</v>
      </c>
      <c r="G15" s="61" t="s">
        <v>266</v>
      </c>
      <c r="H15" s="60" t="s">
        <v>138</v>
      </c>
      <c r="I15" s="63" t="s">
        <v>310</v>
      </c>
    </row>
    <row r="16" spans="1:9" ht="18" customHeight="1">
      <c r="A16" s="60" t="s">
        <v>267</v>
      </c>
      <c r="B16" s="60" t="s">
        <v>268</v>
      </c>
      <c r="C16" s="61" t="s">
        <v>129</v>
      </c>
      <c r="D16" s="60" t="s">
        <v>86</v>
      </c>
      <c r="E16" s="61" t="s">
        <v>151</v>
      </c>
      <c r="F16" s="62" t="s">
        <v>269</v>
      </c>
      <c r="G16" s="61" t="s">
        <v>270</v>
      </c>
      <c r="H16" s="64"/>
      <c r="I16" s="63" t="s">
        <v>326</v>
      </c>
    </row>
    <row r="17" spans="1:9" ht="18" customHeight="1">
      <c r="A17" s="58" t="s">
        <v>271</v>
      </c>
      <c r="B17" s="49" t="s">
        <v>272</v>
      </c>
      <c r="C17" s="50" t="s">
        <v>146</v>
      </c>
      <c r="D17" s="49" t="s">
        <v>124</v>
      </c>
      <c r="E17" s="50" t="s">
        <v>273</v>
      </c>
      <c r="F17" s="51" t="s">
        <v>274</v>
      </c>
      <c r="G17" s="50" t="s">
        <v>275</v>
      </c>
      <c r="H17" s="57"/>
      <c r="I17" s="49"/>
    </row>
    <row r="18" spans="1:9" ht="18" customHeight="1">
      <c r="A18" s="58" t="s">
        <v>267</v>
      </c>
      <c r="B18" s="49" t="s">
        <v>276</v>
      </c>
      <c r="C18" s="50" t="s">
        <v>140</v>
      </c>
      <c r="D18" s="49" t="s">
        <v>124</v>
      </c>
      <c r="E18" s="50" t="s">
        <v>277</v>
      </c>
      <c r="F18" s="51" t="s">
        <v>278</v>
      </c>
      <c r="G18" s="50" t="s">
        <v>279</v>
      </c>
      <c r="H18" s="57"/>
      <c r="I18" s="49"/>
    </row>
    <row r="19" spans="1:9" ht="18" customHeight="1">
      <c r="A19" s="58" t="s">
        <v>232</v>
      </c>
      <c r="B19" s="49" t="s">
        <v>280</v>
      </c>
      <c r="C19" s="50" t="s">
        <v>146</v>
      </c>
      <c r="D19" s="49" t="s">
        <v>124</v>
      </c>
      <c r="E19" s="50" t="s">
        <v>281</v>
      </c>
      <c r="F19" s="51" t="s">
        <v>282</v>
      </c>
      <c r="G19" s="50" t="s">
        <v>283</v>
      </c>
      <c r="H19" s="57"/>
      <c r="I19" s="49"/>
    </row>
    <row r="20" spans="1:9" ht="18" customHeight="1">
      <c r="A20" s="58" t="s">
        <v>260</v>
      </c>
      <c r="B20" s="49" t="s">
        <v>284</v>
      </c>
      <c r="C20" s="50" t="s">
        <v>126</v>
      </c>
      <c r="D20" s="49" t="s">
        <v>135</v>
      </c>
      <c r="E20" s="50" t="s">
        <v>285</v>
      </c>
      <c r="F20" s="51" t="s">
        <v>286</v>
      </c>
      <c r="G20" s="50" t="s">
        <v>287</v>
      </c>
      <c r="H20" s="57"/>
      <c r="I20" s="49"/>
    </row>
    <row r="21" spans="1:9" ht="18" customHeight="1">
      <c r="A21" s="58" t="s">
        <v>306</v>
      </c>
      <c r="B21" s="49" t="s">
        <v>144</v>
      </c>
      <c r="C21" s="50" t="s">
        <v>123</v>
      </c>
      <c r="D21" s="49" t="s">
        <v>119</v>
      </c>
      <c r="E21" s="50" t="s">
        <v>143</v>
      </c>
      <c r="F21" s="51" t="s">
        <v>307</v>
      </c>
      <c r="G21" s="50" t="s">
        <v>308</v>
      </c>
      <c r="H21" s="57"/>
      <c r="I21" s="49"/>
    </row>
    <row r="22" spans="1:9" ht="18" customHeight="1">
      <c r="A22" s="58" t="s">
        <v>260</v>
      </c>
      <c r="B22" s="49" t="s">
        <v>300</v>
      </c>
      <c r="C22" s="50" t="s">
        <v>131</v>
      </c>
      <c r="D22" s="49" t="s">
        <v>97</v>
      </c>
      <c r="E22" s="50" t="s">
        <v>301</v>
      </c>
      <c r="F22" s="51" t="s">
        <v>305</v>
      </c>
      <c r="G22" s="50" t="s">
        <v>304</v>
      </c>
      <c r="H22" s="57"/>
      <c r="I22" s="49"/>
    </row>
    <row r="23" spans="1:9" ht="18" customHeight="1">
      <c r="A23" s="58" t="s">
        <v>260</v>
      </c>
      <c r="B23" s="49" t="s">
        <v>312</v>
      </c>
      <c r="C23" s="50" t="s">
        <v>127</v>
      </c>
      <c r="D23" s="49" t="s">
        <v>119</v>
      </c>
      <c r="E23" s="50" t="s">
        <v>142</v>
      </c>
      <c r="F23" s="51" t="s">
        <v>322</v>
      </c>
      <c r="G23" s="50" t="s">
        <v>323</v>
      </c>
      <c r="H23" s="57"/>
      <c r="I23" s="49"/>
    </row>
  </sheetData>
  <phoneticPr fontId="1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27期</vt:lpstr>
      <vt:lpstr>27期－R</vt:lpstr>
      <vt:lpstr>代車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濱岡 万友美</dc:creator>
  <cp:lastModifiedBy>宋　勇希</cp:lastModifiedBy>
  <cp:lastPrinted>2026-02-02T06:36:04Z</cp:lastPrinted>
  <dcterms:created xsi:type="dcterms:W3CDTF">2017-07-11T02:46:00Z</dcterms:created>
  <dcterms:modified xsi:type="dcterms:W3CDTF">2026-05-23T07:40:27Z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1041-10.8.0.5423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2026-05-20T06:02:02Z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9d974004-9a00-42fc-9589-3ba1aae291b6</vt:lpwstr>
  </property>
  <property fmtid="{D5CDD505-2E9C-101B-9397-08002B2CF9AE}" pid="8" name="MSIP_Label_defa4170-0d19-0005-0004-bc88714345d2_ActionId">
    <vt:lpwstr>62b748be-224d-4ad7-8e95-0e89a2ecf19f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