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Downloads\"/>
    </mc:Choice>
  </mc:AlternateContent>
  <xr:revisionPtr revIDLastSave="0" documentId="13_ncr:1_{269C1788-148F-431E-A3A7-B4CAD5ECBBE1}" xr6:coauthVersionLast="47" xr6:coauthVersionMax="47" xr10:uidLastSave="{00000000-0000-0000-0000-000000000000}"/>
  <bookViews>
    <workbookView minimized="1" xWindow="-16440" yWindow="2040" windowWidth="36528" windowHeight="23544" firstSheet="2" activeTab="2" xr2:uid="{00000000-000D-0000-FFFF-FFFF00000000}"/>
  </bookViews>
  <sheets>
    <sheet name="操作手順" sheetId="1" r:id="rId1"/>
    <sheet name="残った仕入番号" sheetId="2" r:id="rId2"/>
    <sheet name="在庫管理表の本体" sheetId="3" r:id="rId3"/>
    <sheet name="売約済" sheetId="4" r:id="rId4"/>
    <sheet name="不明" sheetId="5" r:id="rId5"/>
    <sheet name="在庫有" sheetId="6" r:id="rId6"/>
    <sheet name="在庫有確定" sheetId="7"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438" i="3" l="1"/>
  <c r="Z438" i="3"/>
  <c r="N438" i="3"/>
  <c r="AB436" i="3"/>
  <c r="Z436" i="3"/>
  <c r="N436" i="3"/>
  <c r="AB434" i="3"/>
  <c r="Z434" i="3"/>
  <c r="N434" i="3"/>
  <c r="AB432" i="3"/>
  <c r="Z432" i="3"/>
  <c r="N432" i="3"/>
  <c r="AB430" i="3"/>
  <c r="Z430" i="3"/>
  <c r="N430" i="3"/>
  <c r="AB428" i="3"/>
  <c r="Z428" i="3"/>
  <c r="N428" i="3"/>
  <c r="AB426" i="3"/>
  <c r="N426" i="3"/>
  <c r="Z424" i="3"/>
  <c r="AB424" i="3" s="1"/>
  <c r="N424" i="3"/>
  <c r="Z422" i="3"/>
  <c r="AB422" i="3" s="1"/>
  <c r="N422" i="3"/>
  <c r="AB420" i="3"/>
  <c r="Z420" i="3"/>
  <c r="N420" i="3"/>
  <c r="Z418" i="3"/>
  <c r="AB418" i="3" s="1"/>
  <c r="N418" i="3"/>
  <c r="Z416" i="3"/>
  <c r="AB416" i="3" s="1"/>
  <c r="N416" i="3"/>
  <c r="Z414" i="3"/>
  <c r="AB414" i="3" s="1"/>
  <c r="N414" i="3"/>
  <c r="AB412" i="3"/>
  <c r="Z412" i="3"/>
  <c r="N412" i="3"/>
  <c r="AB410" i="3"/>
  <c r="Z410" i="3"/>
  <c r="N410" i="3"/>
  <c r="Z408" i="3"/>
  <c r="AB408" i="3" s="1"/>
  <c r="N408" i="3"/>
  <c r="Z406" i="3"/>
  <c r="AB406" i="3" s="1"/>
  <c r="N406" i="3"/>
  <c r="AB404" i="3"/>
  <c r="Z404" i="3"/>
  <c r="N404" i="3"/>
  <c r="AB402" i="3"/>
  <c r="Z402" i="3"/>
  <c r="N402" i="3"/>
  <c r="Z400" i="3"/>
  <c r="AB400" i="3" s="1"/>
  <c r="N400" i="3"/>
  <c r="Z398" i="3"/>
  <c r="AB398" i="3" s="1"/>
  <c r="N398" i="3"/>
  <c r="AB396" i="3"/>
  <c r="Z396" i="3"/>
  <c r="N396" i="3"/>
  <c r="AB394" i="3"/>
  <c r="Z394" i="3"/>
  <c r="N394" i="3"/>
  <c r="Z392" i="3"/>
  <c r="AB392" i="3" s="1"/>
  <c r="N392" i="3"/>
  <c r="Z390" i="3"/>
  <c r="AB390" i="3" s="1"/>
  <c r="N390" i="3"/>
  <c r="AB388" i="3"/>
  <c r="Z388" i="3"/>
  <c r="N388" i="3"/>
  <c r="AB386" i="3"/>
  <c r="Z386" i="3"/>
  <c r="N386" i="3"/>
  <c r="Z384" i="3"/>
  <c r="AB384" i="3" s="1"/>
  <c r="N384" i="3"/>
  <c r="Z382" i="3"/>
  <c r="AB382" i="3" s="1"/>
  <c r="N382" i="3"/>
  <c r="AB380" i="3"/>
  <c r="Z380" i="3"/>
  <c r="N380" i="3"/>
  <c r="AB378" i="3"/>
  <c r="Z378" i="3"/>
  <c r="N378" i="3"/>
  <c r="Z376" i="3"/>
  <c r="AB376" i="3" s="1"/>
  <c r="N376" i="3"/>
  <c r="Z374" i="3"/>
  <c r="AB374" i="3" s="1"/>
  <c r="N374" i="3"/>
  <c r="AB372" i="3"/>
  <c r="Z372" i="3"/>
  <c r="N372" i="3"/>
  <c r="AB370" i="3"/>
  <c r="Z370" i="3"/>
  <c r="N370" i="3"/>
  <c r="Z368" i="3"/>
  <c r="AB368" i="3" s="1"/>
  <c r="N368" i="3"/>
  <c r="Z366" i="3"/>
  <c r="AB366" i="3" s="1"/>
  <c r="N366" i="3"/>
  <c r="AB364" i="3"/>
  <c r="Z364" i="3"/>
  <c r="N364" i="3"/>
  <c r="AB362" i="3"/>
  <c r="Z362" i="3"/>
  <c r="N362" i="3"/>
  <c r="Z360" i="3"/>
  <c r="AB360" i="3" s="1"/>
  <c r="N360" i="3"/>
  <c r="Z358" i="3"/>
  <c r="AB358" i="3" s="1"/>
  <c r="N358" i="3"/>
  <c r="AB356" i="3"/>
  <c r="Z356" i="3"/>
  <c r="N356" i="3"/>
  <c r="AB354" i="3"/>
  <c r="Z354" i="3"/>
  <c r="N354" i="3"/>
  <c r="Z352" i="3"/>
  <c r="AB352" i="3" s="1"/>
  <c r="N352" i="3"/>
  <c r="Z350" i="3"/>
  <c r="AB350" i="3" s="1"/>
  <c r="N350" i="3"/>
  <c r="AB348" i="3"/>
  <c r="Z348" i="3"/>
  <c r="N348" i="3"/>
  <c r="AB346" i="3"/>
  <c r="Z346" i="3"/>
  <c r="N346" i="3"/>
  <c r="Z344" i="3"/>
  <c r="AB344" i="3" s="1"/>
  <c r="N344" i="3"/>
  <c r="Z342" i="3"/>
  <c r="AB342" i="3" s="1"/>
  <c r="N342" i="3"/>
  <c r="AB340" i="3"/>
  <c r="Z340" i="3"/>
  <c r="N340" i="3"/>
  <c r="Z338" i="3"/>
  <c r="AB338" i="3" s="1"/>
  <c r="N338" i="3"/>
  <c r="Z336" i="3"/>
  <c r="AB336" i="3" s="1"/>
  <c r="N336" i="3"/>
  <c r="Z334" i="3"/>
  <c r="AB334" i="3" s="1"/>
  <c r="N334" i="3"/>
  <c r="AB332" i="3"/>
  <c r="Z332" i="3"/>
  <c r="N332" i="3"/>
  <c r="Z330" i="3"/>
  <c r="AB330" i="3" s="1"/>
  <c r="N330" i="3"/>
  <c r="Z328" i="3"/>
  <c r="AB328" i="3" s="1"/>
  <c r="N328" i="3"/>
  <c r="Z326" i="3"/>
  <c r="AB326" i="3" s="1"/>
  <c r="N326" i="3"/>
  <c r="AB324" i="3"/>
  <c r="Z324" i="3"/>
  <c r="N324" i="3"/>
  <c r="Z322" i="3"/>
  <c r="AB322" i="3" s="1"/>
  <c r="N322" i="3"/>
  <c r="Z320" i="3"/>
  <c r="AB320" i="3" s="1"/>
  <c r="N320" i="3"/>
  <c r="Z318" i="3"/>
  <c r="AB318" i="3" s="1"/>
  <c r="N318" i="3"/>
  <c r="AB316" i="3"/>
  <c r="Z316" i="3"/>
  <c r="N316" i="3"/>
  <c r="Z314" i="3"/>
  <c r="AB314" i="3" s="1"/>
  <c r="N314" i="3"/>
  <c r="Z312" i="3"/>
  <c r="AB312" i="3" s="1"/>
  <c r="N312" i="3"/>
  <c r="Z310" i="3"/>
  <c r="AB310" i="3" s="1"/>
  <c r="M310" i="3"/>
  <c r="N310" i="3" s="1"/>
  <c r="AB308" i="3"/>
  <c r="Z308" i="3"/>
  <c r="N308" i="3"/>
  <c r="AB306" i="3"/>
  <c r="Z306" i="3"/>
  <c r="N306" i="3"/>
  <c r="AB304" i="3"/>
  <c r="Z304" i="3"/>
  <c r="N304" i="3"/>
  <c r="Z302" i="3"/>
  <c r="AB302" i="3" s="1"/>
  <c r="N302" i="3"/>
  <c r="AB300" i="3"/>
  <c r="Z300" i="3"/>
  <c r="N300" i="3"/>
  <c r="AB298" i="3"/>
  <c r="Z298" i="3"/>
  <c r="N298" i="3"/>
  <c r="AB296" i="3"/>
  <c r="Z296" i="3"/>
  <c r="N296" i="3"/>
  <c r="Z294" i="3"/>
  <c r="AB294" i="3" s="1"/>
  <c r="N294" i="3"/>
  <c r="AB292" i="3"/>
  <c r="Z292" i="3"/>
  <c r="N292" i="3"/>
  <c r="AB290" i="3"/>
  <c r="Z290" i="3"/>
  <c r="N290" i="3"/>
  <c r="AB288" i="3"/>
  <c r="Z288" i="3"/>
  <c r="N288" i="3"/>
  <c r="Z286" i="3"/>
  <c r="AB286" i="3" s="1"/>
  <c r="N286" i="3"/>
  <c r="AB284" i="3"/>
  <c r="Z284" i="3"/>
  <c r="N284" i="3"/>
  <c r="AB282" i="3"/>
  <c r="Z282" i="3"/>
  <c r="N282" i="3"/>
  <c r="AB280" i="3"/>
  <c r="Z280" i="3"/>
  <c r="N280" i="3"/>
  <c r="Z278" i="3"/>
  <c r="AB278" i="3" s="1"/>
  <c r="N278" i="3"/>
  <c r="AB276" i="3"/>
  <c r="Z276" i="3"/>
  <c r="N276" i="3"/>
  <c r="AB274" i="3"/>
  <c r="Z274" i="3"/>
  <c r="N274" i="3"/>
  <c r="AB272" i="3"/>
  <c r="Z272" i="3"/>
  <c r="N272" i="3"/>
  <c r="Z270" i="3"/>
  <c r="AB270" i="3" s="1"/>
  <c r="N270" i="3"/>
  <c r="AB268" i="3"/>
  <c r="Z268" i="3"/>
  <c r="N268" i="3"/>
  <c r="AB266" i="3"/>
  <c r="Z266" i="3"/>
  <c r="N266" i="3"/>
  <c r="AB264" i="3"/>
  <c r="Z264" i="3"/>
  <c r="N264" i="3"/>
  <c r="Z262" i="3"/>
  <c r="AB262" i="3" s="1"/>
  <c r="N262" i="3"/>
  <c r="M262" i="3"/>
  <c r="Z260" i="3"/>
  <c r="AB260" i="3" s="1"/>
  <c r="N260" i="3"/>
  <c r="Z258" i="3"/>
  <c r="AB258" i="3" s="1"/>
  <c r="N258" i="3"/>
  <c r="Z256" i="3"/>
  <c r="AB256" i="3" s="1"/>
  <c r="N256" i="3"/>
  <c r="Z254" i="3"/>
  <c r="AB254" i="3" s="1"/>
  <c r="N254" i="3"/>
  <c r="Z252" i="3"/>
  <c r="AB252" i="3" s="1"/>
  <c r="N252" i="3"/>
  <c r="Z250" i="3"/>
  <c r="AB250" i="3" s="1"/>
  <c r="N250" i="3"/>
  <c r="AB248" i="3"/>
  <c r="Z248" i="3"/>
  <c r="N248" i="3"/>
  <c r="Z246" i="3"/>
  <c r="AB246" i="3" s="1"/>
  <c r="N246" i="3"/>
  <c r="Z244" i="3"/>
  <c r="AB244" i="3" s="1"/>
  <c r="N244" i="3"/>
  <c r="Z242" i="3"/>
  <c r="AB242" i="3" s="1"/>
  <c r="N242" i="3"/>
  <c r="AB240" i="3"/>
  <c r="Z240" i="3"/>
  <c r="N240" i="3"/>
  <c r="Z238" i="3"/>
  <c r="AB238" i="3" s="1"/>
  <c r="M238" i="3"/>
  <c r="N238" i="3" s="1"/>
  <c r="Z236" i="3"/>
  <c r="AB236" i="3" s="1"/>
  <c r="N236" i="3"/>
  <c r="Z234" i="3"/>
  <c r="AB234" i="3" s="1"/>
  <c r="N234" i="3"/>
  <c r="Z232" i="3"/>
  <c r="AB232" i="3" s="1"/>
  <c r="M232" i="3"/>
  <c r="N232" i="3" s="1"/>
  <c r="AB230" i="3"/>
  <c r="Z230" i="3"/>
  <c r="N230" i="3"/>
  <c r="Z228" i="3"/>
  <c r="AB228" i="3" s="1"/>
  <c r="N228" i="3"/>
  <c r="Z226" i="3"/>
  <c r="AB226" i="3" s="1"/>
  <c r="N226" i="3"/>
  <c r="Z224" i="3"/>
  <c r="AB224" i="3" s="1"/>
  <c r="N224" i="3"/>
  <c r="AB222" i="3"/>
  <c r="Z222" i="3"/>
  <c r="N222" i="3"/>
  <c r="Z220" i="3"/>
  <c r="AB220" i="3" s="1"/>
  <c r="N220" i="3"/>
  <c r="Z218" i="3"/>
  <c r="AB218" i="3" s="1"/>
  <c r="N218" i="3"/>
  <c r="Z216" i="3"/>
  <c r="AB216" i="3" s="1"/>
  <c r="N216" i="3"/>
  <c r="AB214" i="3"/>
  <c r="Z214" i="3"/>
  <c r="N214" i="3"/>
  <c r="Z212" i="3"/>
  <c r="AB212" i="3" s="1"/>
  <c r="N212" i="3"/>
  <c r="Z210" i="3"/>
  <c r="AB210" i="3" s="1"/>
  <c r="M210" i="3"/>
  <c r="N210" i="3" s="1"/>
  <c r="Z208" i="3"/>
  <c r="AB208" i="3" s="1"/>
  <c r="N208" i="3"/>
  <c r="M208" i="3"/>
  <c r="Z206" i="3"/>
  <c r="AB206" i="3" s="1"/>
  <c r="M206" i="3"/>
  <c r="N206" i="3" s="1"/>
  <c r="Z204" i="3"/>
  <c r="AB204" i="3" s="1"/>
  <c r="M204" i="3"/>
  <c r="N204" i="3" s="1"/>
  <c r="AB202" i="3"/>
  <c r="N202" i="3"/>
  <c r="AB200" i="3"/>
  <c r="Z200" i="3"/>
  <c r="N200" i="3"/>
  <c r="Z198" i="3"/>
  <c r="AB198" i="3" s="1"/>
  <c r="N198" i="3"/>
  <c r="Z196" i="3"/>
  <c r="AB196" i="3" s="1"/>
  <c r="N196" i="3"/>
  <c r="Z194" i="3"/>
  <c r="AB194" i="3" s="1"/>
  <c r="N194" i="3"/>
  <c r="AB192" i="3"/>
  <c r="Z192" i="3"/>
  <c r="N192" i="3"/>
  <c r="Z190" i="3"/>
  <c r="AB190" i="3" s="1"/>
  <c r="N190" i="3"/>
  <c r="Z188" i="3"/>
  <c r="AB188" i="3" s="1"/>
  <c r="N188" i="3"/>
  <c r="Z186" i="3"/>
  <c r="AB186" i="3" s="1"/>
  <c r="N186" i="3"/>
  <c r="AB184" i="3"/>
  <c r="Z184" i="3"/>
  <c r="N184" i="3"/>
  <c r="Z182" i="3"/>
  <c r="AB182" i="3" s="1"/>
  <c r="N182" i="3"/>
  <c r="Z180" i="3"/>
  <c r="AB180" i="3" s="1"/>
  <c r="N180" i="3"/>
  <c r="Z178" i="3"/>
  <c r="AB178" i="3" s="1"/>
  <c r="N178" i="3"/>
  <c r="AB176" i="3"/>
  <c r="Z176" i="3"/>
  <c r="N176" i="3"/>
  <c r="Z174" i="3"/>
  <c r="AB174" i="3" s="1"/>
  <c r="N174" i="3"/>
  <c r="Z172" i="3"/>
  <c r="AB172" i="3" s="1"/>
  <c r="N172" i="3"/>
  <c r="Z170" i="3"/>
  <c r="AB170" i="3" s="1"/>
  <c r="N170" i="3"/>
  <c r="AB168" i="3"/>
  <c r="Z168" i="3"/>
  <c r="N168" i="3"/>
  <c r="Z166" i="3"/>
  <c r="AB166" i="3" s="1"/>
  <c r="N166" i="3"/>
  <c r="Z164" i="3"/>
  <c r="AB164" i="3" s="1"/>
  <c r="N164" i="3"/>
  <c r="Z162" i="3"/>
  <c r="AB162" i="3" s="1"/>
  <c r="M162" i="3"/>
  <c r="N162" i="3" s="1"/>
  <c r="AB160" i="3"/>
  <c r="Z160" i="3"/>
  <c r="M160" i="3"/>
  <c r="N160" i="3" s="1"/>
  <c r="Z158" i="3"/>
  <c r="AB158" i="3" s="1"/>
  <c r="N158" i="3"/>
  <c r="Z156" i="3"/>
  <c r="AB156" i="3" s="1"/>
  <c r="N156" i="3"/>
  <c r="Z154" i="3"/>
  <c r="AB154" i="3" s="1"/>
  <c r="N154" i="3"/>
  <c r="Z152" i="3"/>
  <c r="AB152" i="3" s="1"/>
  <c r="N152" i="3"/>
  <c r="Z150" i="3"/>
  <c r="AB150" i="3" s="1"/>
  <c r="N150" i="3"/>
  <c r="Z148" i="3"/>
  <c r="AB148" i="3" s="1"/>
  <c r="N148" i="3"/>
  <c r="Z146" i="3"/>
  <c r="AB146" i="3" s="1"/>
  <c r="N146" i="3"/>
  <c r="Z144" i="3"/>
  <c r="AB144" i="3" s="1"/>
  <c r="N144" i="3"/>
  <c r="Z142" i="3"/>
  <c r="AB142" i="3" s="1"/>
  <c r="N142" i="3"/>
  <c r="Z140" i="3"/>
  <c r="AB140" i="3" s="1"/>
  <c r="N140" i="3"/>
  <c r="Z138" i="3"/>
  <c r="AB138" i="3" s="1"/>
  <c r="N138" i="3"/>
  <c r="Z136" i="3"/>
  <c r="AB136" i="3" s="1"/>
  <c r="N136" i="3"/>
  <c r="Z134" i="3"/>
  <c r="AB134" i="3" s="1"/>
  <c r="N134" i="3"/>
  <c r="Z132" i="3"/>
  <c r="AB132" i="3" s="1"/>
  <c r="N132" i="3"/>
  <c r="Z130" i="3"/>
  <c r="AB130" i="3" s="1"/>
  <c r="N130" i="3"/>
  <c r="Z128" i="3"/>
  <c r="AB128" i="3" s="1"/>
  <c r="N128" i="3"/>
  <c r="Z126" i="3"/>
  <c r="AB126" i="3" s="1"/>
  <c r="N126" i="3"/>
  <c r="Z124" i="3"/>
  <c r="AB124" i="3" s="1"/>
  <c r="N124" i="3"/>
  <c r="Z122" i="3"/>
  <c r="AB122" i="3" s="1"/>
  <c r="N122" i="3"/>
  <c r="Z120" i="3"/>
  <c r="AB120" i="3" s="1"/>
  <c r="N120" i="3"/>
  <c r="Z118" i="3"/>
  <c r="AB118" i="3" s="1"/>
  <c r="N118" i="3"/>
  <c r="Z116" i="3"/>
  <c r="AB116" i="3" s="1"/>
  <c r="N116" i="3"/>
  <c r="Z114" i="3"/>
  <c r="AB114" i="3" s="1"/>
  <c r="N114" i="3"/>
  <c r="Z112" i="3"/>
  <c r="AB112" i="3" s="1"/>
  <c r="N112" i="3"/>
  <c r="Z110" i="3"/>
  <c r="AB110" i="3" s="1"/>
  <c r="N110" i="3"/>
  <c r="Z108" i="3"/>
  <c r="AB108" i="3" s="1"/>
  <c r="N108" i="3"/>
  <c r="Z106" i="3"/>
  <c r="AB106" i="3" s="1"/>
  <c r="N106" i="3"/>
  <c r="Z104" i="3"/>
  <c r="AB104" i="3" s="1"/>
  <c r="N104" i="3"/>
  <c r="Z102" i="3"/>
  <c r="AB102" i="3" s="1"/>
  <c r="N102" i="3"/>
  <c r="Z100" i="3"/>
  <c r="AB100" i="3" s="1"/>
  <c r="N100" i="3"/>
  <c r="Z98" i="3"/>
  <c r="AB98" i="3" s="1"/>
  <c r="N98" i="3"/>
  <c r="Z96" i="3"/>
  <c r="AB96" i="3" s="1"/>
  <c r="N96" i="3"/>
  <c r="Z94" i="3"/>
  <c r="AB94" i="3" s="1"/>
  <c r="N94" i="3"/>
  <c r="Z92" i="3"/>
  <c r="AB92" i="3" s="1"/>
  <c r="N92" i="3"/>
  <c r="Z90" i="3"/>
  <c r="AB90" i="3" s="1"/>
  <c r="N90" i="3"/>
  <c r="AB88" i="3"/>
  <c r="Z88" i="3"/>
  <c r="N88" i="3"/>
  <c r="Z86" i="3"/>
  <c r="AB86" i="3" s="1"/>
  <c r="N86" i="3"/>
  <c r="Z84" i="3"/>
  <c r="AB84" i="3" s="1"/>
  <c r="N84" i="3"/>
  <c r="Z82" i="3"/>
  <c r="AB82" i="3" s="1"/>
  <c r="N82" i="3"/>
  <c r="Z80" i="3"/>
  <c r="AB80" i="3" s="1"/>
  <c r="N80" i="3"/>
  <c r="Z78" i="3"/>
  <c r="AB78" i="3" s="1"/>
  <c r="N78" i="3"/>
  <c r="Z76" i="3"/>
  <c r="AB76" i="3" s="1"/>
  <c r="N76" i="3"/>
  <c r="Z74" i="3"/>
  <c r="AB74" i="3" s="1"/>
  <c r="N74" i="3"/>
  <c r="Z72" i="3"/>
  <c r="AB72" i="3" s="1"/>
  <c r="N72" i="3"/>
  <c r="Z70" i="3"/>
  <c r="AB70" i="3" s="1"/>
  <c r="N70" i="3"/>
  <c r="Z68" i="3"/>
  <c r="AB68" i="3" s="1"/>
  <c r="N68" i="3"/>
  <c r="Z66" i="3"/>
  <c r="AB66" i="3" s="1"/>
  <c r="N66" i="3"/>
  <c r="Z64" i="3"/>
  <c r="AB64" i="3" s="1"/>
  <c r="N64" i="3"/>
  <c r="Z62" i="3"/>
  <c r="AB62" i="3" s="1"/>
  <c r="N62" i="3"/>
  <c r="Z60" i="3"/>
  <c r="AB60" i="3" s="1"/>
  <c r="N60" i="3"/>
  <c r="Z58" i="3"/>
  <c r="AB58" i="3" s="1"/>
  <c r="N58" i="3"/>
  <c r="Z56" i="3"/>
  <c r="AB56" i="3" s="1"/>
  <c r="N56" i="3"/>
  <c r="Z54" i="3"/>
  <c r="AB54" i="3" s="1"/>
  <c r="N54" i="3"/>
  <c r="Z52" i="3"/>
  <c r="AB52" i="3" s="1"/>
  <c r="N52" i="3"/>
  <c r="Z50" i="3"/>
  <c r="AB50" i="3" s="1"/>
  <c r="N50" i="3"/>
  <c r="Z48" i="3"/>
  <c r="AB48" i="3" s="1"/>
  <c r="N48" i="3"/>
  <c r="Z46" i="3"/>
  <c r="AB46" i="3" s="1"/>
  <c r="N46" i="3"/>
  <c r="Z44" i="3"/>
  <c r="AB44" i="3" s="1"/>
  <c r="N44" i="3"/>
  <c r="Z42" i="3"/>
  <c r="AB42" i="3" s="1"/>
  <c r="Z40" i="3"/>
  <c r="AB40" i="3" s="1"/>
  <c r="N40" i="3"/>
  <c r="Z38" i="3"/>
  <c r="AB38" i="3" s="1"/>
  <c r="Z36" i="3"/>
  <c r="AB36" i="3" s="1"/>
  <c r="N36" i="3"/>
  <c r="Z34" i="3"/>
  <c r="AB34" i="3" s="1"/>
  <c r="Z32" i="3"/>
  <c r="AB32" i="3" s="1"/>
  <c r="N32" i="3"/>
  <c r="Z30" i="3"/>
  <c r="AB30" i="3" s="1"/>
  <c r="N30" i="3"/>
  <c r="Z28" i="3"/>
  <c r="AB28" i="3" s="1"/>
  <c r="AB26" i="3"/>
  <c r="Z26" i="3"/>
  <c r="Z24" i="3"/>
  <c r="AB24" i="3" s="1"/>
  <c r="N24" i="3"/>
  <c r="AB22" i="3"/>
  <c r="Z22" i="3"/>
  <c r="AB20" i="3"/>
  <c r="Z18" i="3"/>
  <c r="AB18" i="3" s="1"/>
  <c r="Z16" i="3"/>
  <c r="AB16" i="3" s="1"/>
  <c r="AB14" i="3"/>
  <c r="Z14" i="3"/>
  <c r="Z12" i="3"/>
  <c r="AB12" i="3" s="1"/>
  <c r="Z10" i="3"/>
  <c r="AB1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瀧井良介</author>
  </authors>
  <commentList>
    <comment ref="A10" authorId="0" shapeId="0" xr:uid="{EAB8CFE9-A670-40E7-9E5B-BBBC4101A3C5}">
      <text>
        <r>
          <rPr>
            <sz val="9"/>
            <color indexed="81"/>
            <rFont val="MS P ゴシック"/>
            <family val="3"/>
            <charset val="128"/>
          </rPr>
          <t>13-001 14-001 15-001 16-001 17-001 18-001 19-001 20-001 21-001 22-001 23-001 24-001 25-001 26-001</t>
        </r>
      </text>
    </comment>
    <comment ref="A12" authorId="0" shapeId="0" xr:uid="{BC498348-66EF-4C33-A3A8-855FB405E718}">
      <text>
        <r>
          <rPr>
            <sz val="9"/>
            <color indexed="81"/>
            <rFont val="MS P ゴシック"/>
            <family val="3"/>
            <charset val="128"/>
          </rPr>
          <t>13-002 14-002 15-002 16-002 17-002 18-002 19-002 20-002 21-003 21-002 22-002a 23-002 24-002 25-002 26-002</t>
        </r>
      </text>
    </comment>
    <comment ref="A14" authorId="0" shapeId="0" xr:uid="{67AA9B8B-E7DF-45FD-9B3E-266E0507F4BE}">
      <text>
        <r>
          <rPr>
            <sz val="9"/>
            <color indexed="81"/>
            <rFont val="MS P ゴシック"/>
            <family val="3"/>
            <charset val="128"/>
          </rPr>
          <t>13-003 14-003 15-003 16-003 17-003 18-003 19-003 20-003 21-003 22-002b 23-003 24-003 25-003 26-003</t>
        </r>
      </text>
    </comment>
    <comment ref="A16" authorId="0" shapeId="0" xr:uid="{FD8EC93A-DB8F-491E-B679-0592A82BDC43}">
      <text>
        <r>
          <rPr>
            <sz val="9"/>
            <color indexed="81"/>
            <rFont val="MS P ゴシック"/>
            <family val="3"/>
            <charset val="128"/>
          </rPr>
          <t>12-007 13-006 14-006 15-005 16-005 17-005 18-005 19-005 20-005 21-004 22-003 23-004 24-004 25-004 26-004</t>
        </r>
      </text>
    </comment>
    <comment ref="A18" authorId="0" shapeId="0" xr:uid="{C6C97A20-1C1A-4420-B591-5F967315897B}">
      <text>
        <r>
          <rPr>
            <sz val="9"/>
            <color indexed="81"/>
            <rFont val="MS P ゴシック"/>
            <family val="3"/>
            <charset val="128"/>
          </rPr>
          <t>12-009 13-008 14-007 15-006 16-006 17-006 18-006 19-006 20-006 21-005 22-004 23-005 24-005 25-005 26-005</t>
        </r>
      </text>
    </comment>
    <comment ref="A20" authorId="0" shapeId="0" xr:uid="{50458CAF-16C0-410B-857D-ACA8212AE1A9}">
      <text>
        <r>
          <rPr>
            <sz val="9"/>
            <color indexed="81"/>
            <rFont val="MS P ゴシック"/>
            <family val="3"/>
            <charset val="128"/>
          </rPr>
          <t>10-015 12-010 13-009 14-008 15-007 16-007 17-007 18-007 19-007 20-007 21-006 22-005 23-006 24-006 25-006 26-006</t>
        </r>
      </text>
    </comment>
    <comment ref="A22" authorId="0" shapeId="0" xr:uid="{5384F612-8B42-4E1C-91E4-4C8998F5DE58}">
      <text>
        <r>
          <rPr>
            <sz val="9"/>
            <color indexed="81"/>
            <rFont val="MS P ゴシック"/>
            <family val="3"/>
            <charset val="128"/>
          </rPr>
          <t>10-018 12-012 13-010 14-009 15-008 16-008 17-008 18-008 19-008 20-008 21-007 22-006 23-007 24-007 25-007 26-007</t>
        </r>
      </text>
    </comment>
    <comment ref="A24" authorId="0" shapeId="0" xr:uid="{8BBE26C3-64D9-4D54-B0D8-89C84D5D9138}">
      <text>
        <r>
          <rPr>
            <sz val="9"/>
            <color indexed="81"/>
            <rFont val="MS P ゴシック"/>
            <family val="3"/>
            <charset val="128"/>
          </rPr>
          <t>12-020 13-017 14-015 15-012 16-011 17-010 18-009 19-009 20-009 21-008 22-007 23-008 24-008 25-008 26-008</t>
        </r>
      </text>
    </comment>
    <comment ref="A26" authorId="0" shapeId="0" xr:uid="{B0170429-87B6-41C5-8397-099B306D142C}">
      <text>
        <r>
          <rPr>
            <sz val="9"/>
            <color indexed="81"/>
            <rFont val="MS P ゴシック"/>
            <family val="3"/>
            <charset val="128"/>
          </rPr>
          <t>12-030 13-025 14-020 15-016 16-015 17-012 18-011 19-011 20-011 21-010 22-009 23-010 24-010 25-010 26-009</t>
        </r>
      </text>
    </comment>
    <comment ref="A28" authorId="0" shapeId="0" xr:uid="{DF1256A7-814F-4DD0-AEA5-51F233CD3507}">
      <text>
        <r>
          <rPr>
            <sz val="9"/>
            <color indexed="81"/>
            <rFont val="MS P ゴシック"/>
            <family val="3"/>
            <charset val="128"/>
          </rPr>
          <t>12-035 13-027 14-021 15-017 16-016 17-013 18-012 19-012 20-012 21-011 22-010 23-011 24-011 25-011 26-010</t>
        </r>
      </text>
    </comment>
    <comment ref="A30" authorId="0" shapeId="0" xr:uid="{F336E4B7-C9AA-4F69-A70A-F983712EF226}">
      <text>
        <r>
          <rPr>
            <sz val="9"/>
            <color indexed="81"/>
            <rFont val="MS P ゴシック"/>
            <family val="3"/>
            <charset val="128"/>
          </rPr>
          <t>12-040 13-030 14-023 15-019 16-018 17-015 18-014 19-013 20-013 21-012 22-011 23-012 24-012 25-012 26-011</t>
        </r>
      </text>
    </comment>
    <comment ref="A32" authorId="0" shapeId="0" xr:uid="{E5BD4F5F-D97C-4283-AB80-4E9DC9647C0F}">
      <text>
        <r>
          <rPr>
            <sz val="9"/>
            <color indexed="81"/>
            <rFont val="MS P ゴシック"/>
            <family val="3"/>
            <charset val="128"/>
          </rPr>
          <t>12-043 13-031 14-024 15-020 16-019 17-016 18-015 19-014 20-014 21-013 22-012 23-013 24-013 25-013 26-012</t>
        </r>
      </text>
    </comment>
    <comment ref="A34" authorId="0" shapeId="0" xr:uid="{B01BB6FF-CB1A-4860-BF03-D2CEDE4D5330}">
      <text>
        <r>
          <rPr>
            <sz val="9"/>
            <color indexed="81"/>
            <rFont val="MS P ゴシック"/>
            <family val="3"/>
            <charset val="128"/>
          </rPr>
          <t>12-395 13-045 14-031 15-024a 16-022 17-019 18-018 19-017 20-017 21-015 22-013 23-014 24-014 25-014 26-013</t>
        </r>
      </text>
    </comment>
    <comment ref="A36" authorId="0" shapeId="0" xr:uid="{343962C8-11EC-4A65-BA25-A98AF37229A8}">
      <text>
        <r>
          <rPr>
            <sz val="9"/>
            <color indexed="81"/>
            <rFont val="MS P ゴシック"/>
            <family val="3"/>
            <charset val="128"/>
          </rPr>
          <t>12-896 13-102 14-043 15-028 16-025 17-023 18-022 19-019 20-019 21-017 22-015 23-015 24-015 25-015 26-014</t>
        </r>
      </text>
    </comment>
    <comment ref="A38" authorId="0" shapeId="0" xr:uid="{B6C17F5A-57FA-4DA8-861E-F3489B2A0882}">
      <text>
        <r>
          <rPr>
            <sz val="9"/>
            <color indexed="81"/>
            <rFont val="MS P ゴシック"/>
            <family val="3"/>
            <charset val="128"/>
          </rPr>
          <t>13-336 14-052 15-031 16-026 17-024 18-023 19-020 20-020 21-018 22-016 23-016 24-016 25-016 26-015</t>
        </r>
      </text>
    </comment>
    <comment ref="A40" authorId="0" shapeId="0" xr:uid="{3A4361DB-22CC-409C-AA5F-A8E92B367FF9}">
      <text>
        <r>
          <rPr>
            <sz val="9"/>
            <color indexed="81"/>
            <rFont val="MS P ゴシック"/>
            <family val="3"/>
            <charset val="128"/>
          </rPr>
          <t>13-362 14-054 15-032 16-027 17-025 18-024 19-021 20-021 21-019 22-017 23-017 24-017 25-017 26-016</t>
        </r>
      </text>
    </comment>
    <comment ref="A42" authorId="0" shapeId="0" xr:uid="{6206D7A5-F3AE-4ECB-B196-BF58730AE2BF}">
      <text>
        <r>
          <rPr>
            <sz val="9"/>
            <color indexed="81"/>
            <rFont val="MS P ゴシック"/>
            <family val="3"/>
            <charset val="128"/>
          </rPr>
          <t>13-794 14-061 15-036 16-031 17-028 18-026 19-022 20-022 21-020 22-018 23-018 24-018 25-018 26-017</t>
        </r>
      </text>
    </comment>
    <comment ref="A44" authorId="0" shapeId="0" xr:uid="{A34862C8-F421-4B4A-9DDC-8522AC29C60E}">
      <text>
        <r>
          <rPr>
            <sz val="9"/>
            <color indexed="81"/>
            <rFont val="MS P ゴシック"/>
            <family val="3"/>
            <charset val="128"/>
          </rPr>
          <t>13-1607 14-136 15-039 16-033 17-029 18-027 19-023 20-023 21-021 22-019 23-019 24-019 25-019 26-018</t>
        </r>
      </text>
    </comment>
    <comment ref="A46" authorId="0" shapeId="0" xr:uid="{22A132BA-7480-4C78-8C8C-7C5028746CC3}">
      <text>
        <r>
          <rPr>
            <sz val="9"/>
            <color indexed="81"/>
            <rFont val="MS P ゴシック"/>
            <family val="3"/>
            <charset val="128"/>
          </rPr>
          <t>14-1723 15-072 16-039 17-032 18-030 19-026 20-025 21-023 22-020 23-020 24-020 25-020 26-019</t>
        </r>
      </text>
    </comment>
    <comment ref="A48" authorId="0" shapeId="0" xr:uid="{71BC7A3B-40B6-4ECD-B336-0A4833FB7CF0}">
      <text>
        <r>
          <rPr>
            <sz val="9"/>
            <color indexed="81"/>
            <rFont val="MS P ゴシック"/>
            <family val="3"/>
            <charset val="128"/>
          </rPr>
          <t>15-1776 16-072 17-041 18-037 19-030 20-029 21-025 22-023 23-023 24-023 25-022 26-021</t>
        </r>
      </text>
    </comment>
    <comment ref="A50" authorId="0" shapeId="0" xr:uid="{1D135B60-8A66-43F5-8567-6B645C6CA856}">
      <text>
        <r>
          <rPr>
            <sz val="9"/>
            <color indexed="81"/>
            <rFont val="MS P ゴシック"/>
            <family val="3"/>
            <charset val="128"/>
          </rPr>
          <t>15-2558 16-101 17-048 18-038 19-031 20-030 21-026 22-024 23-024 24-024 25-023 26-022</t>
        </r>
      </text>
    </comment>
    <comment ref="A52" authorId="0" shapeId="0" xr:uid="{0A5353E6-B7F5-49E1-A7D6-D84915257C34}">
      <text>
        <r>
          <rPr>
            <sz val="9"/>
            <color indexed="81"/>
            <rFont val="MS P ゴシック"/>
            <family val="3"/>
            <charset val="128"/>
          </rPr>
          <t>15-2600 16-104 17-049 18-039 19-032 20-031 21-027 22-025 23-025 24-025 25-024 26-023</t>
        </r>
      </text>
    </comment>
    <comment ref="A54" authorId="0" shapeId="0" xr:uid="{EF0D9C4C-E518-4E76-BC80-53535B2C6B2B}">
      <text>
        <r>
          <rPr>
            <sz val="9"/>
            <color indexed="81"/>
            <rFont val="MS P ゴシック"/>
            <family val="3"/>
            <charset val="128"/>
          </rPr>
          <t>15-3249 16-203 17-058 18-045 19-036 20-034 21-029 22-027 23-026 24-026 25-025 26-024</t>
        </r>
      </text>
    </comment>
    <comment ref="A56" authorId="0" shapeId="0" xr:uid="{D1C25968-F85C-4C8B-80E7-298573DEF423}">
      <text>
        <r>
          <rPr>
            <sz val="9"/>
            <color indexed="81"/>
            <rFont val="MS P ゴシック"/>
            <family val="3"/>
            <charset val="128"/>
          </rPr>
          <t>15-3516 16-278 17-062 18-048 19-038 20-036 21-031 22-029 23-028 24-027 25-026 26-025</t>
        </r>
      </text>
    </comment>
    <comment ref="A58" authorId="0" shapeId="0" xr:uid="{13ADE600-C0E0-42DA-99CB-0EA916E081D1}">
      <text>
        <r>
          <rPr>
            <sz val="9"/>
            <color indexed="81"/>
            <rFont val="MS P ゴシック"/>
            <family val="3"/>
            <charset val="128"/>
          </rPr>
          <t>16-1314 17-068 18-050 19-040 20-038 21-033 22-031 23-030 24-028 25-027 26-026</t>
        </r>
      </text>
    </comment>
    <comment ref="A60" authorId="0" shapeId="0" xr:uid="{54A73F7C-28F5-4209-A7CD-FC9B5B67C471}">
      <text>
        <r>
          <rPr>
            <sz val="9"/>
            <color indexed="81"/>
            <rFont val="MS P ゴシック"/>
            <family val="3"/>
            <charset val="128"/>
          </rPr>
          <t>16-1655 17-071 18-052 19-042 20-040 21-034 22-032 23-031 24-029 25-028 26-027</t>
        </r>
      </text>
    </comment>
    <comment ref="A62" authorId="0" shapeId="0" xr:uid="{B4DE744D-5568-4346-BD4A-61F3432CAF2D}">
      <text>
        <r>
          <rPr>
            <sz val="9"/>
            <color indexed="81"/>
            <rFont val="MS P ゴシック"/>
            <family val="3"/>
            <charset val="128"/>
          </rPr>
          <t>16-2288 17-085 18-055 19-043 20-041 21-035 22-033 23-032 24-030 25-029 26-028</t>
        </r>
      </text>
    </comment>
    <comment ref="A64" authorId="0" shapeId="0" xr:uid="{E373C9B7-0CA4-4CB3-B9F1-FED5DB48D5B4}">
      <text>
        <r>
          <rPr>
            <sz val="9"/>
            <color indexed="81"/>
            <rFont val="MS P ゴシック"/>
            <family val="3"/>
            <charset val="128"/>
          </rPr>
          <t>16-3228 17-107 18-059 19-045 20-043 21-036 22-034 23-033 24-031 25-030 26-029</t>
        </r>
      </text>
    </comment>
    <comment ref="A66" authorId="0" shapeId="0" xr:uid="{3B2346E4-9EC8-4E8D-A5B5-3EDBAB24DAE1}">
      <text>
        <r>
          <rPr>
            <sz val="9"/>
            <color indexed="81"/>
            <rFont val="MS P ゴシック"/>
            <family val="3"/>
            <charset val="128"/>
          </rPr>
          <t>16-4237 17-139 18-064 19-049 20-045 21-038 22-035 23-034 24-032 25-031 26-030</t>
        </r>
      </text>
    </comment>
    <comment ref="A68" authorId="0" shapeId="0" xr:uid="{31C934BA-3D91-4453-958F-887702FEA5D5}">
      <text>
        <r>
          <rPr>
            <sz val="9"/>
            <color indexed="81"/>
            <rFont val="MS P ゴシック"/>
            <family val="3"/>
            <charset val="128"/>
          </rPr>
          <t>16-4449 17-166 18-067 19-051 20-046 21-039 22-036 23-035 24-033 25-032 26-031</t>
        </r>
      </text>
    </comment>
    <comment ref="A70" authorId="0" shapeId="0" xr:uid="{76920F7A-E2FB-476F-A073-C1D23832D89B}">
      <text>
        <r>
          <rPr>
            <sz val="9"/>
            <color indexed="81"/>
            <rFont val="MS P ゴシック"/>
            <family val="3"/>
            <charset val="128"/>
          </rPr>
          <t>16-5030 17-269 18-090 19-053 20-047 21-040 22-037 23-036 24-034 25-033 26-032</t>
        </r>
      </text>
    </comment>
    <comment ref="A72" authorId="0" shapeId="0" xr:uid="{D39AF81B-7DAE-427E-BEBD-896B939695C3}">
      <text>
        <r>
          <rPr>
            <sz val="9"/>
            <color indexed="81"/>
            <rFont val="MS P ゴシック"/>
            <family val="3"/>
            <charset val="128"/>
          </rPr>
          <t>D21-002 D22-002 23-040 24-037 25-035 26-033</t>
        </r>
      </text>
    </comment>
    <comment ref="A74" authorId="0" shapeId="0" xr:uid="{DA6FD586-7F1B-460F-9DD3-5A8A6BDDD3AE}">
      <text>
        <r>
          <rPr>
            <sz val="9"/>
            <color indexed="81"/>
            <rFont val="MS P ゴシック"/>
            <family val="3"/>
            <charset val="128"/>
          </rPr>
          <t>17-3479 18-140ａ 19-063 20-054 21-045 22-042 23-041 24-038 25-036 26-034</t>
        </r>
      </text>
    </comment>
    <comment ref="A76" authorId="0" shapeId="0" xr:uid="{D4F0066C-EE02-4FB3-B3A9-17E6FE7FD40A}">
      <text>
        <r>
          <rPr>
            <sz val="9"/>
            <color indexed="81"/>
            <rFont val="MS P ゴシック"/>
            <family val="3"/>
            <charset val="128"/>
          </rPr>
          <t>17-4062 18-151 19-065 20-055 21-046 22-043 23-042 24-039 25-037 26-035</t>
        </r>
      </text>
    </comment>
    <comment ref="A78" authorId="0" shapeId="0" xr:uid="{F271298D-A421-44B4-8E0F-D84F77AD91AE}">
      <text>
        <r>
          <rPr>
            <sz val="9"/>
            <color indexed="81"/>
            <rFont val="MS P ゴシック"/>
            <family val="3"/>
            <charset val="128"/>
          </rPr>
          <t>17-4597 18-157 19-066 20-056 21-047 22-044 23-043 24-040 25-038 26-036</t>
        </r>
      </text>
    </comment>
    <comment ref="A80" authorId="0" shapeId="0" xr:uid="{FD48E1C2-034F-4457-86BB-C713038E7459}">
      <text>
        <r>
          <rPr>
            <sz val="9"/>
            <color indexed="81"/>
            <rFont val="MS P ゴシック"/>
            <family val="3"/>
            <charset val="128"/>
          </rPr>
          <t>17-5636 18-186 19-070 20-059 21-048 22-045 23-044 24-041 25-039 26-037</t>
        </r>
      </text>
    </comment>
    <comment ref="A82" authorId="0" shapeId="0" xr:uid="{6AF8A223-E3A8-48C7-BBEF-64D5C221A93A}">
      <text>
        <r>
          <rPr>
            <sz val="9"/>
            <color indexed="81"/>
            <rFont val="MS P ゴシック"/>
            <family val="3"/>
            <charset val="128"/>
          </rPr>
          <t>17-5766 18-193 19-071 20-060 21-049 22-046 23-046 24-042 25-040 26-038</t>
        </r>
      </text>
    </comment>
    <comment ref="A84" authorId="0" shapeId="0" xr:uid="{98BF2410-556D-46D2-84CF-0223973E9F49}">
      <text>
        <r>
          <rPr>
            <sz val="9"/>
            <color indexed="81"/>
            <rFont val="MS P ゴシック"/>
            <family val="3"/>
            <charset val="128"/>
          </rPr>
          <t>17-5913 18-203 19-073 20-062 21-051 22-048 23-047 24-043 25-041 26-039</t>
        </r>
      </text>
    </comment>
    <comment ref="A86" authorId="0" shapeId="0" xr:uid="{D3E6DC25-36DC-4F1F-8C72-C42F408EA80E}">
      <text>
        <r>
          <rPr>
            <sz val="9"/>
            <color indexed="81"/>
            <rFont val="MS P ゴシック"/>
            <family val="3"/>
            <charset val="128"/>
          </rPr>
          <t>17-6900 18-324 19-082 20-065 21-053 22-050 23-048 24-044 25-042 26-040</t>
        </r>
      </text>
    </comment>
    <comment ref="A88" authorId="0" shapeId="0" xr:uid="{0C76AA82-2E70-4998-B2FD-D43B8E6E6229}">
      <text>
        <r>
          <rPr>
            <sz val="9"/>
            <color indexed="81"/>
            <rFont val="MS P ゴシック"/>
            <family val="3"/>
            <charset val="128"/>
          </rPr>
          <t>17-6936 18-332 19-084a 20-067 21-055 22-051 23-049 24-045 25-043 26-041</t>
        </r>
      </text>
    </comment>
    <comment ref="A90" authorId="0" shapeId="0" xr:uid="{B446EDBC-EE03-4408-9211-D043D1954767}">
      <text>
        <r>
          <rPr>
            <sz val="9"/>
            <color indexed="81"/>
            <rFont val="MS P ゴシック"/>
            <family val="3"/>
            <charset val="128"/>
          </rPr>
          <t>17-7565b 18-568 19-086b 20-069 21-057 22-053 23-051 24-047 25-044 26-042</t>
        </r>
      </text>
    </comment>
    <comment ref="A92" authorId="0" shapeId="0" xr:uid="{96F0AB3E-5EAC-4AAD-957E-A38814BDDAAA}">
      <text>
        <r>
          <rPr>
            <sz val="9"/>
            <color indexed="81"/>
            <rFont val="MS P ゴシック"/>
            <family val="3"/>
            <charset val="128"/>
          </rPr>
          <t>17-7630 18-615 19-088 20-070 21-058 22-054 23-052 24-048 25-045 26-043</t>
        </r>
      </text>
    </comment>
    <comment ref="A94" authorId="0" shapeId="0" xr:uid="{2B1A6DB3-A78D-405A-80B4-EEFA8342F2A8}">
      <text>
        <r>
          <rPr>
            <sz val="9"/>
            <color indexed="81"/>
            <rFont val="MS P ゴシック"/>
            <family val="3"/>
            <charset val="128"/>
          </rPr>
          <t>17-7859 18-811 19-091 20-072 21-060 22-056 23-053 24-049 25-046 26-044</t>
        </r>
      </text>
    </comment>
    <comment ref="A96" authorId="0" shapeId="0" xr:uid="{083B7449-23A6-4224-95EC-B336D96D2FF7}">
      <text>
        <r>
          <rPr>
            <sz val="9"/>
            <color indexed="81"/>
            <rFont val="MS P ゴシック"/>
            <family val="3"/>
            <charset val="128"/>
          </rPr>
          <t>17-8137 18-1089 19-093 20-073 21-061 22-057 23-054 24-050 25-047 26-045</t>
        </r>
      </text>
    </comment>
    <comment ref="A98" authorId="0" shapeId="0" xr:uid="{8155502D-F9BD-4BC4-9AE3-838654A14975}">
      <text>
        <r>
          <rPr>
            <sz val="9"/>
            <color indexed="81"/>
            <rFont val="MS P ゴシック"/>
            <family val="3"/>
            <charset val="128"/>
          </rPr>
          <t>17-8629 18-1579 19-100 20-078 21-065 22-059 23-055 24-051 25-048 26-046</t>
        </r>
      </text>
    </comment>
    <comment ref="A100" authorId="0" shapeId="0" xr:uid="{7A518184-2F79-48DC-ADF8-50F3065127A1}">
      <text>
        <r>
          <rPr>
            <sz val="9"/>
            <color indexed="81"/>
            <rFont val="MS P ゴシック"/>
            <family val="3"/>
            <charset val="128"/>
          </rPr>
          <t>17-9151 18-2101 19-107 20-080 21-067 22-061 23-057 24-053 25-049 26-047</t>
        </r>
      </text>
    </comment>
    <comment ref="A102" authorId="0" shapeId="0" xr:uid="{F606000B-BC7F-4010-A457-8255A17E5AE2}">
      <text>
        <r>
          <rPr>
            <sz val="9"/>
            <color indexed="81"/>
            <rFont val="MS P ゴシック"/>
            <family val="3"/>
            <charset val="128"/>
          </rPr>
          <t>17-9168 18-2118 19-108 20-081 21-068 22-062 23-058 24-054 25-050 26-048</t>
        </r>
      </text>
    </comment>
    <comment ref="A104" authorId="0" shapeId="0" xr:uid="{86A50D20-00C9-41B8-A86E-CECC17EA2E6A}">
      <text>
        <r>
          <rPr>
            <sz val="9"/>
            <color indexed="81"/>
            <rFont val="MS P ゴシック"/>
            <family val="3"/>
            <charset val="128"/>
          </rPr>
          <t>K18-44 K19-12 K20-11 D21-004 D22-004 23-059 24-055 25-051 26-049</t>
        </r>
      </text>
    </comment>
    <comment ref="A106" authorId="0" shapeId="0" xr:uid="{E5295B8A-928C-4D9E-B1CC-22643D92D68B}">
      <text>
        <r>
          <rPr>
            <sz val="9"/>
            <color indexed="81"/>
            <rFont val="MS P ゴシック"/>
            <family val="3"/>
            <charset val="128"/>
          </rPr>
          <t>18-3932 19-127 20-087 21-071 22-064 23-060 24-056 25-052 26-050</t>
        </r>
      </text>
    </comment>
    <comment ref="A108" authorId="0" shapeId="0" xr:uid="{3EBF4EF7-35E9-42EB-8DD4-002355EE47A1}">
      <text>
        <r>
          <rPr>
            <sz val="9"/>
            <color indexed="81"/>
            <rFont val="MS P ゴシック"/>
            <family val="3"/>
            <charset val="128"/>
          </rPr>
          <t>18-4033 19-131 20-088 21-072 22-065 23-061 24-057 25-053 26-051</t>
        </r>
      </text>
    </comment>
    <comment ref="A110" authorId="0" shapeId="0" xr:uid="{14AE11ED-7C44-400F-BF08-0F22D3F9A692}">
      <text>
        <r>
          <rPr>
            <sz val="9"/>
            <color indexed="81"/>
            <rFont val="MS P ゴシック"/>
            <family val="3"/>
            <charset val="128"/>
          </rPr>
          <t>18-4622 19-146 20-093 21-076 22-068 23-063 24-058 25-054 26-052</t>
        </r>
      </text>
    </comment>
    <comment ref="A112" authorId="0" shapeId="0" xr:uid="{C061FA78-C211-4BA1-9963-DFA08630E8E1}">
      <text>
        <r>
          <rPr>
            <sz val="9"/>
            <color indexed="81"/>
            <rFont val="MS P ゴシック"/>
            <family val="3"/>
            <charset val="128"/>
          </rPr>
          <t>18-4937 19-162 20-098 21-080 22-072 23-066 24-059 25-055 26-053</t>
        </r>
      </text>
    </comment>
    <comment ref="A114" authorId="0" shapeId="0" xr:uid="{6F0940AF-74B8-4053-9068-88FAD6DF568F}">
      <text>
        <r>
          <rPr>
            <sz val="9"/>
            <color indexed="81"/>
            <rFont val="MS P ゴシック"/>
            <family val="3"/>
            <charset val="128"/>
          </rPr>
          <t>18-5566 19-181 20-101 21-081 22-073 23-067 24-060 25-056 26-054</t>
        </r>
      </text>
    </comment>
    <comment ref="A116" authorId="0" shapeId="0" xr:uid="{24468AD2-91CE-42A4-854D-A70FA9D4E4B5}">
      <text>
        <r>
          <rPr>
            <sz val="9"/>
            <color indexed="81"/>
            <rFont val="MS P ゴシック"/>
            <family val="3"/>
            <charset val="128"/>
          </rPr>
          <t>18-6453 19-206 20-102 21-082 22-074 23-068 24-061 25-057 26-055</t>
        </r>
      </text>
    </comment>
    <comment ref="A118" authorId="0" shapeId="0" xr:uid="{353E58EF-8C0F-4908-8E34-97C8140C5EB6}">
      <text>
        <r>
          <rPr>
            <sz val="9"/>
            <color indexed="81"/>
            <rFont val="MS P ゴシック"/>
            <family val="3"/>
            <charset val="128"/>
          </rPr>
          <t>18-6670 19-219 20-105 21-084 22-076 23-070 24-062 25-058 26-056</t>
        </r>
      </text>
    </comment>
    <comment ref="A120" authorId="0" shapeId="0" xr:uid="{E270AC3A-FA22-4F9E-A0A0-E40DE141D530}">
      <text>
        <r>
          <rPr>
            <sz val="9"/>
            <color indexed="81"/>
            <rFont val="MS P ゴシック"/>
            <family val="3"/>
            <charset val="128"/>
          </rPr>
          <t>18-6949 19-242 20-106 21-085 22-077 23-071 24-063 25-059 26-057</t>
        </r>
      </text>
    </comment>
    <comment ref="A122" authorId="0" shapeId="0" xr:uid="{C4A694EA-D030-45E5-AE64-78C6A9914961}">
      <text>
        <r>
          <rPr>
            <sz val="9"/>
            <color indexed="81"/>
            <rFont val="MS P ゴシック"/>
            <family val="3"/>
            <charset val="128"/>
          </rPr>
          <t>18-7195 19-269 20-109 21-087 22-079 23-073 24-064 25-060 26-058</t>
        </r>
      </text>
    </comment>
    <comment ref="A124" authorId="0" shapeId="0" xr:uid="{04990CC1-566C-4ECD-85BC-76E415AB9184}">
      <text>
        <r>
          <rPr>
            <sz val="9"/>
            <color indexed="81"/>
            <rFont val="MS P ゴシック"/>
            <family val="3"/>
            <charset val="128"/>
          </rPr>
          <t>18-7731 19-346 20-113 21-089 22-080 23-074 24-065 25-061 26-059</t>
        </r>
      </text>
    </comment>
    <comment ref="A126" authorId="0" shapeId="0" xr:uid="{54C17CF9-C2BA-4DA3-A946-C8A8F1D68CCA}">
      <text>
        <r>
          <rPr>
            <sz val="9"/>
            <color indexed="81"/>
            <rFont val="MS P ゴシック"/>
            <family val="3"/>
            <charset val="128"/>
          </rPr>
          <t>18-8806 19-720 20-138 21-100 22-086 23-077 24-067 25-063 26-060</t>
        </r>
      </text>
    </comment>
    <comment ref="A128" authorId="0" shapeId="0" xr:uid="{1E3AADC7-0BA1-4E00-BC70-4C9C24F1A258}">
      <text>
        <r>
          <rPr>
            <sz val="9"/>
            <color indexed="81"/>
            <rFont val="MS P ゴシック"/>
            <family val="3"/>
            <charset val="128"/>
          </rPr>
          <t>18-9168 19-1052 20-148 21-105 22-090 23-079 24-068 25-064 26-061</t>
        </r>
      </text>
    </comment>
    <comment ref="A130" authorId="0" shapeId="0" xr:uid="{40B39E4A-DD63-4F91-BE87-E9F39AD8F1A1}">
      <text>
        <r>
          <rPr>
            <sz val="9"/>
            <color indexed="81"/>
            <rFont val="MS P ゴシック"/>
            <family val="3"/>
            <charset val="128"/>
          </rPr>
          <t>19-1294 20-156 21-109 22-093 23-083 24-070 25-065 26-062</t>
        </r>
      </text>
    </comment>
    <comment ref="A132" authorId="0" shapeId="0" xr:uid="{CD67BFA6-8573-44C4-B432-2A6B6024B70F}">
      <text>
        <r>
          <rPr>
            <sz val="9"/>
            <color indexed="81"/>
            <rFont val="MS P ゴシック"/>
            <family val="3"/>
            <charset val="128"/>
          </rPr>
          <t>19-1334 20-158 21-110 22-094 23-084 24-071 25-066 26-063</t>
        </r>
      </text>
    </comment>
    <comment ref="A134" authorId="0" shapeId="0" xr:uid="{E68842D9-4516-4FE6-9FC7-D9A389F06842}">
      <text>
        <r>
          <rPr>
            <sz val="9"/>
            <color indexed="81"/>
            <rFont val="MS P ゴシック"/>
            <family val="3"/>
            <charset val="128"/>
          </rPr>
          <t>19-1464 20-163 D21-007 D22-006 23-085 24-072 25-067 26-064</t>
        </r>
      </text>
    </comment>
    <comment ref="A136" authorId="0" shapeId="0" xr:uid="{BA049902-9DA1-4F3F-B5E3-9F91A317EB0A}">
      <text>
        <r>
          <rPr>
            <sz val="9"/>
            <color indexed="81"/>
            <rFont val="MS P ゴシック"/>
            <family val="3"/>
            <charset val="128"/>
          </rPr>
          <t>19-1527 20-165 21-112 22-095 23-086 24-073 25-068 26-065</t>
        </r>
      </text>
    </comment>
    <comment ref="A138" authorId="0" shapeId="0" xr:uid="{8F73709B-D03A-4474-9FFF-CE3E27373F26}">
      <text>
        <r>
          <rPr>
            <sz val="9"/>
            <color indexed="81"/>
            <rFont val="MS P ゴシック"/>
            <family val="3"/>
            <charset val="128"/>
          </rPr>
          <t>19-2208 20-184 D21-009 D22-007 23-087 24-074 25-069 26-066</t>
        </r>
      </text>
    </comment>
    <comment ref="A140" authorId="0" shapeId="0" xr:uid="{E81C6EC7-10A6-4186-9A51-FB37CC1BC061}">
      <text>
        <r>
          <rPr>
            <sz val="9"/>
            <color indexed="81"/>
            <rFont val="MS P ゴシック"/>
            <family val="3"/>
            <charset val="128"/>
          </rPr>
          <t>19-2275 20-187 21-120 22-099 23-088a 24-075 25-070 26-067</t>
        </r>
      </text>
    </comment>
    <comment ref="A142" authorId="0" shapeId="0" xr:uid="{87BB0D3B-DA2E-4F9E-A516-79944E29429E}">
      <text>
        <r>
          <rPr>
            <sz val="9"/>
            <color indexed="81"/>
            <rFont val="MS P ゴシック"/>
            <family val="3"/>
            <charset val="128"/>
          </rPr>
          <t>19-2418 20-192 21-122 22-100 23-088b 24-076 25-071 26-068</t>
        </r>
      </text>
    </comment>
    <comment ref="A144" authorId="0" shapeId="0" xr:uid="{D8657F1A-BDF1-4EC1-B8E2-D55C1BBE440C}">
      <text>
        <r>
          <rPr>
            <sz val="9"/>
            <color indexed="81"/>
            <rFont val="MS P ゴシック"/>
            <family val="3"/>
            <charset val="128"/>
          </rPr>
          <t>19-2638 20-201 21-126 22-103 23-091 24-077 25-072 26-069</t>
        </r>
      </text>
    </comment>
    <comment ref="A146" authorId="0" shapeId="0" xr:uid="{25C55A86-7A6E-454D-8EA9-F460655D206F}">
      <text>
        <r>
          <rPr>
            <sz val="9"/>
            <color indexed="81"/>
            <rFont val="MS P ゴシック"/>
            <family val="3"/>
            <charset val="128"/>
          </rPr>
          <t>19-2963 20-222 21-134 22-108b 23-094 24-078 25-073 26-070</t>
        </r>
      </text>
    </comment>
    <comment ref="A148" authorId="0" shapeId="0" xr:uid="{8BA59065-CA0E-4E41-B93A-4B8158F22D07}">
      <text>
        <r>
          <rPr>
            <sz val="9"/>
            <color indexed="81"/>
            <rFont val="MS P ゴシック"/>
            <family val="3"/>
            <charset val="128"/>
          </rPr>
          <t>19-3564 20-258 21-141 22-112 23-096 24-079 25-074 26-071</t>
        </r>
      </text>
    </comment>
    <comment ref="A150" authorId="0" shapeId="0" xr:uid="{80FED375-3FBC-4E50-8675-45C5426A8CB0}">
      <text>
        <r>
          <rPr>
            <sz val="9"/>
            <color indexed="81"/>
            <rFont val="MS P ゴシック"/>
            <family val="3"/>
            <charset val="128"/>
          </rPr>
          <t>19-3808 20-275 21-142 22-113 23-097 24-080 25-075 26-072</t>
        </r>
      </text>
    </comment>
    <comment ref="A152" authorId="0" shapeId="0" xr:uid="{019E1655-B531-4C84-A756-B2DC0E9D66D8}">
      <text>
        <r>
          <rPr>
            <sz val="9"/>
            <color indexed="81"/>
            <rFont val="MS P ゴシック"/>
            <family val="3"/>
            <charset val="128"/>
          </rPr>
          <t>19-4110 20-291 21-146 22-116 23-098 24-081 25-076 26-073</t>
        </r>
      </text>
    </comment>
    <comment ref="A154" authorId="0" shapeId="0" xr:uid="{4DEBC75C-FCC5-4DC5-B19A-F123C5096D25}">
      <text>
        <r>
          <rPr>
            <sz val="9"/>
            <color indexed="81"/>
            <rFont val="MS P ゴシック"/>
            <family val="3"/>
            <charset val="128"/>
          </rPr>
          <t>19-4445 20-323 21-148a 22-118 23-100 24-082 25-077 26-074</t>
        </r>
      </text>
    </comment>
    <comment ref="A156" authorId="0" shapeId="0" xr:uid="{C604D5D6-A1C5-4215-A966-E14555195BD9}">
      <text>
        <r>
          <rPr>
            <sz val="9"/>
            <color indexed="81"/>
            <rFont val="MS P ゴシック"/>
            <family val="3"/>
            <charset val="128"/>
          </rPr>
          <t>19-5099 20-415 D21-010 D22-008 23-101 24-083 25-078 26-075</t>
        </r>
      </text>
    </comment>
    <comment ref="A158" authorId="0" shapeId="0" xr:uid="{862865CA-2F34-4FD3-9055-E9FF258F0759}">
      <text>
        <r>
          <rPr>
            <sz val="9"/>
            <color indexed="81"/>
            <rFont val="MS P ゴシック"/>
            <family val="3"/>
            <charset val="128"/>
          </rPr>
          <t>20-1008 21-175 22-128 23-107 24-084 25-079 26-076</t>
        </r>
      </text>
    </comment>
    <comment ref="A160" authorId="0" shapeId="0" xr:uid="{D561C102-3B33-4C99-9530-2CD472111540}">
      <text>
        <r>
          <rPr>
            <sz val="9"/>
            <color indexed="81"/>
            <rFont val="MS P ゴシック"/>
            <family val="3"/>
            <charset val="128"/>
          </rPr>
          <t>20-1208ｂ 21-180 22-132 23-109 24-086 25-080 26-077</t>
        </r>
      </text>
    </comment>
    <comment ref="A162" authorId="0" shapeId="0" xr:uid="{C9D95173-1643-4CD7-AE09-333BFF7617E2}">
      <text>
        <r>
          <rPr>
            <sz val="9"/>
            <color indexed="81"/>
            <rFont val="MS P ゴシック"/>
            <family val="3"/>
            <charset val="128"/>
          </rPr>
          <t>20-1537 21-189 22-136 23-112 24-088 25-082 26-079</t>
        </r>
      </text>
    </comment>
    <comment ref="A164" authorId="0" shapeId="0" xr:uid="{E5AEB85C-8007-41B0-AFEF-232624E81C6E}">
      <text>
        <r>
          <rPr>
            <sz val="9"/>
            <color indexed="81"/>
            <rFont val="MS P ゴシック"/>
            <family val="3"/>
            <charset val="128"/>
          </rPr>
          <t>20-1565 21-191 22-137 23-113 24-089 25-083 26-080</t>
        </r>
      </text>
    </comment>
    <comment ref="A166" authorId="0" shapeId="0" xr:uid="{2968CF31-EB2F-4E3F-82C0-6C061EEF0137}">
      <text>
        <r>
          <rPr>
            <sz val="9"/>
            <color indexed="81"/>
            <rFont val="MS P ゴシック"/>
            <family val="3"/>
            <charset val="128"/>
          </rPr>
          <t>20-1623 21-193 22-138 23-114 24-090 25-084 26-081</t>
        </r>
      </text>
    </comment>
    <comment ref="A168" authorId="0" shapeId="0" xr:uid="{9B24CFE9-3AD9-47C0-BB56-5FFFEA115DEA}">
      <text>
        <r>
          <rPr>
            <sz val="9"/>
            <color indexed="81"/>
            <rFont val="MS P ゴシック"/>
            <family val="3"/>
            <charset val="128"/>
          </rPr>
          <t>20-1931 21-204 22-141 23-118 24-091 25-085 26-082</t>
        </r>
      </text>
    </comment>
    <comment ref="A170" authorId="0" shapeId="0" xr:uid="{18E3A130-9CDB-4786-AAAA-D16CB0A90756}">
      <text>
        <r>
          <rPr>
            <sz val="9"/>
            <color indexed="81"/>
            <rFont val="MS P ゴシック"/>
            <family val="3"/>
            <charset val="128"/>
          </rPr>
          <t>20-2111 21-241 22-144 23-119 24-092 25-086 26-083</t>
        </r>
      </text>
    </comment>
    <comment ref="A172" authorId="0" shapeId="0" xr:uid="{5F04CA23-5B45-4A91-B5BE-182F8C3F6731}">
      <text>
        <r>
          <rPr>
            <sz val="9"/>
            <color indexed="81"/>
            <rFont val="MS P ゴシック"/>
            <family val="3"/>
            <charset val="128"/>
          </rPr>
          <t>20-2291 21-245 22-145 23-120 24-093 25-087 26-084</t>
        </r>
      </text>
    </comment>
    <comment ref="A174" authorId="0" shapeId="0" xr:uid="{8D4A00EE-1880-4DB2-BC30-F8ACD1EBB5D5}">
      <text>
        <r>
          <rPr>
            <sz val="9"/>
            <color indexed="81"/>
            <rFont val="MS P ゴシック"/>
            <family val="3"/>
            <charset val="128"/>
          </rPr>
          <t>20-2340 21-248 22-147 23-121 24-094 25-088 26-085</t>
        </r>
      </text>
    </comment>
    <comment ref="A176" authorId="0" shapeId="0" xr:uid="{02A9A2B3-2860-482B-AEBF-B6909D0F0B96}">
      <text>
        <r>
          <rPr>
            <sz val="9"/>
            <color indexed="81"/>
            <rFont val="MS P ゴシック"/>
            <family val="3"/>
            <charset val="128"/>
          </rPr>
          <t>20-2410 21-251 22-148 23-122 24-095 25-089 26-086</t>
        </r>
      </text>
    </comment>
    <comment ref="A178" authorId="0" shapeId="0" xr:uid="{D114AA68-273A-4A4E-A61D-24A22BD5C52B}">
      <text>
        <r>
          <rPr>
            <sz val="9"/>
            <color indexed="81"/>
            <rFont val="MS P ゴシック"/>
            <family val="3"/>
            <charset val="128"/>
          </rPr>
          <t>20-2510 21-257 22-150 23-124 24-096 25-090 26-087</t>
        </r>
      </text>
    </comment>
    <comment ref="A180" authorId="0" shapeId="0" xr:uid="{F5491D35-0E32-4B6B-897A-AD3A7C3F9376}">
      <text>
        <r>
          <rPr>
            <sz val="9"/>
            <color indexed="81"/>
            <rFont val="MS P ゴシック"/>
            <family val="3"/>
            <charset val="128"/>
          </rPr>
          <t>20-2513 21-258 22-151 23-125 24-097 25-091 26-088</t>
        </r>
      </text>
    </comment>
    <comment ref="A182" authorId="0" shapeId="0" xr:uid="{849F046C-16D5-4B32-A08C-3D6B8C41B9E3}">
      <text>
        <r>
          <rPr>
            <sz val="9"/>
            <color indexed="81"/>
            <rFont val="MS P ゴシック"/>
            <family val="3"/>
            <charset val="128"/>
          </rPr>
          <t>20-2711 21-263 22-152 23-126 24-098 25-092 26-089</t>
        </r>
      </text>
    </comment>
    <comment ref="A184" authorId="0" shapeId="0" xr:uid="{092645C3-CD10-4445-89D7-2A0918E51DB1}">
      <text>
        <r>
          <rPr>
            <sz val="9"/>
            <color indexed="81"/>
            <rFont val="MS P ゴシック"/>
            <family val="3"/>
            <charset val="128"/>
          </rPr>
          <t>20-3096 21-278 22-153 23-127 24-099 25-093 26-090</t>
        </r>
      </text>
    </comment>
    <comment ref="A186" authorId="0" shapeId="0" xr:uid="{9A4E6885-9464-4E6E-A039-029D4A53E6F3}">
      <text>
        <r>
          <rPr>
            <sz val="9"/>
            <color indexed="81"/>
            <rFont val="MS P ゴシック"/>
            <family val="3"/>
            <charset val="128"/>
          </rPr>
          <t>20-3743 21-309 22-161 23-132 24-100 25-094 26-091</t>
        </r>
      </text>
    </comment>
    <comment ref="A188" authorId="0" shapeId="0" xr:uid="{3BA8F789-4B24-427D-9144-0A1796138168}">
      <text>
        <r>
          <rPr>
            <sz val="9"/>
            <color indexed="81"/>
            <rFont val="MS P ゴシック"/>
            <family val="3"/>
            <charset val="128"/>
          </rPr>
          <t>20-3826 21-314 22-162 23-133 24-101 25-095 26-092</t>
        </r>
      </text>
    </comment>
    <comment ref="A190" authorId="0" shapeId="0" xr:uid="{E65053CE-B0BC-45B0-919E-990F6E3D1B22}">
      <text>
        <r>
          <rPr>
            <sz val="9"/>
            <color indexed="81"/>
            <rFont val="MS P ゴシック"/>
            <family val="3"/>
            <charset val="128"/>
          </rPr>
          <t>20-3902 21-320 22-163 23-135 24-102 25-096 26-093</t>
        </r>
      </text>
    </comment>
    <comment ref="A192" authorId="0" shapeId="0" xr:uid="{7E96D592-36BC-4D68-B06E-07AA0C3D7F37}">
      <text>
        <r>
          <rPr>
            <sz val="9"/>
            <color indexed="81"/>
            <rFont val="MS P ゴシック"/>
            <family val="3"/>
            <charset val="128"/>
          </rPr>
          <t>20-3963 21-327 22-167 23-136 24-103 25-097 26-094</t>
        </r>
      </text>
    </comment>
    <comment ref="A194" authorId="0" shapeId="0" xr:uid="{BC515597-AC15-403C-B820-DF8C1DB57B3D}">
      <text>
        <r>
          <rPr>
            <sz val="9"/>
            <color indexed="81"/>
            <rFont val="MS P ゴシック"/>
            <family val="3"/>
            <charset val="128"/>
          </rPr>
          <t>20-3991 21-329 22-168 23-137 24-104 25-098 26-095</t>
        </r>
      </text>
    </comment>
    <comment ref="A196" authorId="0" shapeId="0" xr:uid="{7833D640-4748-4851-8598-D1C7F960C344}">
      <text>
        <r>
          <rPr>
            <sz val="9"/>
            <color indexed="81"/>
            <rFont val="MS P ゴシック"/>
            <family val="3"/>
            <charset val="128"/>
          </rPr>
          <t>20-4133 21-343 22-171 23-139 24-105 25-099 26-096</t>
        </r>
      </text>
    </comment>
    <comment ref="A198" authorId="0" shapeId="0" xr:uid="{3C747D1A-ACE4-4D1A-BFB1-481C8F3BDC69}">
      <text>
        <r>
          <rPr>
            <sz val="9"/>
            <color indexed="81"/>
            <rFont val="MS P ゴシック"/>
            <family val="3"/>
            <charset val="128"/>
          </rPr>
          <t>20-4222 21-346 22-172 23-140 24-106 25-100 26-097</t>
        </r>
      </text>
    </comment>
    <comment ref="A200" authorId="0" shapeId="0" xr:uid="{6B486C4D-D956-4368-99D0-1DDC3932E9E2}">
      <text>
        <r>
          <rPr>
            <sz val="9"/>
            <color indexed="81"/>
            <rFont val="MS P ゴシック"/>
            <family val="3"/>
            <charset val="128"/>
          </rPr>
          <t>20-4303 21-350 22-173 23-141 24-107 25-101 26-098</t>
        </r>
      </text>
    </comment>
    <comment ref="A202" authorId="0" shapeId="0" xr:uid="{28DD1A9F-F1D6-497D-9D4E-95F0AEA293BE}">
      <text>
        <r>
          <rPr>
            <sz val="9"/>
            <color indexed="81"/>
            <rFont val="MS P ゴシック"/>
            <family val="3"/>
            <charset val="128"/>
          </rPr>
          <t>K20-237 D21-014 D22-012 23-143 24-109 25-103 26-100</t>
        </r>
      </text>
    </comment>
    <comment ref="A204" authorId="0" shapeId="0" xr:uid="{E0A0504B-5982-4C1E-889E-A20D46FA3B60}">
      <text>
        <r>
          <rPr>
            <sz val="9"/>
            <color indexed="81"/>
            <rFont val="MS P ゴシック"/>
            <family val="3"/>
            <charset val="128"/>
          </rPr>
          <t>20-4426 21-364 22-175 23-144 24-110 25-104 26-101</t>
        </r>
      </text>
    </comment>
    <comment ref="A206" authorId="0" shapeId="0" xr:uid="{FB2483BD-1E37-4EE8-8A81-F7EE5E5B420C}">
      <text>
        <r>
          <rPr>
            <sz val="9"/>
            <color indexed="81"/>
            <rFont val="MS P ゴシック"/>
            <family val="3"/>
            <charset val="128"/>
          </rPr>
          <t>20-4465 21-368 22-176 23-145 24-111 25-105 26-102</t>
        </r>
      </text>
    </comment>
    <comment ref="A208" authorId="0" shapeId="0" xr:uid="{CDE11B1E-1898-44A0-96B6-CB4CC8B82EFE}">
      <text>
        <r>
          <rPr>
            <sz val="9"/>
            <color indexed="81"/>
            <rFont val="MS P ゴシック"/>
            <family val="3"/>
            <charset val="128"/>
          </rPr>
          <t>20-4473 21-369 22-177 23-146 24-112 25-106 26-103</t>
        </r>
      </text>
    </comment>
    <comment ref="A210" authorId="0" shapeId="0" xr:uid="{FFC766BD-B531-4219-A91D-A810F7F7B9F1}">
      <text>
        <r>
          <rPr>
            <sz val="9"/>
            <color indexed="81"/>
            <rFont val="MS P ゴシック"/>
            <family val="3"/>
            <charset val="128"/>
          </rPr>
          <t>20-4966 D21-016 D22-013 23-149 24-114 25-108 26-104</t>
        </r>
      </text>
    </comment>
    <comment ref="A212" authorId="0" shapeId="0" xr:uid="{59241CDC-16A2-4B52-ADD1-C1909718E84B}">
      <text>
        <r>
          <rPr>
            <sz val="9"/>
            <color indexed="81"/>
            <rFont val="MS P ゴシック"/>
            <family val="3"/>
            <charset val="128"/>
          </rPr>
          <t>20-5069 21-441 22-186 23-152 24-115 25-109 26-105</t>
        </r>
      </text>
    </comment>
    <comment ref="A214" authorId="0" shapeId="0" xr:uid="{521B1FDC-8D63-4B45-B5BF-710C5F6A132C}">
      <text>
        <r>
          <rPr>
            <sz val="9"/>
            <color indexed="81"/>
            <rFont val="MS P ゴシック"/>
            <family val="3"/>
            <charset val="128"/>
          </rPr>
          <t>20-5324 21-476 22-190 23-153 24-116 25-110 26-106</t>
        </r>
      </text>
    </comment>
    <comment ref="A216" authorId="0" shapeId="0" xr:uid="{1EBE56C2-8BFC-4F80-8ADF-5F6D8FCB8141}">
      <text>
        <r>
          <rPr>
            <sz val="9"/>
            <color indexed="81"/>
            <rFont val="MS P ゴシック"/>
            <family val="3"/>
            <charset val="128"/>
          </rPr>
          <t>20-5325 21-477a 22-191 23-154 24-117 25-111 26-107</t>
        </r>
      </text>
    </comment>
    <comment ref="A218" authorId="0" shapeId="0" xr:uid="{6C14DF6A-990B-416A-90D4-3C76DDC5DC68}">
      <text>
        <r>
          <rPr>
            <sz val="9"/>
            <color indexed="81"/>
            <rFont val="MS P ゴシック"/>
            <family val="3"/>
            <charset val="128"/>
          </rPr>
          <t>20-5343 21-479 22-192 23-155 24-118 25-112 26-108</t>
        </r>
      </text>
    </comment>
    <comment ref="A220" authorId="0" shapeId="0" xr:uid="{F40C9357-0F60-4FF3-A901-997966A38914}">
      <text>
        <r>
          <rPr>
            <sz val="9"/>
            <color indexed="81"/>
            <rFont val="MS P ゴシック"/>
            <family val="3"/>
            <charset val="128"/>
          </rPr>
          <t>20-5366 21-483 22-193 23-156 24-119 25-113 26-109</t>
        </r>
      </text>
    </comment>
    <comment ref="A222" authorId="0" shapeId="0" xr:uid="{CE6E1FB7-8B2D-4323-8A17-F7B868CF5441}">
      <text>
        <r>
          <rPr>
            <sz val="9"/>
            <color indexed="81"/>
            <rFont val="MS P ゴシック"/>
            <family val="3"/>
            <charset val="128"/>
          </rPr>
          <t>20-5464 21-511 22-196 23-157 24-120 25-114 26-110</t>
        </r>
      </text>
    </comment>
    <comment ref="A224" authorId="0" shapeId="0" xr:uid="{642C8DA6-D406-45BF-9418-7A2FE71EC6B5}">
      <text>
        <r>
          <rPr>
            <sz val="9"/>
            <color indexed="81"/>
            <rFont val="MS P ゴシック"/>
            <family val="3"/>
            <charset val="128"/>
          </rPr>
          <t>20-5660 21-584 22-198 23-159 24-121 25-115 26-111</t>
        </r>
      </text>
    </comment>
    <comment ref="A226" authorId="0" shapeId="0" xr:uid="{1977D084-675E-4A6B-9A15-491DEE2CDDB3}">
      <text>
        <r>
          <rPr>
            <sz val="9"/>
            <color indexed="81"/>
            <rFont val="MS P ゴシック"/>
            <family val="3"/>
            <charset val="128"/>
          </rPr>
          <t>21-1428 22-212 23-166 24-125 25-117 26-112</t>
        </r>
      </text>
    </comment>
    <comment ref="A228" authorId="0" shapeId="0" xr:uid="{FA859ABA-5401-4424-9AAD-C579DBAEFD0B}">
      <text>
        <r>
          <rPr>
            <sz val="9"/>
            <color indexed="81"/>
            <rFont val="MS P ゴシック"/>
            <family val="3"/>
            <charset val="128"/>
          </rPr>
          <t>D21-020 D22-016 23-176 24-132 25-119 26-114</t>
        </r>
      </text>
    </comment>
    <comment ref="A230" authorId="0" shapeId="0" xr:uid="{B00B7B4E-91EC-48F2-94E0-B6BD9AF573B2}">
      <text>
        <r>
          <rPr>
            <sz val="9"/>
            <color indexed="81"/>
            <rFont val="MS P ゴシック"/>
            <family val="3"/>
            <charset val="128"/>
          </rPr>
          <t>21-3723 22-270 23-186 24-134 25-121 26-115</t>
        </r>
      </text>
    </comment>
    <comment ref="A232" authorId="0" shapeId="0" xr:uid="{9DA41242-F3F9-41B4-A84D-ACAB8645A24C}">
      <text>
        <r>
          <rPr>
            <sz val="9"/>
            <color indexed="81"/>
            <rFont val="MS P ゴシック"/>
            <family val="3"/>
            <charset val="128"/>
          </rPr>
          <t>21-3811 D22-019 23-187a 24-135 25-122 26-116</t>
        </r>
      </text>
    </comment>
    <comment ref="A234" authorId="0" shapeId="0" xr:uid="{5C9C170F-806D-4846-949E-8D8A330808F5}">
      <text>
        <r>
          <rPr>
            <sz val="9"/>
            <color indexed="81"/>
            <rFont val="MS P ゴシック"/>
            <family val="3"/>
            <charset val="128"/>
          </rPr>
          <t>21-3911 22-276 23-187b 24-136 25-123 26-117</t>
        </r>
      </text>
    </comment>
    <comment ref="A236" authorId="0" shapeId="0" xr:uid="{89B22BEA-A0C8-4579-9D1D-E741A00F7B72}">
      <text>
        <r>
          <rPr>
            <sz val="9"/>
            <color indexed="81"/>
            <rFont val="MS P ゴシック"/>
            <family val="3"/>
            <charset val="128"/>
          </rPr>
          <t>21-4021 22-282 23-190 24-137 25-124 26-118</t>
        </r>
      </text>
    </comment>
    <comment ref="A238" authorId="0" shapeId="0" xr:uid="{CC38D65F-BDB8-4C19-AB99-A0507DBD03E3}">
      <text>
        <r>
          <rPr>
            <sz val="9"/>
            <color indexed="81"/>
            <rFont val="MS P ゴシック"/>
            <family val="3"/>
            <charset val="128"/>
          </rPr>
          <t>21-4303 22-307 23-195 24-142 25-127 26-120</t>
        </r>
      </text>
    </comment>
    <comment ref="A240" authorId="0" shapeId="0" xr:uid="{1FBBFB87-E4AC-4931-92E5-752CFEAA5B57}">
      <text>
        <r>
          <rPr>
            <sz val="9"/>
            <color indexed="81"/>
            <rFont val="MS P ゴシック"/>
            <family val="3"/>
            <charset val="128"/>
          </rPr>
          <t>21-4401 22-321 23-196 24-143 25-128 26-121</t>
        </r>
      </text>
    </comment>
    <comment ref="A242" authorId="0" shapeId="0" xr:uid="{9A6F8601-758A-4808-9364-884501A0DB2A}">
      <text>
        <r>
          <rPr>
            <sz val="9"/>
            <color indexed="81"/>
            <rFont val="MS P ゴシック"/>
            <family val="3"/>
            <charset val="128"/>
          </rPr>
          <t>21-4493 22-334 23-198 24-145 25-129 26-122</t>
        </r>
      </text>
    </comment>
    <comment ref="A244" authorId="0" shapeId="0" xr:uid="{FC2672B0-1070-4BBF-97EF-0038B3F314F3}">
      <text>
        <r>
          <rPr>
            <sz val="9"/>
            <color indexed="81"/>
            <rFont val="MS P ゴシック"/>
            <family val="3"/>
            <charset val="128"/>
          </rPr>
          <t>21-4614 22-357 23-200 24-147 25-131 26-124</t>
        </r>
      </text>
    </comment>
    <comment ref="A246" authorId="0" shapeId="0" xr:uid="{DD24E2AC-C0AB-4003-BC17-8B0A64DD878A}">
      <text>
        <r>
          <rPr>
            <sz val="9"/>
            <color indexed="81"/>
            <rFont val="MS P ゴシック"/>
            <family val="3"/>
            <charset val="128"/>
          </rPr>
          <t>21-4654 22-363 23-202 24-148 25-132 26-125</t>
        </r>
      </text>
    </comment>
    <comment ref="A248" authorId="0" shapeId="0" xr:uid="{076848AE-2C69-4821-B05C-D2D31BB128D8}">
      <text>
        <r>
          <rPr>
            <sz val="9"/>
            <color indexed="81"/>
            <rFont val="MS P ゴシック"/>
            <family val="3"/>
            <charset val="128"/>
          </rPr>
          <t>21-4695 22-372 23-203 24-149 25-133 26-126</t>
        </r>
      </text>
    </comment>
    <comment ref="A250" authorId="0" shapeId="0" xr:uid="{C0648B1A-B289-4F94-8B84-3FA970954021}">
      <text>
        <r>
          <rPr>
            <sz val="9"/>
            <color indexed="81"/>
            <rFont val="MS P ゴシック"/>
            <family val="3"/>
            <charset val="128"/>
          </rPr>
          <t>21-5010 22-458 23-205 24-150 25-134 26-127</t>
        </r>
      </text>
    </comment>
    <comment ref="A252" authorId="0" shapeId="0" xr:uid="{9495E9EF-1C7D-4EB8-B992-DC44FAF54716}">
      <text>
        <r>
          <rPr>
            <sz val="9"/>
            <color indexed="81"/>
            <rFont val="MS P ゴシック"/>
            <family val="3"/>
            <charset val="128"/>
          </rPr>
          <t>21-5074 22-491 23-207 24-152 25-135 26-128</t>
        </r>
      </text>
    </comment>
    <comment ref="A254" authorId="0" shapeId="0" xr:uid="{4599A384-1ED9-4305-89E7-91BE2BF8F181}">
      <text>
        <r>
          <rPr>
            <sz val="9"/>
            <color indexed="81"/>
            <rFont val="MS P ゴシック"/>
            <family val="3"/>
            <charset val="128"/>
          </rPr>
          <t>21-5141 22-522 23-209 24-154 25-136 26-129</t>
        </r>
      </text>
    </comment>
    <comment ref="A256" authorId="0" shapeId="0" xr:uid="{32FF4DF3-B353-4F61-8CD4-746E4FCC05DC}">
      <text>
        <r>
          <rPr>
            <sz val="9"/>
            <color indexed="81"/>
            <rFont val="MS P ゴシック"/>
            <family val="3"/>
            <charset val="128"/>
          </rPr>
          <t>21-5146 22-526 23-211 24-156 25-138 26-131</t>
        </r>
      </text>
    </comment>
    <comment ref="A258" authorId="0" shapeId="0" xr:uid="{131670E9-F7F9-4F67-9943-4436F5CB4827}">
      <text>
        <r>
          <rPr>
            <sz val="9"/>
            <color indexed="81"/>
            <rFont val="MS P ゴシック"/>
            <family val="3"/>
            <charset val="128"/>
          </rPr>
          <t>21-5208 22-563 23-213 24-158 25-139 26-132</t>
        </r>
      </text>
    </comment>
    <comment ref="A260" authorId="0" shapeId="0" xr:uid="{D264895F-1C5B-41A0-965A-73694D8F79BD}">
      <text>
        <r>
          <rPr>
            <sz val="9"/>
            <color indexed="81"/>
            <rFont val="MS P ゴシック"/>
            <family val="3"/>
            <charset val="128"/>
          </rPr>
          <t>21-5275 22-611 23-217 24-159 25-140 26-133</t>
        </r>
      </text>
    </comment>
    <comment ref="A262" authorId="0" shapeId="0" xr:uid="{0BCF64AD-ABAD-4B93-8B95-9EAD00FEBEC3}">
      <text>
        <r>
          <rPr>
            <sz val="9"/>
            <color indexed="81"/>
            <rFont val="MS P ゴシック"/>
            <family val="3"/>
            <charset val="128"/>
          </rPr>
          <t>21-5369 22-693 23-220 24-160 25-141 26-134</t>
        </r>
      </text>
    </comment>
    <comment ref="A264" authorId="0" shapeId="0" xr:uid="{906C2400-3EEA-43EE-987F-35713B463E8C}">
      <text>
        <r>
          <rPr>
            <sz val="9"/>
            <color indexed="81"/>
            <rFont val="MS P ゴシック"/>
            <family val="3"/>
            <charset val="128"/>
          </rPr>
          <t xml:space="preserve"> 22-910 23-228 24-163 25-143 26-136</t>
        </r>
      </text>
    </comment>
    <comment ref="A266" authorId="0" shapeId="0" xr:uid="{2F6847C4-3E37-468B-8B04-9A12573D49B2}">
      <text>
        <r>
          <rPr>
            <sz val="9"/>
            <color indexed="81"/>
            <rFont val="MS P ゴシック"/>
            <family val="3"/>
            <charset val="128"/>
          </rPr>
          <t xml:space="preserve"> 22-1037 23-230 24-165 25-144 26-137</t>
        </r>
      </text>
    </comment>
    <comment ref="A268" authorId="0" shapeId="0" xr:uid="{C039CBA3-2F28-4CD2-96DE-B1D0F75C4725}">
      <text>
        <r>
          <rPr>
            <sz val="9"/>
            <color indexed="81"/>
            <rFont val="MS P ゴシック"/>
            <family val="3"/>
            <charset val="128"/>
          </rPr>
          <t xml:space="preserve"> 22-1177 23-233 24-168 25-146 26-138</t>
        </r>
      </text>
    </comment>
    <comment ref="A270" authorId="0" shapeId="0" xr:uid="{0C65ABD2-8079-47E0-AEBE-518B7EF9A736}">
      <text>
        <r>
          <rPr>
            <sz val="9"/>
            <color indexed="81"/>
            <rFont val="MS P ゴシック"/>
            <family val="3"/>
            <charset val="128"/>
          </rPr>
          <t xml:space="preserve"> 22-1180 23-234 24-169 25-147 26-139</t>
        </r>
      </text>
    </comment>
    <comment ref="A272" authorId="0" shapeId="0" xr:uid="{95AF6AF7-9629-431A-8D9C-5FEEBDAF5061}">
      <text>
        <r>
          <rPr>
            <sz val="9"/>
            <color indexed="81"/>
            <rFont val="MS P ゴシック"/>
            <family val="3"/>
            <charset val="128"/>
          </rPr>
          <t xml:space="preserve"> 22-1320 23-237 24-170 25-148 26-140</t>
        </r>
      </text>
    </comment>
    <comment ref="A274" authorId="0" shapeId="0" xr:uid="{F43E589F-584E-47E5-B872-87BBC7F080F5}">
      <text>
        <r>
          <rPr>
            <sz val="9"/>
            <color indexed="81"/>
            <rFont val="MS P ゴシック"/>
            <family val="3"/>
            <charset val="128"/>
          </rPr>
          <t xml:space="preserve"> 22-1398 23-241 24-171 25-149 26-141</t>
        </r>
      </text>
    </comment>
    <comment ref="A276" authorId="0" shapeId="0" xr:uid="{99C2BA14-F5ED-4FD3-97B1-716F7A5E568A}">
      <text>
        <r>
          <rPr>
            <sz val="9"/>
            <color indexed="81"/>
            <rFont val="MS P ゴシック"/>
            <family val="3"/>
            <charset val="128"/>
          </rPr>
          <t xml:space="preserve"> 22-1472 23-244 24-173 25-151 26-143</t>
        </r>
      </text>
    </comment>
    <comment ref="A278" authorId="0" shapeId="0" xr:uid="{9363E673-1F57-4A83-95BF-88B60837B57C}">
      <text>
        <r>
          <rPr>
            <sz val="9"/>
            <color indexed="81"/>
            <rFont val="MS P ゴシック"/>
            <family val="3"/>
            <charset val="128"/>
          </rPr>
          <t xml:space="preserve"> 22-1513 23-245 24-174 25-152 26-144</t>
        </r>
      </text>
    </comment>
    <comment ref="A280" authorId="0" shapeId="0" xr:uid="{6FDE7CAD-9FD9-4EBF-AF75-F1176D8C1224}">
      <text>
        <r>
          <rPr>
            <sz val="9"/>
            <color indexed="81"/>
            <rFont val="MS P ゴシック"/>
            <family val="3"/>
            <charset val="128"/>
          </rPr>
          <t xml:space="preserve"> 22-1601 23-248 24-176 25-153 26-145</t>
        </r>
      </text>
    </comment>
    <comment ref="A282" authorId="0" shapeId="0" xr:uid="{9310C787-F961-427B-B4B8-1ADECD3C7865}">
      <text>
        <r>
          <rPr>
            <sz val="9"/>
            <color indexed="81"/>
            <rFont val="MS P ゴシック"/>
            <family val="3"/>
            <charset val="128"/>
          </rPr>
          <t xml:space="preserve"> 22-1610ｃ 23-251 24-177 25-154 26-146</t>
        </r>
      </text>
    </comment>
    <comment ref="A284" authorId="0" shapeId="0" xr:uid="{F9091F6B-4D88-4B0D-B20D-BD216CCAAD5D}">
      <text>
        <r>
          <rPr>
            <sz val="9"/>
            <color indexed="81"/>
            <rFont val="MS P ゴシック"/>
            <family val="3"/>
            <charset val="128"/>
          </rPr>
          <t xml:space="preserve"> 22-1612 23-253 24-178 25-155 26-147</t>
        </r>
      </text>
    </comment>
    <comment ref="A286" authorId="0" shapeId="0" xr:uid="{B734ACEB-CCF0-41E3-88CE-E6595C827A48}">
      <text>
        <r>
          <rPr>
            <sz val="9"/>
            <color indexed="81"/>
            <rFont val="MS P ゴシック"/>
            <family val="3"/>
            <charset val="128"/>
          </rPr>
          <t xml:space="preserve"> 22-1613 23-254 24-179 25-156 26-148</t>
        </r>
      </text>
    </comment>
    <comment ref="A288" authorId="0" shapeId="0" xr:uid="{9D827BD6-24A3-48ED-9046-9D713F5F9F5A}">
      <text>
        <r>
          <rPr>
            <sz val="9"/>
            <color indexed="81"/>
            <rFont val="MS P ゴシック"/>
            <family val="3"/>
            <charset val="128"/>
          </rPr>
          <t xml:space="preserve"> 22-1630 23-255 24-180 25-157 26-149</t>
        </r>
      </text>
    </comment>
    <comment ref="A290" authorId="0" shapeId="0" xr:uid="{17D27768-1BBD-419D-BA29-ED1329B260F9}">
      <text>
        <r>
          <rPr>
            <sz val="9"/>
            <color indexed="81"/>
            <rFont val="MS P ゴシック"/>
            <family val="3"/>
            <charset val="128"/>
          </rPr>
          <t xml:space="preserve"> 22-1633 23-256 24-181 25-158 26-150</t>
        </r>
      </text>
    </comment>
    <comment ref="A292" authorId="0" shapeId="0" xr:uid="{5DE50157-EDE8-4C26-9FF1-5F3F9D4F06AC}">
      <text>
        <r>
          <rPr>
            <sz val="9"/>
            <color indexed="81"/>
            <rFont val="MS P ゴシック"/>
            <family val="3"/>
            <charset val="128"/>
          </rPr>
          <t xml:space="preserve"> 22-1641 23-258 24-183 25-160 26-152</t>
        </r>
      </text>
    </comment>
    <comment ref="A294" authorId="0" shapeId="0" xr:uid="{854B8A60-E4A8-4DDE-B367-C5536BB8F1F1}">
      <text>
        <r>
          <rPr>
            <sz val="9"/>
            <color indexed="81"/>
            <rFont val="MS P ゴシック"/>
            <family val="3"/>
            <charset val="128"/>
          </rPr>
          <t xml:space="preserve"> 22-1661 23-259 24-184 25-161 26-153</t>
        </r>
      </text>
    </comment>
    <comment ref="A296" authorId="0" shapeId="0" xr:uid="{9EFA7603-BC5B-4D86-BE41-88CBA0218134}">
      <text>
        <r>
          <rPr>
            <sz val="9"/>
            <color indexed="81"/>
            <rFont val="MS P ゴシック"/>
            <family val="3"/>
            <charset val="128"/>
          </rPr>
          <t xml:space="preserve"> 22-1697 23-261 24-186 25-163 26-154</t>
        </r>
      </text>
    </comment>
    <comment ref="A298" authorId="0" shapeId="0" xr:uid="{2A63703B-E0A3-4EE8-B006-6BCF8621BAA6}">
      <text>
        <r>
          <rPr>
            <sz val="9"/>
            <color indexed="81"/>
            <rFont val="MS P ゴシック"/>
            <family val="3"/>
            <charset val="128"/>
          </rPr>
          <t xml:space="preserve"> 22-1700 23-262 24-187 25-164 26-155</t>
        </r>
      </text>
    </comment>
    <comment ref="A300" authorId="0" shapeId="0" xr:uid="{698B0718-B695-4E71-9EF9-8101A6859229}">
      <text>
        <r>
          <rPr>
            <sz val="9"/>
            <color indexed="81"/>
            <rFont val="MS P ゴシック"/>
            <family val="3"/>
            <charset val="128"/>
          </rPr>
          <t xml:space="preserve"> 22-1703 23-263 24-188 25-165 26-156</t>
        </r>
      </text>
    </comment>
    <comment ref="A302" authorId="0" shapeId="0" xr:uid="{B195FACD-6383-46D5-B28F-790A268D5AE1}">
      <text>
        <r>
          <rPr>
            <sz val="9"/>
            <color indexed="81"/>
            <rFont val="MS P ゴシック"/>
            <family val="3"/>
            <charset val="128"/>
          </rPr>
          <t xml:space="preserve"> 22-1832 23-270 24-193 25-167 26-157</t>
        </r>
      </text>
    </comment>
    <comment ref="A304" authorId="0" shapeId="0" xr:uid="{0DEFA4E1-3B71-4785-8F2A-3548FC8344AA}">
      <text>
        <r>
          <rPr>
            <sz val="9"/>
            <color indexed="81"/>
            <rFont val="MS P ゴシック"/>
            <family val="3"/>
            <charset val="128"/>
          </rPr>
          <t xml:space="preserve"> 22-1928 23-275 24-194 25-168 26-158</t>
        </r>
      </text>
    </comment>
    <comment ref="A306" authorId="0" shapeId="0" xr:uid="{C2FAF7CB-B215-49FC-9C54-B7075B25FFC9}">
      <text>
        <r>
          <rPr>
            <sz val="9"/>
            <color indexed="81"/>
            <rFont val="MS P ゴシック"/>
            <family val="3"/>
            <charset val="128"/>
          </rPr>
          <t xml:space="preserve"> 22-1983 23-277 24-195 25-169 26-159</t>
        </r>
      </text>
    </comment>
    <comment ref="A308" authorId="0" shapeId="0" xr:uid="{863BA529-C9EA-43AC-B982-6C8326B5E72D}">
      <text>
        <r>
          <rPr>
            <sz val="9"/>
            <color indexed="81"/>
            <rFont val="MS P ゴシック"/>
            <family val="3"/>
            <charset val="128"/>
          </rPr>
          <t xml:space="preserve"> 22-2004 23-278 24-196 25-170 26-160</t>
        </r>
      </text>
    </comment>
    <comment ref="A310" authorId="0" shapeId="0" xr:uid="{344C2D00-AC02-42AE-AE55-2D231DBE8B16}">
      <text>
        <r>
          <rPr>
            <sz val="9"/>
            <color indexed="81"/>
            <rFont val="MS P ゴシック"/>
            <family val="3"/>
            <charset val="128"/>
          </rPr>
          <t xml:space="preserve"> 22-2070 23-281 24-198 25-171 26-161</t>
        </r>
      </text>
    </comment>
    <comment ref="A312" authorId="0" shapeId="0" xr:uid="{D66CBD60-6A44-48C2-BC1D-1D3079E9EDC2}">
      <text>
        <r>
          <rPr>
            <sz val="9"/>
            <color indexed="81"/>
            <rFont val="MS P ゴシック"/>
            <family val="3"/>
            <charset val="128"/>
          </rPr>
          <t xml:space="preserve"> 22-2164 23-284 24-200 25-172 26-162</t>
        </r>
      </text>
    </comment>
    <comment ref="A314" authorId="0" shapeId="0" xr:uid="{699C5AB7-585C-4428-BEC3-374B4BBFBAD0}">
      <text>
        <r>
          <rPr>
            <sz val="9"/>
            <color indexed="81"/>
            <rFont val="MS P ゴシック"/>
            <family val="3"/>
            <charset val="128"/>
          </rPr>
          <t xml:space="preserve"> 22-2174 23-285 24-201 25-173 26-163</t>
        </r>
      </text>
    </comment>
    <comment ref="A316" authorId="0" shapeId="0" xr:uid="{64626DA2-7291-40E3-9E81-ED81D0B49BEC}">
      <text>
        <r>
          <rPr>
            <sz val="9"/>
            <color indexed="81"/>
            <rFont val="MS P ゴシック"/>
            <family val="3"/>
            <charset val="128"/>
          </rPr>
          <t xml:space="preserve"> 22-2222 23-286 24-202 25-174 26-164</t>
        </r>
      </text>
    </comment>
    <comment ref="A318" authorId="0" shapeId="0" xr:uid="{11AFD079-8E22-48EC-8370-C7825531C9F1}">
      <text>
        <r>
          <rPr>
            <sz val="9"/>
            <color indexed="81"/>
            <rFont val="MS P ゴシック"/>
            <family val="3"/>
            <charset val="128"/>
          </rPr>
          <t xml:space="preserve"> 22-2373 23-289 24-203 25-175 26-165</t>
        </r>
      </text>
    </comment>
    <comment ref="A320" authorId="0" shapeId="0" xr:uid="{AF248F09-AB4A-4C75-9F03-A401882D67B8}">
      <text>
        <r>
          <rPr>
            <sz val="9"/>
            <color indexed="81"/>
            <rFont val="MS P ゴシック"/>
            <family val="3"/>
            <charset val="128"/>
          </rPr>
          <t xml:space="preserve"> 22-2388 23-290 24-204 25-176 26-166</t>
        </r>
      </text>
    </comment>
    <comment ref="A322" authorId="0" shapeId="0" xr:uid="{8323FE4D-4AF9-4F4E-99DF-5C71747355BB}">
      <text>
        <r>
          <rPr>
            <sz val="9"/>
            <color indexed="81"/>
            <rFont val="MS P ゴシック"/>
            <family val="3"/>
            <charset val="128"/>
          </rPr>
          <t xml:space="preserve"> 22-2471 23-292 24-206 25-177 26-167</t>
        </r>
      </text>
    </comment>
    <comment ref="A324" authorId="0" shapeId="0" xr:uid="{4368A831-A483-483C-B0F0-E4184D9ACD45}">
      <text>
        <r>
          <rPr>
            <sz val="9"/>
            <color indexed="81"/>
            <rFont val="MS P ゴシック"/>
            <family val="3"/>
            <charset val="128"/>
          </rPr>
          <t xml:space="preserve"> 22-2919 23-305 24-209 25-180 26-169</t>
        </r>
      </text>
    </comment>
    <comment ref="A326" authorId="0" shapeId="0" xr:uid="{DA7BBE12-8BCB-4DA8-8BCF-BB47C90E04C1}">
      <text>
        <r>
          <rPr>
            <sz val="9"/>
            <color indexed="81"/>
            <rFont val="MS P ゴシック"/>
            <family val="3"/>
            <charset val="128"/>
          </rPr>
          <t xml:space="preserve"> 22-2959 23-307 24-210 25-181 26-170</t>
        </r>
      </text>
    </comment>
    <comment ref="A328" authorId="0" shapeId="0" xr:uid="{149045E7-D9C9-42A3-BCD2-57C07111FFE3}">
      <text>
        <r>
          <rPr>
            <sz val="9"/>
            <color indexed="81"/>
            <rFont val="MS P ゴシック"/>
            <family val="3"/>
            <charset val="128"/>
          </rPr>
          <t xml:space="preserve"> 22-2960 23-308 24-211 25-182 26-171</t>
        </r>
      </text>
    </comment>
    <comment ref="A330" authorId="0" shapeId="0" xr:uid="{EBB13B82-05AD-4F7D-9FA6-220F64E1A5A6}">
      <text>
        <r>
          <rPr>
            <sz val="9"/>
            <color indexed="81"/>
            <rFont val="MS P ゴシック"/>
            <family val="3"/>
            <charset val="128"/>
          </rPr>
          <t xml:space="preserve"> 22-3102 23-313 24-212 25-183 26-172</t>
        </r>
      </text>
    </comment>
    <comment ref="A332" authorId="0" shapeId="0" xr:uid="{80358DDF-18CD-4615-89AF-0EDF72E071B6}">
      <text>
        <r>
          <rPr>
            <sz val="9"/>
            <color indexed="81"/>
            <rFont val="MS P ゴシック"/>
            <family val="3"/>
            <charset val="128"/>
          </rPr>
          <t xml:space="preserve"> 22-3353 23-317 24-215 25-184 26-173</t>
        </r>
      </text>
    </comment>
    <comment ref="A334" authorId="0" shapeId="0" xr:uid="{176313D6-89F3-441F-82E8-0523B3357DE7}">
      <text>
        <r>
          <rPr>
            <sz val="9"/>
            <color indexed="81"/>
            <rFont val="MS P ゴシック"/>
            <family val="3"/>
            <charset val="128"/>
          </rPr>
          <t xml:space="preserve"> 22-3403 23-320 24-217 25-185 26-174</t>
        </r>
      </text>
    </comment>
    <comment ref="A336" authorId="0" shapeId="0" xr:uid="{1D6F19BE-BE6B-4417-8AFF-B1975244852B}">
      <text>
        <r>
          <rPr>
            <sz val="9"/>
            <color indexed="81"/>
            <rFont val="MS P ゴシック"/>
            <family val="3"/>
            <charset val="128"/>
          </rPr>
          <t xml:space="preserve"> 22-3480 23-324 24-218 25-186 26-175</t>
        </r>
      </text>
    </comment>
    <comment ref="A338" authorId="0" shapeId="0" xr:uid="{9A42C32D-D221-4CF5-AD51-87E03EBF789F}">
      <text>
        <r>
          <rPr>
            <sz val="9"/>
            <color indexed="81"/>
            <rFont val="MS P ゴシック"/>
            <family val="3"/>
            <charset val="128"/>
          </rPr>
          <t xml:space="preserve"> 22-3551 23-328 24-219 25-187 26-176</t>
        </r>
      </text>
    </comment>
    <comment ref="A340" authorId="0" shapeId="0" xr:uid="{E54AED46-88D0-419D-9922-73A0DE58F7B6}">
      <text>
        <r>
          <rPr>
            <sz val="9"/>
            <color indexed="81"/>
            <rFont val="MS P ゴシック"/>
            <family val="3"/>
            <charset val="128"/>
          </rPr>
          <t xml:space="preserve"> 22-3815 23-342 24-226 25-191 26-178</t>
        </r>
      </text>
    </comment>
    <comment ref="A342" authorId="0" shapeId="0" xr:uid="{7E48FDA2-34D5-453B-ACFD-5E0E8F80AB71}">
      <text>
        <r>
          <rPr>
            <sz val="9"/>
            <color indexed="81"/>
            <rFont val="MS P ゴシック"/>
            <family val="3"/>
            <charset val="128"/>
          </rPr>
          <t xml:space="preserve"> 22-4042 23-352 24-228 25-193 26-179</t>
        </r>
      </text>
    </comment>
    <comment ref="A344" authorId="0" shapeId="0" xr:uid="{CA8301A9-D3F4-423C-B7D4-63A934AFFD02}">
      <text>
        <r>
          <rPr>
            <sz val="9"/>
            <color indexed="81"/>
            <rFont val="MS P ゴシック"/>
            <family val="3"/>
            <charset val="128"/>
          </rPr>
          <t xml:space="preserve"> 22-4094 23-354 24-229 25-194 26-180</t>
        </r>
      </text>
    </comment>
    <comment ref="A346" authorId="0" shapeId="0" xr:uid="{AC592E94-984B-41AB-90E8-17E2E13881B5}">
      <text>
        <r>
          <rPr>
            <sz val="9"/>
            <color indexed="81"/>
            <rFont val="MS P ゴシック"/>
            <family val="3"/>
            <charset val="128"/>
          </rPr>
          <t xml:space="preserve"> 22-4146 23-357 24-230 25-195 26-181</t>
        </r>
      </text>
    </comment>
    <comment ref="A348" authorId="0" shapeId="0" xr:uid="{442BCF53-BD19-40F7-894C-B81992C6FD9D}">
      <text>
        <r>
          <rPr>
            <sz val="9"/>
            <color indexed="81"/>
            <rFont val="MS P ゴシック"/>
            <family val="3"/>
            <charset val="128"/>
          </rPr>
          <t xml:space="preserve"> 22-4243 23-365 24-231 25-196 26-182</t>
        </r>
      </text>
    </comment>
    <comment ref="A350" authorId="0" shapeId="0" xr:uid="{A1621747-337C-4141-ADE7-EB95036BF06E}">
      <text>
        <r>
          <rPr>
            <sz val="9"/>
            <color indexed="81"/>
            <rFont val="MS P ゴシック"/>
            <family val="3"/>
            <charset val="128"/>
          </rPr>
          <t xml:space="preserve"> 22-4265 23-369 24-232 25-197 26-183</t>
        </r>
      </text>
    </comment>
    <comment ref="A352" authorId="0" shapeId="0" xr:uid="{CC01FE7D-2B41-4F45-8872-A73243C349F2}">
      <text>
        <r>
          <rPr>
            <sz val="9"/>
            <color indexed="81"/>
            <rFont val="MS P ゴシック"/>
            <family val="3"/>
            <charset val="128"/>
          </rPr>
          <t xml:space="preserve"> 22-4340 23-374 24-233 25-198 26-184</t>
        </r>
      </text>
    </comment>
    <comment ref="A354" authorId="0" shapeId="0" xr:uid="{DE539E8C-6DD5-4C99-B4AD-9E207FF672A4}">
      <text>
        <r>
          <rPr>
            <sz val="9"/>
            <color indexed="81"/>
            <rFont val="MS P ゴシック"/>
            <family val="3"/>
            <charset val="128"/>
          </rPr>
          <t xml:space="preserve"> 22-4439 23-385 24-237 25-200 26-185</t>
        </r>
      </text>
    </comment>
    <comment ref="A356" authorId="0" shapeId="0" xr:uid="{521AEC2C-6BB6-46CF-80A3-B269EF438D3A}">
      <text>
        <r>
          <rPr>
            <sz val="9"/>
            <color indexed="81"/>
            <rFont val="MS P ゴシック"/>
            <family val="3"/>
            <charset val="128"/>
          </rPr>
          <t xml:space="preserve"> 22-4480 23-389 24-238 25-201 26-186</t>
        </r>
      </text>
    </comment>
    <comment ref="A358" authorId="0" shapeId="0" xr:uid="{40B54906-0A03-4E8E-9CAA-833BFD4F3BD0}">
      <text>
        <r>
          <rPr>
            <sz val="9"/>
            <color indexed="81"/>
            <rFont val="MS P ゴシック"/>
            <family val="3"/>
            <charset val="128"/>
          </rPr>
          <t xml:space="preserve"> 22-4542 23-395 24-241 25-203 26-187</t>
        </r>
      </text>
    </comment>
    <comment ref="A360" authorId="0" shapeId="0" xr:uid="{CED115A0-C8CD-4EE0-8959-91C2BCA8F346}">
      <text>
        <r>
          <rPr>
            <sz val="9"/>
            <color indexed="81"/>
            <rFont val="MS P ゴシック"/>
            <family val="3"/>
            <charset val="128"/>
          </rPr>
          <t xml:space="preserve"> 22-4618 23-404 24-242 25-204 26-188</t>
        </r>
      </text>
    </comment>
    <comment ref="A362" authorId="0" shapeId="0" xr:uid="{3C342A26-E5D8-4558-9BF6-E1D9C6B0DC67}">
      <text>
        <r>
          <rPr>
            <sz val="9"/>
            <color indexed="81"/>
            <rFont val="MS P ゴシック"/>
            <family val="3"/>
            <charset val="128"/>
          </rPr>
          <t xml:space="preserve"> 22-4635 23-406 24-243 25-205 26-189</t>
        </r>
      </text>
    </comment>
    <comment ref="A364" authorId="0" shapeId="0" xr:uid="{386AB6D4-D4A3-439D-90FD-39A655F9B651}">
      <text>
        <r>
          <rPr>
            <sz val="9"/>
            <color indexed="81"/>
            <rFont val="MS P ゴシック"/>
            <family val="3"/>
            <charset val="128"/>
          </rPr>
          <t xml:space="preserve"> 22-4696 23-409 24-244 25-206 26-190</t>
        </r>
      </text>
    </comment>
    <comment ref="A366" authorId="0" shapeId="0" xr:uid="{65567CBB-9C95-48A3-9163-91E4B5131227}">
      <text>
        <r>
          <rPr>
            <sz val="9"/>
            <color indexed="81"/>
            <rFont val="MS P ゴシック"/>
            <family val="3"/>
            <charset val="128"/>
          </rPr>
          <t xml:space="preserve"> 22-4702 23-411 24-245 25-207 26-191</t>
        </r>
      </text>
    </comment>
    <comment ref="A368" authorId="0" shapeId="0" xr:uid="{2C292D39-9EDD-4C70-B374-B1768952F370}">
      <text>
        <r>
          <rPr>
            <sz val="9"/>
            <color indexed="81"/>
            <rFont val="MS P ゴシック"/>
            <family val="3"/>
            <charset val="128"/>
          </rPr>
          <t xml:space="preserve"> 22-4703 23-412 24-246 25-208 26-192</t>
        </r>
      </text>
    </comment>
    <comment ref="A370" authorId="0" shapeId="0" xr:uid="{1C58A9B1-9AF9-4E75-ADCD-74B398CC3A6E}">
      <text>
        <r>
          <rPr>
            <sz val="9"/>
            <color indexed="81"/>
            <rFont val="MS P ゴシック"/>
            <family val="3"/>
            <charset val="128"/>
          </rPr>
          <t xml:space="preserve"> 22-4758 23-415 24-247 25-209 26-193</t>
        </r>
      </text>
    </comment>
    <comment ref="A372" authorId="0" shapeId="0" xr:uid="{AEFB0D0B-EF1F-4D20-8EBC-D98014C85627}">
      <text>
        <r>
          <rPr>
            <sz val="9"/>
            <color indexed="81"/>
            <rFont val="MS P ゴシック"/>
            <family val="3"/>
            <charset val="128"/>
          </rPr>
          <t xml:space="preserve"> 22-4762 23-417 24-248 25-210 26-194</t>
        </r>
      </text>
    </comment>
    <comment ref="A374" authorId="0" shapeId="0" xr:uid="{7F9544AC-0F0D-4DE3-B9E4-430F6345DD3A}">
      <text>
        <r>
          <rPr>
            <sz val="9"/>
            <color indexed="81"/>
            <rFont val="MS P ゴシック"/>
            <family val="3"/>
            <charset val="128"/>
          </rPr>
          <t xml:space="preserve"> 22-4815 23-426 24-249 25-211 26-195</t>
        </r>
      </text>
    </comment>
    <comment ref="A376" authorId="0" shapeId="0" xr:uid="{4BF26818-643B-4845-8104-9934FA67C5CA}">
      <text>
        <r>
          <rPr>
            <sz val="9"/>
            <color indexed="81"/>
            <rFont val="MS P ゴシック"/>
            <family val="3"/>
            <charset val="128"/>
          </rPr>
          <t xml:space="preserve"> 22-4880 23-436 24-251 25-212 26-196</t>
        </r>
      </text>
    </comment>
    <comment ref="A378" authorId="0" shapeId="0" xr:uid="{D3FB2698-38F6-493A-81C3-81E5F2F845DD}">
      <text>
        <r>
          <rPr>
            <sz val="9"/>
            <color indexed="81"/>
            <rFont val="MS P ゴシック"/>
            <family val="3"/>
            <charset val="128"/>
          </rPr>
          <t xml:space="preserve"> 22-4886 23-437 24-252 25-213 26-197</t>
        </r>
      </text>
    </comment>
    <comment ref="A380" authorId="0" shapeId="0" xr:uid="{11BF1ED3-C2B9-45DA-A554-17C8F081EE42}">
      <text>
        <r>
          <rPr>
            <sz val="9"/>
            <color indexed="81"/>
            <rFont val="MS P ゴシック"/>
            <family val="3"/>
            <charset val="128"/>
          </rPr>
          <t xml:space="preserve"> 22-4909 23-441 24-253 25-214 26-198</t>
        </r>
      </text>
    </comment>
    <comment ref="A382" authorId="0" shapeId="0" xr:uid="{8B0B617B-B5FB-4C48-9DA9-EB91F7D2B87D}">
      <text>
        <r>
          <rPr>
            <sz val="9"/>
            <color indexed="81"/>
            <rFont val="MS P ゴシック"/>
            <family val="3"/>
            <charset val="128"/>
          </rPr>
          <t xml:space="preserve"> 22-4912 23-443 24-254 25-215 26-199</t>
        </r>
      </text>
    </comment>
    <comment ref="A384" authorId="0" shapeId="0" xr:uid="{BE3B7AC3-E9AA-41FE-A123-8B1A4F6FBFCC}">
      <text>
        <r>
          <rPr>
            <sz val="9"/>
            <color indexed="81"/>
            <rFont val="MS P ゴシック"/>
            <family val="3"/>
            <charset val="128"/>
          </rPr>
          <t xml:space="preserve"> 22-5063 23-479 24-257 25-217 26-201</t>
        </r>
      </text>
    </comment>
    <comment ref="A386" authorId="0" shapeId="0" xr:uid="{522107E0-3775-422F-9D5B-C824E5D411C7}">
      <text>
        <r>
          <rPr>
            <sz val="9"/>
            <color indexed="81"/>
            <rFont val="MS P ゴシック"/>
            <family val="3"/>
            <charset val="128"/>
          </rPr>
          <t xml:space="preserve"> 22-5082 23-485 24-258 25-218 26-202</t>
        </r>
      </text>
    </comment>
    <comment ref="A388" authorId="0" shapeId="0" xr:uid="{09682591-EEC8-482D-9BEB-4FA774D0431F}">
      <text>
        <r>
          <rPr>
            <sz val="9"/>
            <color indexed="81"/>
            <rFont val="MS P ゴシック"/>
            <family val="3"/>
            <charset val="128"/>
          </rPr>
          <t xml:space="preserve"> 22-5185 23-535 24-260 25-219 26-203</t>
        </r>
      </text>
    </comment>
    <comment ref="A390" authorId="0" shapeId="0" xr:uid="{3CD6A121-98A9-4B38-BF5F-14BC595FDED1}">
      <text>
        <r>
          <rPr>
            <sz val="9"/>
            <color indexed="81"/>
            <rFont val="MS P ゴシック"/>
            <family val="3"/>
            <charset val="128"/>
          </rPr>
          <t xml:space="preserve"> 22-5186 23-536 24-261 25-220 26-204</t>
        </r>
      </text>
    </comment>
    <comment ref="A392" authorId="0" shapeId="0" xr:uid="{49BFBC5D-0481-448F-99BE-B6DDA9BF14C1}">
      <text>
        <r>
          <rPr>
            <sz val="9"/>
            <color indexed="81"/>
            <rFont val="MS P ゴシック"/>
            <family val="3"/>
            <charset val="128"/>
          </rPr>
          <t xml:space="preserve"> 22-5195 23-545 24-262 25-221 26-205</t>
        </r>
      </text>
    </comment>
    <comment ref="A394" authorId="0" shapeId="0" xr:uid="{B3A68536-4688-4AFE-86DA-EB0A762D9DC0}">
      <text>
        <r>
          <rPr>
            <sz val="9"/>
            <color indexed="81"/>
            <rFont val="MS P ゴシック"/>
            <family val="3"/>
            <charset val="128"/>
          </rPr>
          <t xml:space="preserve"> 22-5217 23-565 24-264 25-222 26-206</t>
        </r>
      </text>
    </comment>
    <comment ref="A396" authorId="0" shapeId="0" xr:uid="{D1C7FAEF-C762-4C90-9DDE-1806CEC24B41}">
      <text>
        <r>
          <rPr>
            <sz val="9"/>
            <color indexed="81"/>
            <rFont val="MS P ゴシック"/>
            <family val="3"/>
            <charset val="128"/>
          </rPr>
          <t xml:space="preserve"> 22-5313 23-652 24-269 25-223 26-207</t>
        </r>
      </text>
    </comment>
    <comment ref="A398" authorId="0" shapeId="0" xr:uid="{99F049E6-A922-4C81-9C07-79E368978BEC}">
      <text>
        <r>
          <rPr>
            <sz val="9"/>
            <color indexed="81"/>
            <rFont val="MS P ゴシック"/>
            <family val="3"/>
            <charset val="128"/>
          </rPr>
          <t xml:space="preserve"> 23-754 24-273 25-226 26-209</t>
        </r>
      </text>
    </comment>
    <comment ref="A400" authorId="0" shapeId="0" xr:uid="{7628AE74-6F8B-456D-9C0C-3E6366EC47AF}">
      <text>
        <r>
          <rPr>
            <sz val="9"/>
            <color indexed="81"/>
            <rFont val="MS P ゴシック"/>
            <family val="3"/>
            <charset val="128"/>
          </rPr>
          <t xml:space="preserve"> 23-807 24-274 25-227 26-210</t>
        </r>
      </text>
    </comment>
    <comment ref="A402" authorId="0" shapeId="0" xr:uid="{6A7797C0-62BD-47AB-8750-DC66F667AD09}">
      <text>
        <r>
          <rPr>
            <sz val="9"/>
            <color indexed="81"/>
            <rFont val="MS P ゴシック"/>
            <family val="3"/>
            <charset val="128"/>
          </rPr>
          <t xml:space="preserve"> 23-835 24-276 25-228 26-211</t>
        </r>
      </text>
    </comment>
    <comment ref="A404" authorId="0" shapeId="0" xr:uid="{DA6BFFF1-D359-4347-8C97-B8C6B46928C3}">
      <text>
        <r>
          <rPr>
            <sz val="9"/>
            <color indexed="81"/>
            <rFont val="MS P ゴシック"/>
            <family val="3"/>
            <charset val="128"/>
          </rPr>
          <t xml:space="preserve"> 23-857 24-277 25-229 26-212</t>
        </r>
      </text>
    </comment>
    <comment ref="A406" authorId="0" shapeId="0" xr:uid="{520F16C1-3A13-48EF-975C-F06414DEBE93}">
      <text>
        <r>
          <rPr>
            <sz val="9"/>
            <color indexed="81"/>
            <rFont val="MS P ゴシック"/>
            <family val="3"/>
            <charset val="128"/>
          </rPr>
          <t xml:space="preserve"> 23-858 24-278 25-230 26-213</t>
        </r>
      </text>
    </comment>
    <comment ref="A408" authorId="0" shapeId="0" xr:uid="{80222363-0C01-4A23-B010-6F13A4FDDAC5}">
      <text>
        <r>
          <rPr>
            <sz val="9"/>
            <color indexed="81"/>
            <rFont val="MS P ゴシック"/>
            <family val="3"/>
            <charset val="128"/>
          </rPr>
          <t xml:space="preserve"> 23-885 24-279 25-231 26-214</t>
        </r>
      </text>
    </comment>
    <comment ref="A410" authorId="0" shapeId="0" xr:uid="{008998C4-9856-4DB0-9DEE-590B7FE86DF1}">
      <text>
        <r>
          <rPr>
            <sz val="9"/>
            <color indexed="81"/>
            <rFont val="MS P ゴシック"/>
            <family val="3"/>
            <charset val="128"/>
          </rPr>
          <t xml:space="preserve"> 23-899 24-280 25-232 26-215</t>
        </r>
      </text>
    </comment>
    <comment ref="A412" authorId="0" shapeId="0" xr:uid="{B6AA8D93-BC23-4388-BF7F-7222DB72DBA5}">
      <text>
        <r>
          <rPr>
            <sz val="9"/>
            <color indexed="81"/>
            <rFont val="MS P ゴシック"/>
            <family val="3"/>
            <charset val="128"/>
          </rPr>
          <t xml:space="preserve"> 23-979 24-281 25-233 26-216</t>
        </r>
      </text>
    </comment>
    <comment ref="A414" authorId="0" shapeId="0" xr:uid="{81005F2C-A016-4957-B33A-53711D538580}">
      <text>
        <r>
          <rPr>
            <sz val="9"/>
            <color indexed="81"/>
            <rFont val="MS P ゴシック"/>
            <family val="3"/>
            <charset val="128"/>
          </rPr>
          <t xml:space="preserve"> 23-1031 24-282 25-234 26-217</t>
        </r>
      </text>
    </comment>
    <comment ref="A416" authorId="0" shapeId="0" xr:uid="{C35AE9CE-FA2A-4B0F-90E3-EDBD3C17D9AC}">
      <text>
        <r>
          <rPr>
            <sz val="9"/>
            <color indexed="81"/>
            <rFont val="MS P ゴシック"/>
            <family val="3"/>
            <charset val="128"/>
          </rPr>
          <t xml:space="preserve"> 23-1079 24-284 25-235 26-218</t>
        </r>
      </text>
    </comment>
    <comment ref="A418" authorId="0" shapeId="0" xr:uid="{8C1CA4B5-2643-4A24-9CC7-803B2A2ED07B}">
      <text>
        <r>
          <rPr>
            <sz val="9"/>
            <color indexed="81"/>
            <rFont val="MS P ゴシック"/>
            <family val="3"/>
            <charset val="128"/>
          </rPr>
          <t xml:space="preserve"> 23-1150 24-287 25-236 26-219</t>
        </r>
      </text>
    </comment>
    <comment ref="A420" authorId="0" shapeId="0" xr:uid="{3587A2EA-96EA-4FA8-952D-B9167BB5D9E6}">
      <text>
        <r>
          <rPr>
            <sz val="9"/>
            <color indexed="81"/>
            <rFont val="MS P ゴシック"/>
            <family val="3"/>
            <charset val="128"/>
          </rPr>
          <t xml:space="preserve"> 23-1165 24-288 25-237 26-220</t>
        </r>
      </text>
    </comment>
    <comment ref="A422" authorId="0" shapeId="0" xr:uid="{A509C278-B6B2-4855-8C28-B8C6433F2EC9}">
      <text>
        <r>
          <rPr>
            <sz val="9"/>
            <color indexed="81"/>
            <rFont val="MS P ゴシック"/>
            <family val="3"/>
            <charset val="128"/>
          </rPr>
          <t xml:space="preserve"> 23-1177 24-290 25-238 26-221</t>
        </r>
      </text>
    </comment>
    <comment ref="A424" authorId="0" shapeId="0" xr:uid="{0F88266D-5D0D-4DEE-AC1D-C8653F08118E}">
      <text>
        <r>
          <rPr>
            <sz val="9"/>
            <color indexed="81"/>
            <rFont val="MS P ゴシック"/>
            <family val="3"/>
            <charset val="128"/>
          </rPr>
          <t xml:space="preserve"> 23-1230 24-293 25-239 26-222</t>
        </r>
      </text>
    </comment>
    <comment ref="A426" authorId="0" shapeId="0" xr:uid="{9FEE03C4-2CED-4554-BA5D-D1E1FB05A0EB}">
      <text>
        <r>
          <rPr>
            <sz val="9"/>
            <color indexed="81"/>
            <rFont val="MS P ゴシック"/>
            <family val="3"/>
            <charset val="128"/>
          </rPr>
          <t xml:space="preserve"> 23-1282 24-295 25-240 26-223</t>
        </r>
      </text>
    </comment>
    <comment ref="A428" authorId="0" shapeId="0" xr:uid="{5EF30F8A-296E-4A46-A0AF-43EE3DF4606C}">
      <text>
        <r>
          <rPr>
            <sz val="9"/>
            <color indexed="81"/>
            <rFont val="MS P ゴシック"/>
            <family val="3"/>
            <charset val="128"/>
          </rPr>
          <t xml:space="preserve"> 23-1337 24-298 25-242 26-225</t>
        </r>
      </text>
    </comment>
    <comment ref="A430" authorId="0" shapeId="0" xr:uid="{1CF55EB8-5E48-455E-8700-8A2868D3608E}">
      <text>
        <r>
          <rPr>
            <sz val="9"/>
            <color indexed="81"/>
            <rFont val="MS P ゴシック"/>
            <family val="3"/>
            <charset val="128"/>
          </rPr>
          <t xml:space="preserve"> 23-1366 24-299 25-243 26-226</t>
        </r>
      </text>
    </comment>
    <comment ref="A432" authorId="0" shapeId="0" xr:uid="{67A2B085-300A-4DC6-824F-4697AC2F19EF}">
      <text>
        <r>
          <rPr>
            <sz val="9"/>
            <color indexed="81"/>
            <rFont val="MS P ゴシック"/>
            <family val="3"/>
            <charset val="128"/>
          </rPr>
          <t xml:space="preserve"> 23-1368 24-300 25-244 26-227</t>
        </r>
      </text>
    </comment>
    <comment ref="A434" authorId="0" shapeId="0" xr:uid="{482309E3-D81C-4833-98B1-4A2B62DDAD88}">
      <text>
        <r>
          <rPr>
            <sz val="9"/>
            <color indexed="81"/>
            <rFont val="MS P ゴシック"/>
            <family val="3"/>
            <charset val="128"/>
          </rPr>
          <t xml:space="preserve"> 23-1414 24-301 25-245 26-228</t>
        </r>
      </text>
    </comment>
    <comment ref="A436" authorId="0" shapeId="0" xr:uid="{6A2D4144-6711-4B87-B883-ED9252C42BC8}">
      <text>
        <r>
          <rPr>
            <sz val="9"/>
            <color indexed="81"/>
            <rFont val="MS P ゴシック"/>
            <family val="3"/>
            <charset val="128"/>
          </rPr>
          <t xml:space="preserve"> 23-1441 24-303 25-246 26-229</t>
        </r>
      </text>
    </comment>
    <comment ref="A438" authorId="0" shapeId="0" xr:uid="{C81C6959-8077-44FD-9A78-ED77CF24D9F2}">
      <text>
        <r>
          <rPr>
            <sz val="9"/>
            <color indexed="81"/>
            <rFont val="MS P ゴシック"/>
            <family val="3"/>
            <charset val="128"/>
          </rPr>
          <t xml:space="preserve"> 23-1451 24-305 25-247 26-230</t>
        </r>
      </text>
    </comment>
  </commentList>
</comments>
</file>

<file path=xl/sharedStrings.xml><?xml version="1.0" encoding="utf-8"?>
<sst xmlns="http://schemas.openxmlformats.org/spreadsheetml/2006/main" count="3311" uniqueCount="2051">
  <si>
    <t>仕入番号</t>
  </si>
  <si>
    <t>仕入れ日/仕入れ先</t>
  </si>
  <si>
    <t>回次/出品番号</t>
  </si>
  <si>
    <t>年式/色</t>
  </si>
  <si>
    <t>車体番号</t>
  </si>
  <si>
    <t>車検/距離</t>
  </si>
  <si>
    <t>評価点</t>
  </si>
  <si>
    <t>車輌代</t>
  </si>
  <si>
    <t>消費税</t>
  </si>
  <si>
    <t>自税</t>
  </si>
  <si>
    <t>リサイクル</t>
  </si>
  <si>
    <t>落札料</t>
  </si>
  <si>
    <t>合計</t>
  </si>
  <si>
    <t>評価損</t>
  </si>
  <si>
    <t>車輌番号/所有者</t>
  </si>
  <si>
    <t>付属品</t>
  </si>
  <si>
    <t>キャンセル</t>
  </si>
  <si>
    <t>補足</t>
  </si>
  <si>
    <t>名義変更</t>
  </si>
  <si>
    <t>売上日/売上先</t>
  </si>
  <si>
    <t>入金日</t>
  </si>
  <si>
    <t>前期のNo.</t>
  </si>
  <si>
    <t>在庫管理表 操作手順</t>
  </si>
  <si>
    <t>※ 表記が崩れないように1~9行目を保護しています。マクロを動かす前後に自動で解除/再保護されます</t>
  </si>
  <si>
    <t>① 在庫管理表の本体シートで初期分類</t>
  </si>
  <si>
    <t>本体シートでは、各在庫を ベージュ（在庫候補） または 黄色（売約候補） に色分けします。</t>
  </si>
  <si>
    <t>その後「振り分け」マクロを実行すると、売上有無（AX列）と色に応じて各シートへ自動分類されます。</t>
  </si>
  <si>
    <t>振り分けルール</t>
  </si>
  <si>
    <t>ベージュ + 売上なし（AB列=0）</t>
  </si>
  <si>
    <t>　→ 在庫有 シート</t>
  </si>
  <si>
    <t>ベージュ + 売上あり（AB列≠0）</t>
  </si>
  <si>
    <t>　→ 不明 シート</t>
  </si>
  <si>
    <t>黄色 + 売上あり（AB列≠0）</t>
  </si>
  <si>
    <t>　→ 売約済 シート</t>
  </si>
  <si>
    <t>黄色 + 売上なし（AB列=0）</t>
  </si>
  <si>
    <t>② 各シートで確認・再判定</t>
  </si>
  <si>
    <t>振り分け後、各シートで仕入番号照合や目視確認を行い、色を変更して最終判定します。</t>
  </si>
  <si>
    <t>残った仕入れ番号シートにファイルの仕入番号リストを貼り付けてから照合してください</t>
  </si>
  <si>
    <t>不明シート</t>
  </si>
  <si>
    <t>初期状態：青色（要確認）</t>
  </si>
  <si>
    <t>仕入番号照合を行い、一致するものがあればベージュに変換される。ないものは引き続き青色</t>
  </si>
  <si>
    <t>ベージュ</t>
  </si>
  <si>
    <t>　→ 在庫あり確定</t>
  </si>
  <si>
    <t>黄色</t>
  </si>
  <si>
    <t>　→ 売約済</t>
  </si>
  <si>
    <t>青</t>
  </si>
  <si>
    <t>　→ 不明のまま保留</t>
  </si>
  <si>
    <t>在庫有シート</t>
  </si>
  <si>
    <t>初期状態：赤色（要確認）</t>
  </si>
  <si>
    <t>仕入番号照合を行い、一致するものがあればベージュに変換される。ないものは引き続き赤色</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</si>
  <si>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</si>
  <si>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</si>
  <si>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</si>
  <si>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</si>
  <si>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</si>
  <si>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</si>
  <si>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</si>
  <si>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</si>
  <si>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</si>
  <si>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</si>
  <si>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</si>
  <si>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</si>
  <si>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</si>
  <si>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</si>
  <si>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</si>
  <si>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t>ベージュ ：在庫あり確定候補</t>
  </si>
  <si>
    <t>黄色 ：売約済候補</t>
  </si>
  <si>
    <t>青 ：不明・確認待ち</t>
  </si>
  <si>
    <t>赤 ：在庫有・確認待ち</t>
  </si>
  <si>
    <t>基本操作ルール</t>
  </si>
  <si>
    <t>操作対象は 10行目以降</t>
  </si>
  <si>
    <t>1～9行目は見出しのため操作禁止</t>
  </si>
  <si>
    <t>色変更は対象在庫を選択して実行</t>
  </si>
  <si>
    <t>奇数行・偶数行どちらを選択しても、その在庫セット（2行1組）のA列に反映</t>
  </si>
  <si>
    <t>推奨フロー</t>
  </si>
  <si>
    <t>本体シートで色付け</t>
  </si>
  <si>
    <t>→ 振り分け</t>
  </si>
  <si>
    <t>→ 不明 / 在庫有 / 売約済 で確認・色修正</t>
  </si>
  <si>
    <t>→ 確定書き出し</t>
  </si>
  <si>
    <t>→ 在庫有確定シート完成</t>
  </si>
  <si>
    <t>R27-001</t>
  </si>
  <si>
    <t>R27-002</t>
  </si>
  <si>
    <t>R27-003</t>
  </si>
  <si>
    <t>R27-004</t>
  </si>
  <si>
    <t>R27-005</t>
  </si>
  <si>
    <t>R27-006</t>
  </si>
  <si>
    <t>R27-007</t>
  </si>
  <si>
    <t>車名/車台番号</t>
  </si>
  <si>
    <t>予定</t>
  </si>
  <si>
    <t>着</t>
  </si>
  <si>
    <t>HAA神戸</t>
    <rPh sb="3" eb="5">
      <t>コウベ</t>
    </rPh>
    <phoneticPr fontId="7"/>
  </si>
  <si>
    <t>28/2</t>
    <phoneticPr fontId="7"/>
  </si>
  <si>
    <t>9/2</t>
    <phoneticPr fontId="7"/>
  </si>
  <si>
    <t>保証書</t>
  </si>
  <si>
    <t>USS神戸</t>
    <rPh sb="3" eb="5">
      <t>コウベ</t>
    </rPh>
    <phoneticPr fontId="7"/>
  </si>
  <si>
    <t>前期のNo.</t>
    <phoneticPr fontId="1"/>
  </si>
  <si>
    <t>27-001</t>
    <phoneticPr fontId="7"/>
  </si>
  <si>
    <t>88’</t>
  </si>
  <si>
    <t>ｼﾄﾛｴﾝ　ﾁｬｰﾙｽﾄﾝMTｷｬﾝﾊﾞｽﾄｯﾌﾟ</t>
    <phoneticPr fontId="7"/>
  </si>
  <si>
    <t>振り込み　735</t>
  </si>
  <si>
    <t>ｼｰﾄ修理　8000</t>
  </si>
  <si>
    <t>TAP出品　3675</t>
  </si>
  <si>
    <t>島根　50　さ　3593</t>
  </si>
  <si>
    <t>ﾜｲｽﾞ</t>
  </si>
  <si>
    <t>ｸﾞﾚｰ/ｸﾛ</t>
  </si>
  <si>
    <t>VF7AZKA00KA325440</t>
  </si>
  <si>
    <t>ﾘﾌﾄﾄｯﾌﾟ　64620+735</t>
  </si>
  <si>
    <t>ペイント　220500</t>
  </si>
  <si>
    <t>黒田商会　100800</t>
  </si>
  <si>
    <t>黒田商会　29400</t>
  </si>
  <si>
    <t>田原　秀行</t>
  </si>
  <si>
    <t>27-002</t>
  </si>
  <si>
    <t>89’</t>
  </si>
  <si>
    <t>BMW　635CSI</t>
  </si>
  <si>
    <t>大阪　300　ま　4361</t>
  </si>
  <si>
    <t>HAA</t>
  </si>
  <si>
    <t>ﾛｲﾔﾙﾌﾞﾙｰ</t>
  </si>
  <si>
    <t>WBAEC890900766577</t>
  </si>
  <si>
    <t>抹消　685</t>
  </si>
  <si>
    <t>脇　厚生</t>
  </si>
  <si>
    <t>抹消済</t>
    <rPh sb="0" eb="2">
      <t>マッショウ</t>
    </rPh>
    <rPh sb="2" eb="3">
      <t>ズ</t>
    </rPh>
    <phoneticPr fontId="7"/>
  </si>
  <si>
    <t>27-003</t>
  </si>
  <si>
    <t>95’</t>
  </si>
  <si>
    <t>ﾎﾞﾙﾎﾞ　ﾎﾟﾗｰﾙｴｽﾃｰﾄ</t>
  </si>
  <si>
    <t>姫路　300　て　6488</t>
  </si>
  <si>
    <t>ﾜｲﾝ</t>
    <phoneticPr fontId="7"/>
  </si>
  <si>
    <t>YV1945856S1133839</t>
  </si>
  <si>
    <t>商品車　2700+500</t>
  </si>
  <si>
    <t>HA出品（4回）　16800</t>
  </si>
  <si>
    <t>テール　10000</t>
  </si>
  <si>
    <t>自税　45000</t>
  </si>
  <si>
    <t>斎藤　祐一郎</t>
  </si>
  <si>
    <t>27-004</t>
  </si>
  <si>
    <t>98’</t>
  </si>
  <si>
    <t>ｱｳﾃﾞｨA6　2.8ｸﾜﾄﾛ</t>
  </si>
  <si>
    <t>名古屋　302　に　5618</t>
  </si>
  <si>
    <t>ZIP大阪</t>
  </si>
  <si>
    <t>ｼﾙﾊﾞｰ</t>
  </si>
  <si>
    <t>WAUZZZ4BZWN155878</t>
  </si>
  <si>
    <t>抹消　850</t>
  </si>
  <si>
    <t>(株)ﾔﾅｾ</t>
    <phoneticPr fontId="7"/>
  </si>
  <si>
    <t>27-005</t>
  </si>
  <si>
    <t>94’</t>
  </si>
  <si>
    <t>ｼﾞｬｶﾞｰ　XJ6</t>
  </si>
  <si>
    <t>横浜　34　た　1386</t>
  </si>
  <si>
    <t>JAA</t>
  </si>
  <si>
    <t>ｶﾞﾝﾒﾀ</t>
  </si>
  <si>
    <t>SAJJFKLD3AJ696574</t>
  </si>
  <si>
    <t>振り込　735　　　　　</t>
  </si>
  <si>
    <t>陸送　21000</t>
  </si>
  <si>
    <t>(株)ｳｯﾄﾞｽﾃｯｸ</t>
    <rPh sb="0" eb="3">
      <t>カブシキガイシャ</t>
    </rPh>
    <phoneticPr fontId="7"/>
  </si>
  <si>
    <t>保証書 取説</t>
    <rPh sb="0" eb="3">
      <t>ホショウショ</t>
    </rPh>
    <rPh sb="4" eb="5">
      <t>トリ</t>
    </rPh>
    <rPh sb="5" eb="6">
      <t>セツ</t>
    </rPh>
    <phoneticPr fontId="7"/>
  </si>
  <si>
    <t>27-006</t>
  </si>
  <si>
    <t>01’</t>
  </si>
  <si>
    <t>ﾌﾟｼﾞｮｰ　406　ﾌﾞﾚｲｸ</t>
  </si>
  <si>
    <t>岡山　331　と　567</t>
  </si>
  <si>
    <t>ｵｰｸﾈｯﾄ</t>
    <phoneticPr fontId="7"/>
  </si>
  <si>
    <t>VF38ERFVP80452098</t>
  </si>
  <si>
    <t>商品車　2700+1440+500</t>
  </si>
  <si>
    <t>TV出品（2回）　5906</t>
  </si>
  <si>
    <t>東合商事(株)</t>
  </si>
  <si>
    <t>取説 ｺｰﾄﾞｶｰﾄﾞ</t>
    <rPh sb="0" eb="1">
      <t>トリ</t>
    </rPh>
    <rPh sb="1" eb="2">
      <t>セツ</t>
    </rPh>
    <phoneticPr fontId="7"/>
  </si>
  <si>
    <t>27-007</t>
  </si>
  <si>
    <t>ｼﾄﾛｴﾝ　C5　2.0</t>
  </si>
  <si>
    <t>品川　399　の　3789</t>
  </si>
  <si>
    <t>ｸﾞﾘｰﾝ</t>
  </si>
  <si>
    <t>VF7DCRFNE76078697</t>
  </si>
  <si>
    <t>TV出品　9825</t>
  </si>
  <si>
    <t>HA出品（6回）　33600</t>
  </si>
  <si>
    <t>(株)ｶﾞﾘﾊﾞｰｲﾝﾀｰﾅｼｮﾅﾙ</t>
    <phoneticPr fontId="7"/>
  </si>
  <si>
    <t>27-008</t>
  </si>
  <si>
    <t>MﾍﾞﾝﾂE280</t>
  </si>
  <si>
    <t>姫路　300　は　7511</t>
  </si>
  <si>
    <t>日下</t>
  </si>
  <si>
    <t>WDB1240282C220293</t>
  </si>
  <si>
    <t>日下　正信</t>
  </si>
  <si>
    <t>27-009</t>
  </si>
  <si>
    <t>ｱｳﾃﾞｨA6</t>
  </si>
  <si>
    <t>静岡　330　さ　545</t>
  </si>
  <si>
    <t>NAA名古屋</t>
  </si>
  <si>
    <t>WAUZZZ4BZXN000202</t>
  </si>
  <si>
    <t>振り込　630　　　　陸送　　　12600</t>
  </si>
  <si>
    <t>日産ﾌﾟﾘｳｽ静岡販売(株)</t>
    <phoneticPr fontId="7"/>
  </si>
  <si>
    <t>抹消済</t>
    <rPh sb="0" eb="3">
      <t>マッショウズ</t>
    </rPh>
    <phoneticPr fontId="7"/>
  </si>
  <si>
    <t>27-010</t>
  </si>
  <si>
    <t>00’</t>
  </si>
  <si>
    <t>ｱｳﾃﾞｨA4 ｱﾊﾞﾝﾄ</t>
  </si>
  <si>
    <t>豊田　300　そ　4875</t>
  </si>
  <si>
    <t>ﾌﾞﾙｰ</t>
  </si>
  <si>
    <t>WAUZZZ8DZYA179174</t>
  </si>
  <si>
    <t>HAA出品(2回）11025</t>
    <rPh sb="7" eb="8">
      <t>カイ</t>
    </rPh>
    <phoneticPr fontId="7"/>
  </si>
  <si>
    <t>中央金属(株)</t>
  </si>
  <si>
    <t>27-011</t>
  </si>
  <si>
    <t>04’</t>
  </si>
  <si>
    <t>ﾎﾞﾙﾎﾞ　S80　T-6</t>
  </si>
  <si>
    <t>神戸　399　は　3151</t>
  </si>
  <si>
    <t>紺</t>
  </si>
  <si>
    <t>YV1TS91J541365234</t>
  </si>
  <si>
    <t>(株)HAA神戸</t>
  </si>
  <si>
    <t>27-012</t>
  </si>
  <si>
    <t>475回</t>
  </si>
  <si>
    <t>02’</t>
  </si>
  <si>
    <t>BMW　525I　ﾂｰﾘﾝｸﾞ</t>
  </si>
  <si>
    <t>神戸　399　は　4714</t>
  </si>
  <si>
    <t>WBADS42040BZ42098</t>
  </si>
  <si>
    <t>(株)ﾓﾄｰﾚﾝ兵庫</t>
    <rPh sb="0" eb="3">
      <t>カブシキガイシャ</t>
    </rPh>
    <rPh sb="8" eb="10">
      <t>ヒョウゴ</t>
    </rPh>
    <phoneticPr fontId="7"/>
  </si>
  <si>
    <t>保証書 取説(R4.1217探し中)</t>
    <rPh sb="0" eb="3">
      <t>ホショウショ</t>
    </rPh>
    <rPh sb="4" eb="5">
      <t>トリ</t>
    </rPh>
    <rPh sb="5" eb="6">
      <t>セツ</t>
    </rPh>
    <rPh sb="14" eb="15">
      <t>サガ</t>
    </rPh>
    <rPh sb="16" eb="17">
      <t>チュウ</t>
    </rPh>
    <phoneticPr fontId="7"/>
  </si>
  <si>
    <t>27-013</t>
  </si>
  <si>
    <t>345回</t>
  </si>
  <si>
    <t>MﾍﾞﾝﾂE320　AVG</t>
  </si>
  <si>
    <t>川崎　399　た　9119</t>
  </si>
  <si>
    <t>USS横浜</t>
  </si>
  <si>
    <t>ｸﾞﾚｰ</t>
    <phoneticPr fontId="7"/>
  </si>
  <si>
    <t>WDB2102652B006681</t>
  </si>
  <si>
    <t>振り込　630</t>
  </si>
  <si>
    <t>(株)ﾜｰｸｽ横浜</t>
    <rPh sb="0" eb="3">
      <t>カブシキガイシャ</t>
    </rPh>
    <rPh sb="7" eb="9">
      <t>ヨコハマ</t>
    </rPh>
    <phoneticPr fontId="7"/>
  </si>
  <si>
    <t>27-014</t>
  </si>
  <si>
    <t>371回</t>
  </si>
  <si>
    <t>03’</t>
  </si>
  <si>
    <t>Mﾍﾞﾝﾂ　E500　AVG</t>
  </si>
  <si>
    <t>浜松　330　ろ　215</t>
  </si>
  <si>
    <t>WDB2110702A146633</t>
  </si>
  <si>
    <t>市川　恭大</t>
  </si>
  <si>
    <t>保証書 ﾅﾋﾞﾛﾑ</t>
    <rPh sb="0" eb="3">
      <t>ホショウショ</t>
    </rPh>
    <phoneticPr fontId="7"/>
  </si>
  <si>
    <t>27-015</t>
  </si>
  <si>
    <t>857回</t>
  </si>
  <si>
    <t>06’</t>
  </si>
  <si>
    <t>BMW　323I</t>
  </si>
  <si>
    <t>練馬　330　さ　3393</t>
  </si>
  <si>
    <t>USS東京</t>
  </si>
  <si>
    <t>ﾁﾀﾝｼﾙﾊﾞｰ</t>
  </si>
  <si>
    <t>WBAVB56020NK82324</t>
  </si>
  <si>
    <t>陸送　19425　　HAA出品（9回）　　50400</t>
  </si>
  <si>
    <t>（株）東立</t>
  </si>
  <si>
    <t>27-016</t>
  </si>
  <si>
    <t>2722回</t>
  </si>
  <si>
    <t>ｱｳﾃﾞｨS4</t>
  </si>
  <si>
    <t>練馬　330　み　3710</t>
  </si>
  <si>
    <t>WAUZZZ8E75A041936</t>
  </si>
  <si>
    <t>東京ｽﾊﾞﾙ(株)</t>
    <rPh sb="0" eb="2">
      <t>トウキョウ</t>
    </rPh>
    <rPh sb="6" eb="9">
      <t>カブシキガイシャ</t>
    </rPh>
    <phoneticPr fontId="7"/>
  </si>
  <si>
    <t>保証書 取説 ｷｰﾚｽ</t>
    <rPh sb="0" eb="3">
      <t>ホショウショ</t>
    </rPh>
    <rPh sb="4" eb="5">
      <t>トリ</t>
    </rPh>
    <rPh sb="5" eb="6">
      <t>セツ</t>
    </rPh>
    <phoneticPr fontId="7"/>
  </si>
  <si>
    <t>27-017</t>
  </si>
  <si>
    <t>639回</t>
  </si>
  <si>
    <t>MﾍﾞﾝﾂS600L</t>
  </si>
  <si>
    <t>名古屋　399　ら　7008</t>
  </si>
  <si>
    <t>WDB2201761A335167</t>
  </si>
  <si>
    <t>(株)ﾔﾅｾ</t>
    <rPh sb="0" eb="3">
      <t>カブシキガイシャ</t>
    </rPh>
    <phoneticPr fontId="7"/>
  </si>
  <si>
    <t>保証書 取説 ﾅﾋﾞﾛﾑ</t>
    <rPh sb="0" eb="3">
      <t>ホショウショ</t>
    </rPh>
    <rPh sb="4" eb="5">
      <t>トリ</t>
    </rPh>
    <rPh sb="5" eb="6">
      <t>セツ</t>
    </rPh>
    <phoneticPr fontId="7"/>
  </si>
  <si>
    <t>27-018</t>
  </si>
  <si>
    <t>18/12</t>
    <phoneticPr fontId="7"/>
  </si>
  <si>
    <t>社</t>
    <rPh sb="0" eb="1">
      <t>シャ</t>
    </rPh>
    <phoneticPr fontId="7"/>
  </si>
  <si>
    <t>BMW335I</t>
  </si>
  <si>
    <t>練馬　301　ひ　7923</t>
  </si>
  <si>
    <t>WBAWB72010P051442</t>
  </si>
  <si>
    <t>野中　智子</t>
  </si>
  <si>
    <t>保証書 取説</t>
    <rPh sb="0" eb="3">
      <t>ホショウショ</t>
    </rPh>
    <rPh sb="4" eb="6">
      <t>トリセツ</t>
    </rPh>
    <phoneticPr fontId="7"/>
  </si>
  <si>
    <t>27-019</t>
  </si>
  <si>
    <t>6973回</t>
  </si>
  <si>
    <t>18/5</t>
  </si>
  <si>
    <t>BMWﾐﾆｸｰﾊﾟｰ ｾﾌﾞﾝ</t>
  </si>
  <si>
    <t>三重　501　の　7990</t>
  </si>
  <si>
    <t>TAA中部</t>
  </si>
  <si>
    <t>WMWRC32010TJ27929</t>
  </si>
  <si>
    <t>ﾈｯﾂﾄﾖﾀ三重(株)</t>
    <rPh sb="6" eb="8">
      <t>ミエ</t>
    </rPh>
    <rPh sb="8" eb="11">
      <t>カブシキガイシャ</t>
    </rPh>
    <phoneticPr fontId="7"/>
  </si>
  <si>
    <t>27-020</t>
  </si>
  <si>
    <t>702回</t>
  </si>
  <si>
    <t>19/4</t>
  </si>
  <si>
    <t>BMWﾐﾆｸｰﾊﾟｰS</t>
  </si>
  <si>
    <t>奈良　501　に　8805</t>
  </si>
  <si>
    <t>WMWMF72080TL38070</t>
  </si>
  <si>
    <t>奈良日産自動車（株）</t>
  </si>
  <si>
    <t>保証書　取説　ｷｰﾚｽ</t>
  </si>
  <si>
    <t>ﾜﾝｵｰﾅｰ</t>
    <phoneticPr fontId="7"/>
  </si>
  <si>
    <t>27-021</t>
  </si>
  <si>
    <t>1762回</t>
  </si>
  <si>
    <t>17/8</t>
  </si>
  <si>
    <t>26/8</t>
  </si>
  <si>
    <t>大阪　539　さ　1107</t>
  </si>
  <si>
    <t>ﾍﾞｲｵｰｸ（まとめ）</t>
    <phoneticPr fontId="7"/>
  </si>
  <si>
    <t>ｼﾙﾊﾞｰⅡ</t>
  </si>
  <si>
    <t>WMWRC32020TJ23615</t>
  </si>
  <si>
    <t>柳別府　陸則</t>
  </si>
  <si>
    <t>27-022</t>
  </si>
  <si>
    <t>713回</t>
  </si>
  <si>
    <t>21/3</t>
  </si>
  <si>
    <t>神戸　799　せ　471</t>
  </si>
  <si>
    <t>ｸﾞﾘｰﾝM</t>
  </si>
  <si>
    <t>WMWMF720X0TV02404</t>
  </si>
  <si>
    <t>(株)ﾓﾄｰﾚﾝ神戸</t>
    <rPh sb="0" eb="3">
      <t>カブシキガイシャ</t>
    </rPh>
    <rPh sb="8" eb="10">
      <t>コウベ</t>
    </rPh>
    <phoneticPr fontId="7"/>
  </si>
  <si>
    <t>27-023</t>
  </si>
  <si>
    <t>1558回</t>
  </si>
  <si>
    <t>13/8</t>
  </si>
  <si>
    <t>ｽﾏｰﾄ ﾌﾞﾗﾊﾞｽ</t>
  </si>
  <si>
    <t>名古屋　501　は　9308</t>
  </si>
  <si>
    <t>USS名古屋</t>
  </si>
  <si>
    <t>ｲｴﾛｰ</t>
  </si>
  <si>
    <t>WME01MC01YH053792</t>
  </si>
  <si>
    <t>浅野　展充</t>
  </si>
  <si>
    <t>27-024</t>
  </si>
  <si>
    <t>727回</t>
  </si>
  <si>
    <t>16/3</t>
  </si>
  <si>
    <t>BMW530i　ﾊｲﾗｲﾝ</t>
  </si>
  <si>
    <t>27/4</t>
  </si>
  <si>
    <t>足立　341　に　727</t>
  </si>
  <si>
    <t>WBANA72070B187344</t>
  </si>
  <si>
    <t>Jﾗｲﾝ（株）</t>
    <phoneticPr fontId="7"/>
  </si>
  <si>
    <t>保証書　ﾅﾋﾞﾛﾑ (R4.1217探し中)</t>
    <phoneticPr fontId="7"/>
  </si>
  <si>
    <t>27-025</t>
  </si>
  <si>
    <t>739回</t>
  </si>
  <si>
    <t>19/12</t>
  </si>
  <si>
    <t>ﾐﾆｷｬﾌﾞ T</t>
  </si>
  <si>
    <t>広島　480　ろ　8120</t>
  </si>
  <si>
    <t>白</t>
  </si>
  <si>
    <t>U61T-1300225</t>
  </si>
  <si>
    <t>(株)ｶﾞﾘﾊﾞｰｲﾝﾀｰﾅｼｮﾅﾙ</t>
    <rPh sb="0" eb="3">
      <t>カブシキガイシャ</t>
    </rPh>
    <phoneticPr fontId="7"/>
  </si>
  <si>
    <t>27-026</t>
  </si>
  <si>
    <t>537回</t>
  </si>
  <si>
    <t>20/1</t>
  </si>
  <si>
    <t>BMWﾐﾆ ﾜﾝ</t>
  </si>
  <si>
    <t>多摩　599　ま　8741</t>
  </si>
  <si>
    <t>WMWME32040TM72604</t>
  </si>
  <si>
    <t>（株）ﾓﾄｰﾚﾝ東名横浜</t>
    <phoneticPr fontId="7"/>
  </si>
  <si>
    <t>27-027</t>
  </si>
  <si>
    <t>543回</t>
  </si>
  <si>
    <t>15/10</t>
  </si>
  <si>
    <t>ﾚﾝｼﾞﾛｰﾊﾞｰ　HSE</t>
  </si>
  <si>
    <t>習志野　399　に　4639</t>
  </si>
  <si>
    <t>SALLMAMA34A144036</t>
  </si>
  <si>
    <t>(株)ｴｺｽﾀｲﾙ</t>
    <rPh sb="0" eb="3">
      <t>カブシキガイシャ</t>
    </rPh>
    <phoneticPr fontId="7"/>
  </si>
  <si>
    <t>保証書　DVD　ｷｰﾚｽ</t>
  </si>
  <si>
    <t>27-028</t>
  </si>
  <si>
    <t>1477回</t>
  </si>
  <si>
    <t>16/7</t>
  </si>
  <si>
    <t>BMW　Z4</t>
  </si>
  <si>
    <t>大阪　376　な　18</t>
  </si>
  <si>
    <t>ﾊﾅﾃﾝ</t>
    <phoneticPr fontId="7"/>
  </si>
  <si>
    <t>WBABT12080LR01261</t>
  </si>
  <si>
    <t>(株)ﾊﾅﾃﾝ</t>
    <rPh sb="0" eb="3">
      <t>カブシキガイシャ</t>
    </rPh>
    <phoneticPr fontId="7"/>
  </si>
  <si>
    <t>保証書　取説 ﾌﾟﾗｷｰ</t>
    <phoneticPr fontId="7"/>
  </si>
  <si>
    <t>27-029</t>
  </si>
  <si>
    <t>802回</t>
  </si>
  <si>
    <t>16/11</t>
  </si>
  <si>
    <t>MﾍﾞﾝﾂE320</t>
  </si>
  <si>
    <t>27/11</t>
  </si>
  <si>
    <t>神戸　302　ら　4691</t>
  </si>
  <si>
    <t>ZIP</t>
  </si>
  <si>
    <t>WDB2110652A672926</t>
  </si>
  <si>
    <t>保証書　取説　ｷｰﾚｽ　ﾅﾋﾞﾛﾑ</t>
  </si>
  <si>
    <t>27-030</t>
  </si>
  <si>
    <t>484回</t>
  </si>
  <si>
    <t>18/10</t>
  </si>
  <si>
    <t>Mﾍﾞﾝﾂ　GL550</t>
  </si>
  <si>
    <t>姫路　330　つ　637</t>
  </si>
  <si>
    <t>USS神戸</t>
  </si>
  <si>
    <t>WDC1648861A133695</t>
  </si>
  <si>
    <t>浜川　滋之</t>
  </si>
  <si>
    <t>27-031</t>
  </si>
  <si>
    <t>567回</t>
  </si>
  <si>
    <t>21/5</t>
  </si>
  <si>
    <t>BMW525I　ﾂｰﾘﾝｸﾞ　Mｽﾎﾟｰﾂ</t>
  </si>
  <si>
    <t>28/3</t>
  </si>
  <si>
    <t>品川　356　み　72</t>
  </si>
  <si>
    <t>ｸﾞﾚｰ</t>
  </si>
  <si>
    <t>WBAPU520X0CX91047</t>
  </si>
  <si>
    <t>(有)三英ｵｰﾄ</t>
    <phoneticPr fontId="7"/>
  </si>
  <si>
    <t>保証書　取説　ｷｰﾚｽ　ﾌﾟﾗｷｰ</t>
  </si>
  <si>
    <t>27-032</t>
  </si>
  <si>
    <t>25/5</t>
  </si>
  <si>
    <t>BMW650I</t>
  </si>
  <si>
    <t>28/5</t>
  </si>
  <si>
    <t>三重　301　ほ　9480</t>
  </si>
  <si>
    <t>378 せ 5</t>
    <phoneticPr fontId="7"/>
  </si>
  <si>
    <t>業販</t>
    <rPh sb="0" eb="2">
      <t>ギョウハン</t>
    </rPh>
    <phoneticPr fontId="7"/>
  </si>
  <si>
    <t>黒</t>
    <rPh sb="0" eb="1">
      <t>クロ</t>
    </rPh>
    <phoneticPr fontId="7"/>
  </si>
  <si>
    <t>WBA6B21070D144990</t>
  </si>
  <si>
    <t>株式会社ｱｵﾔﾏ</t>
  </si>
  <si>
    <t>27-033</t>
  </si>
  <si>
    <t>555回</t>
  </si>
  <si>
    <t>22/12</t>
  </si>
  <si>
    <t>BMWﾐﾆｸｰﾊﾟｰ</t>
  </si>
  <si>
    <t>岡山　599　つ　620</t>
  </si>
  <si>
    <t>LAA関西</t>
    <phoneticPr fontId="7"/>
  </si>
  <si>
    <t>WMWSU32020TY89634</t>
  </si>
  <si>
    <t>(株)ｼﾃｨﾗｲﾄ</t>
    <rPh sb="0" eb="3">
      <t>カブシキガイシャ</t>
    </rPh>
    <phoneticPr fontId="7"/>
  </si>
  <si>
    <t>保証書　取説</t>
  </si>
  <si>
    <t>27-034</t>
  </si>
  <si>
    <t>1594回</t>
  </si>
  <si>
    <t>24/12</t>
  </si>
  <si>
    <t>BMWﾐﾆ　ｸｰﾊﾟｰS　ｸﾛｽｵｰﾊﾞｰ</t>
  </si>
  <si>
    <t>尾張小牧　399　と　4667</t>
  </si>
  <si>
    <t>　</t>
  </si>
  <si>
    <t>WMWZC32080WN02424</t>
  </si>
  <si>
    <t>株式会社名鉄ｱｵﾄ</t>
    <rPh sb="0" eb="4">
      <t>カブシキガイシャ</t>
    </rPh>
    <rPh sb="4" eb="6">
      <t>メイテツ</t>
    </rPh>
    <phoneticPr fontId="7"/>
  </si>
  <si>
    <t>27-035</t>
  </si>
  <si>
    <t>1070回</t>
  </si>
  <si>
    <t>19/5</t>
  </si>
  <si>
    <t>BMWﾐﾆ ｸｰﾊﾟｰS</t>
  </si>
  <si>
    <t>所沢　599　と　5615</t>
  </si>
  <si>
    <t>WMWMF72060TL38195</t>
  </si>
  <si>
    <t>株式会社ﾕｰﾊﾟｰｸ</t>
    <rPh sb="0" eb="4">
      <t>カブシキガイシャ</t>
    </rPh>
    <phoneticPr fontId="7"/>
  </si>
  <si>
    <t>27-036</t>
  </si>
  <si>
    <t>846回</t>
  </si>
  <si>
    <t>23/5</t>
  </si>
  <si>
    <t>ｱｳﾃﾞｨA5　SB　2.0TFSI</t>
  </si>
  <si>
    <t>神戸　329　さ　6761</t>
  </si>
  <si>
    <t>ﾍﾞｰｼﾞｭ</t>
  </si>
  <si>
    <t>WAUZZZ8T4BA072233</t>
  </si>
  <si>
    <t>保証書　取説　ｷｰﾚｽ　ﾌﾟﾗｷｰ　B-CAS</t>
  </si>
  <si>
    <t>27-037</t>
  </si>
  <si>
    <t>1647回</t>
  </si>
  <si>
    <t>21/12</t>
  </si>
  <si>
    <t>VWｺﾞﾙﾌ　GTI</t>
  </si>
  <si>
    <t>28/12</t>
  </si>
  <si>
    <t>三河　301　る　5450</t>
  </si>
  <si>
    <t>WVWZZZ1KZAW043217</t>
  </si>
  <si>
    <t>山下　雄也</t>
  </si>
  <si>
    <t>27-038</t>
  </si>
  <si>
    <t>813回</t>
  </si>
  <si>
    <t>ﾃﾞｨｽｶﾊﾞﾘｰ　4.0　HSE</t>
  </si>
  <si>
    <t>30/2</t>
  </si>
  <si>
    <t>徳島　300　ぬ　2231</t>
  </si>
  <si>
    <t>SALLTAMP34A837027</t>
  </si>
  <si>
    <t>中田　和子</t>
  </si>
  <si>
    <t>27-039</t>
  </si>
  <si>
    <t>847回</t>
  </si>
  <si>
    <t>23/3</t>
  </si>
  <si>
    <t>BMWﾐﾆ ｸﾛｽｵｰﾊﾞｰ</t>
  </si>
  <si>
    <t>30/3</t>
  </si>
  <si>
    <t>横浜　331　ひ　7033</t>
  </si>
  <si>
    <t>MIRIVE（まとめ）</t>
  </si>
  <si>
    <t>赤Ⅱ</t>
  </si>
  <si>
    <t>WMWZC32080WH97320</t>
  </si>
  <si>
    <t>谷口　直樹</t>
  </si>
  <si>
    <t>27-040</t>
  </si>
  <si>
    <t>987回</t>
  </si>
  <si>
    <t>18/6</t>
  </si>
  <si>
    <t>29/6</t>
  </si>
  <si>
    <t>愛媛　501　ね　4086</t>
  </si>
  <si>
    <t>USS岡山</t>
  </si>
  <si>
    <t>WMWRC32080TJ30004</t>
  </si>
  <si>
    <t>株式会社ｶﾞﾘｵｺｰﾎﾟﾚｰｼｮﾝ</t>
    <rPh sb="0" eb="4">
      <t>カブシキガイシャ</t>
    </rPh>
    <phoneticPr fontId="7"/>
  </si>
  <si>
    <t>27-041</t>
  </si>
  <si>
    <t>766回</t>
  </si>
  <si>
    <t>15/4</t>
  </si>
  <si>
    <t>ﾚﾝｼﾞﾛｰﾊﾞｰ　VOGUE</t>
  </si>
  <si>
    <t>福岡　301　ゆ　7514</t>
  </si>
  <si>
    <t>TAA九州</t>
  </si>
  <si>
    <t>SALLMAMA33A128638</t>
  </si>
  <si>
    <t>八尋　邦晃</t>
  </si>
  <si>
    <t>27-042</t>
  </si>
  <si>
    <t>12/3</t>
  </si>
  <si>
    <t>VWﾊﾞｽ</t>
  </si>
  <si>
    <t>島根　500　す　6581</t>
  </si>
  <si>
    <t>ｵｰﾄｻﾛﾝﾜｲｽﾞ</t>
    <phoneticPr fontId="7"/>
  </si>
  <si>
    <t>白/ﾌﾞﾙｰ</t>
  </si>
  <si>
    <t>佐藤　由美子</t>
  </si>
  <si>
    <t>27-043</t>
  </si>
  <si>
    <t>553回</t>
  </si>
  <si>
    <t>15/6</t>
  </si>
  <si>
    <t>ﾗﾝﾄﾞﾛｰﾊﾞｰ　ﾃﾞｨｽｶﾊﾞﾘｰ　HSE</t>
  </si>
  <si>
    <t>大宮　300　も　3441</t>
  </si>
  <si>
    <t>TAA横浜</t>
  </si>
  <si>
    <t>SALLTAMP33A818771</t>
  </si>
  <si>
    <t>埼玉ﾄﾖﾍﾟｯﾄ(株)</t>
    <rPh sb="0" eb="2">
      <t>サイタマ</t>
    </rPh>
    <rPh sb="8" eb="11">
      <t>カブシキガイシャ</t>
    </rPh>
    <phoneticPr fontId="7"/>
  </si>
  <si>
    <t>27-044</t>
  </si>
  <si>
    <t>1664回</t>
  </si>
  <si>
    <t>5/7</t>
  </si>
  <si>
    <t>VWｺﾞﾙﾌ　ｶﾌﾞﾘｵﾚ　ｸﾗｼｯｸﾗｲﾝ</t>
  </si>
  <si>
    <t>30/7</t>
  </si>
  <si>
    <t>なにわ　582　ぬ　2010</t>
  </si>
  <si>
    <t>WVWZZZ15ZPK012768</t>
  </si>
  <si>
    <t>林　曜子</t>
  </si>
  <si>
    <t>ﾅﾋﾞ取 ﾓﾆﾀｰ ｽﾍﾟｱｷｰ 他ｷｰ</t>
    <phoneticPr fontId="7"/>
  </si>
  <si>
    <t>27-045</t>
  </si>
  <si>
    <t>833回</t>
  </si>
  <si>
    <t>24</t>
  </si>
  <si>
    <t>ｷｬﾘｰT　KC</t>
  </si>
  <si>
    <t>香川　480　む　777</t>
  </si>
  <si>
    <t>DA63T-747080</t>
  </si>
  <si>
    <t>岡田　忍</t>
  </si>
  <si>
    <t>27-046</t>
  </si>
  <si>
    <t>836回</t>
  </si>
  <si>
    <t>19/11</t>
  </si>
  <si>
    <t>MRﾜｺﾞﾝ ｳｨｯﾄ</t>
  </si>
  <si>
    <t>豊橋　580　く　4478</t>
  </si>
  <si>
    <t>車輌なし</t>
    <rPh sb="0" eb="2">
      <t>シャリョウ</t>
    </rPh>
    <phoneticPr fontId="1"/>
  </si>
  <si>
    <t>ﾊﾟｰﾌﾟﾙ</t>
  </si>
  <si>
    <t>MF22S-621605</t>
  </si>
  <si>
    <t>東愛知日産自動車（株）</t>
  </si>
  <si>
    <t>27-047</t>
  </si>
  <si>
    <t>22</t>
  </si>
  <si>
    <t>ﾊﾟﾚｯﾄSW TS</t>
  </si>
  <si>
    <t>29/4</t>
  </si>
  <si>
    <t>福井　580　ひ　4448</t>
  </si>
  <si>
    <t>MK21S-364533</t>
  </si>
  <si>
    <t>（株）ｽｽﾞｷｱﾘｰﾅ福井中央</t>
    <phoneticPr fontId="7"/>
  </si>
  <si>
    <t>保証書　取説　ﾅﾋﾞ取　ｷｰﾚｽ　ｽﾀｰﾀｰﾘﾓｺﾝ</t>
    <phoneticPr fontId="7"/>
  </si>
  <si>
    <t>27-048</t>
  </si>
  <si>
    <t>26/7</t>
  </si>
  <si>
    <t>BMW　M4　ｸｰﾍﾟ</t>
  </si>
  <si>
    <t>29/7</t>
  </si>
  <si>
    <t>大阪　363　ま　4</t>
  </si>
  <si>
    <t>振込￥324</t>
  </si>
  <si>
    <t>346 や 4</t>
    <phoneticPr fontId="7"/>
  </si>
  <si>
    <t>業販　ﾌﾟﾛｽﾀｯﾌ</t>
  </si>
  <si>
    <t>WBS3R92090F708144</t>
  </si>
  <si>
    <t>ﾌﾟﾛｽﾀｯﾌ（株）</t>
  </si>
  <si>
    <t>27-049</t>
  </si>
  <si>
    <t>1112回</t>
  </si>
  <si>
    <t>16/1</t>
  </si>
  <si>
    <t>ﾃﾞｨｽｶﾊﾞﾘｰ　HSE</t>
  </si>
  <si>
    <t>習志野　301　せ　7498</t>
  </si>
  <si>
    <t>SALLTAMP33A826869</t>
  </si>
  <si>
    <t>猪股　正博</t>
  </si>
  <si>
    <t>保証書　取説　ｷｰﾚｽ　HDD　ﾘﾓｺﾝ×5　ﾓﾆﾀｰ</t>
  </si>
  <si>
    <t>27-050</t>
  </si>
  <si>
    <t>16/9</t>
  </si>
  <si>
    <t>29/9</t>
  </si>
  <si>
    <t>愛媛　300　ほ　9626</t>
  </si>
  <si>
    <t>SALLTAMP34A830553</t>
  </si>
  <si>
    <t>白川　淳</t>
  </si>
  <si>
    <t>保証書　取説　ナビ取　ｷｰﾚｽ</t>
  </si>
  <si>
    <t>27-051</t>
  </si>
  <si>
    <t>1572回</t>
  </si>
  <si>
    <t>26/4</t>
  </si>
  <si>
    <t>BMWﾐﾆ ｸﾗﾌﾞﾏﾝ</t>
  </si>
  <si>
    <t>福岡　599　り　5723</t>
  </si>
  <si>
    <t>WMWZF32040T812837</t>
  </si>
  <si>
    <t>株式会社ﾋﾞｯｸﾞﾓｰﾀｰ</t>
    <rPh sb="0" eb="4">
      <t>カブシキガイシャ</t>
    </rPh>
    <phoneticPr fontId="7"/>
  </si>
  <si>
    <t>27-052</t>
  </si>
  <si>
    <t>1685回</t>
  </si>
  <si>
    <t>18/3</t>
  </si>
  <si>
    <t>ﾃﾞｨｽｶﾊﾞﾘｰ　Ⅲ　SE</t>
  </si>
  <si>
    <t>千葉　399　り　4834</t>
  </si>
  <si>
    <t>SALLAJA436A375064</t>
  </si>
  <si>
    <t>（株）ＩＤＯＭ</t>
  </si>
  <si>
    <t>保証書　取説　ﾅﾋﾞ取　ﾓﾆﾀｰ</t>
    <phoneticPr fontId="7"/>
  </si>
  <si>
    <t>27-053</t>
  </si>
  <si>
    <t>1575回</t>
  </si>
  <si>
    <t>BMWﾐﾆ　ｸｰﾊﾟｰS</t>
    <phoneticPr fontId="7"/>
  </si>
  <si>
    <t>神戸　503　ぬ　988</t>
  </si>
  <si>
    <t>Lﾌﾞﾙｰ</t>
  </si>
  <si>
    <t>WMWRE32000TC80489</t>
  </si>
  <si>
    <t>株式会社ﾋﾞｰｴﾑﾊﾅﾃﾝ</t>
    <rPh sb="0" eb="4">
      <t>カブシキガイシャ</t>
    </rPh>
    <phoneticPr fontId="7"/>
  </si>
  <si>
    <t>27-054</t>
  </si>
  <si>
    <t>886回</t>
  </si>
  <si>
    <t>1/10</t>
  </si>
  <si>
    <t>ﾊﾟｵ ｷｬﾝﾊﾟｽﾄｯﾌﾟ</t>
    <phoneticPr fontId="7"/>
  </si>
  <si>
    <t>30/10</t>
  </si>
  <si>
    <t>所沢　56　ろ　2337</t>
  </si>
  <si>
    <t>MIRIVE</t>
  </si>
  <si>
    <t>PK10-007074</t>
  </si>
  <si>
    <t>山田　全彦</t>
  </si>
  <si>
    <t>保証書 取説 ｽﾍﾟｱｷｰ ﾜﾝｵｰﾅｰ</t>
    <rPh sb="0" eb="3">
      <t>ホショウショ</t>
    </rPh>
    <rPh sb="4" eb="5">
      <t>トリ</t>
    </rPh>
    <rPh sb="5" eb="6">
      <t>セツ</t>
    </rPh>
    <phoneticPr fontId="7"/>
  </si>
  <si>
    <t>27-055</t>
  </si>
  <si>
    <t>860回</t>
  </si>
  <si>
    <t>19/8</t>
  </si>
  <si>
    <t>30/9</t>
  </si>
  <si>
    <t>大阪　530　た　8605</t>
  </si>
  <si>
    <t>青Ⅱ</t>
  </si>
  <si>
    <t>WMWMF720X0TL39818</t>
  </si>
  <si>
    <t>株式会社ﾓﾄｰﾚﾝ阪神</t>
    <rPh sb="0" eb="4">
      <t>カブシキガイシャ</t>
    </rPh>
    <rPh sb="9" eb="11">
      <t>ハンシン</t>
    </rPh>
    <phoneticPr fontId="7"/>
  </si>
  <si>
    <t>保証書　取説　ﾅﾋﾞ取　ｷｰﾚｽ</t>
    <phoneticPr fontId="7"/>
  </si>
  <si>
    <t>27-056</t>
  </si>
  <si>
    <t>862回</t>
  </si>
  <si>
    <t>22/4</t>
  </si>
  <si>
    <t>Mﾍﾞﾝﾂ　E63　AMG</t>
  </si>
  <si>
    <t>なにわ　334　ひ　623</t>
  </si>
  <si>
    <t>黒</t>
  </si>
  <si>
    <t>WDD2120772A141237</t>
    <phoneticPr fontId="7"/>
  </si>
  <si>
    <t>大坂ﾄﾖﾀ自動車(株)</t>
    <rPh sb="0" eb="2">
      <t>オオサカ</t>
    </rPh>
    <rPh sb="5" eb="8">
      <t>ジドウシャ</t>
    </rPh>
    <rPh sb="8" eb="11">
      <t>カブシキガイシャ</t>
    </rPh>
    <phoneticPr fontId="7"/>
  </si>
  <si>
    <t>保証書　取説　ｽﾀｰﾄﾎﾞﾀﾝ　ｷｰﾚｽ</t>
  </si>
  <si>
    <t>27-057</t>
  </si>
  <si>
    <t>1129回</t>
  </si>
  <si>
    <t>21/9</t>
  </si>
  <si>
    <t>ﾌｨｱｯﾄ500　1.2　8V　ﾎﾟｯﾌﾟ</t>
  </si>
  <si>
    <t>千葉　599　る　9790</t>
  </si>
  <si>
    <t>ZFA31200000298276</t>
  </si>
  <si>
    <t>(株)IDOM</t>
  </si>
  <si>
    <t>保証書　取説　ｽﾍﾟｱｷｰ</t>
  </si>
  <si>
    <t>27-058</t>
  </si>
  <si>
    <t>660回</t>
  </si>
  <si>
    <t>3/10</t>
  </si>
  <si>
    <t>ﾌｨｶﾞﾛ</t>
  </si>
  <si>
    <t>足立　53　ひ　6314</t>
  </si>
  <si>
    <t>Lｸﾞﾘｰﾝ</t>
  </si>
  <si>
    <t>FK10-012860</t>
  </si>
  <si>
    <t>青木　正廷</t>
  </si>
  <si>
    <t>保証書　ｽﾍﾟｱｷｰX2</t>
  </si>
  <si>
    <t>27-059</t>
  </si>
  <si>
    <t>592回</t>
  </si>
  <si>
    <t>S62/10</t>
  </si>
  <si>
    <t>BE-1　ｷｬﾝﾊﾞｽﾄｯﾌﾟ</t>
  </si>
  <si>
    <t>福井　56　ろ　253</t>
  </si>
  <si>
    <t>BK10-005136</t>
  </si>
  <si>
    <t>(有)前田高級鈑金</t>
  </si>
  <si>
    <t>9/21</t>
  </si>
  <si>
    <t>27-060</t>
  </si>
  <si>
    <t>1713回</t>
  </si>
  <si>
    <t>22/5</t>
  </si>
  <si>
    <t>BMWﾐﾆ ｸｰﾊﾟｰ</t>
  </si>
  <si>
    <t>なにわ　779　ゆ　1935</t>
  </si>
  <si>
    <t>ｸﾞﾚｰⅡ</t>
  </si>
  <si>
    <t>WMWSU32010TY92864</t>
  </si>
  <si>
    <t>(株)はなまる</t>
  </si>
  <si>
    <t>10/5</t>
  </si>
  <si>
    <t>27-061</t>
  </si>
  <si>
    <t>881回</t>
  </si>
  <si>
    <t>27/9</t>
  </si>
  <si>
    <t>なにわ 301 に 3411</t>
  </si>
  <si>
    <t>取説 保証書 ﾜﾝｵｰﾅｰ ﾕｰｻﾞｰ</t>
  </si>
  <si>
    <t>ﾌﾞﾗｯｸ</t>
  </si>
  <si>
    <t>WMWXS720602C47137</t>
  </si>
  <si>
    <t>ﾋﾞｰ･ｴﾑ･ﾀﾞﾌﾞﾘｭｰ･ｼﾞｬﾊﾟﾝ･ﾌｧｲﾅﾝｽ㈱</t>
  </si>
  <si>
    <t>10/23</t>
  </si>
  <si>
    <t>取説 保証書 ｷｰﾚｽ ﾜﾝｵｰﾅｰ</t>
  </si>
  <si>
    <t>27-062</t>
  </si>
  <si>
    <t>914回</t>
  </si>
  <si>
    <t>18/2</t>
  </si>
  <si>
    <t>BMW Z4 2.5i</t>
  </si>
  <si>
    <t>京都 302 す 3352</t>
  </si>
  <si>
    <t>ﾅﾋﾞﾛﾑ ﾎﾟｰﾀﾌﾞﾙﾅﾋﾞ</t>
  </si>
  <si>
    <t>ﾅﾋﾞﾛﾑ置いてあるところに一緒にあります</t>
  </si>
  <si>
    <t>WBABT32090LS24426</t>
  </si>
  <si>
    <t>㈱服部ﾓｰﾀｰ商会</t>
  </si>
  <si>
    <t>10/27</t>
  </si>
  <si>
    <t>ｷｰﾚｽ ﾅﾋﾞﾛﾑ ﾓﾆﾀｰ</t>
  </si>
  <si>
    <t>27-063</t>
  </si>
  <si>
    <t>1717回</t>
  </si>
  <si>
    <t>27/3</t>
  </si>
  <si>
    <t>三河 330 は 5315</t>
  </si>
  <si>
    <t>取説 保証書 ｷｰﾚｽ ﾜﾝｵｰﾅｰ ﾕｰｻﾞｰ</t>
  </si>
  <si>
    <t>社用車</t>
  </si>
  <si>
    <t>WMWXS720702B60251</t>
  </si>
  <si>
    <t>松井 彰</t>
  </si>
  <si>
    <t>11/2</t>
  </si>
  <si>
    <t>保証書 取説 ｷｰﾚｽ ﾜﾝｵｰﾅｰ</t>
    <rPh sb="0" eb="3">
      <t>ホショウショ</t>
    </rPh>
    <rPh sb="4" eb="5">
      <t>トリ</t>
    </rPh>
    <rPh sb="5" eb="6">
      <t>セツ</t>
    </rPh>
    <phoneticPr fontId="7"/>
  </si>
  <si>
    <t>R3.4月抹消済</t>
    <rPh sb="4" eb="5">
      <t>ガツ</t>
    </rPh>
    <rPh sb="5" eb="8">
      <t>マッショウズ</t>
    </rPh>
    <phoneticPr fontId="7"/>
  </si>
  <si>
    <t>27-064</t>
  </si>
  <si>
    <t>1148回</t>
  </si>
  <si>
    <t>26/11</t>
  </si>
  <si>
    <t>千葉 381 さ 1</t>
  </si>
  <si>
    <t>保証書 取説 ﾜﾝｵｰﾅｰ ﾕｰｻﾞｰ</t>
  </si>
  <si>
    <t>WMWXS72030T849453</t>
  </si>
  <si>
    <t>㈱ﾓﾄｰﾚﾝﾚﾋﾟｵ</t>
  </si>
  <si>
    <t>11/10</t>
  </si>
  <si>
    <t>保証書 取説 ｷｰﾚｽ ﾘﾓｺﾝ ﾜﾝｵｰﾅｰ</t>
    <rPh sb="0" eb="3">
      <t>ホショウショ</t>
    </rPh>
    <rPh sb="4" eb="5">
      <t>トリ</t>
    </rPh>
    <rPh sb="5" eb="6">
      <t>セツ</t>
    </rPh>
    <phoneticPr fontId="7"/>
  </si>
  <si>
    <t>27-065</t>
  </si>
  <si>
    <t>968回</t>
  </si>
  <si>
    <t>BMWﾐﾆｸｰﾊﾟｰSﾍﾟｯﾊﾟｰPKG</t>
  </si>
  <si>
    <t>31/3</t>
  </si>
  <si>
    <t>室蘭 330 な 1962</t>
  </si>
  <si>
    <t>取説 保証書 ｽﾍﾟｱｷｰ ﾜﾝｵｰﾅｰ</t>
  </si>
  <si>
    <t>名変期限1/12</t>
  </si>
  <si>
    <t>USS札幌</t>
  </si>
  <si>
    <t>ﾎﾜｲﾄⅡ</t>
  </si>
  <si>
    <t>WMWXM720602A77968</t>
  </si>
  <si>
    <t>12/16</t>
  </si>
  <si>
    <t>R3.5月抹消済</t>
  </si>
  <si>
    <t>27-066</t>
  </si>
  <si>
    <t>922回</t>
  </si>
  <si>
    <t>24/3</t>
  </si>
  <si>
    <t>BMW　523iMｽﾎﾟｰﾂﾊﾟｯｹｰｼﾞ</t>
  </si>
  <si>
    <t>神戸　303　に　6368</t>
  </si>
  <si>
    <t>保証書　取説　ﾜﾝｵｰﾅｰ</t>
  </si>
  <si>
    <t>WBAXG12050DW34455</t>
  </si>
  <si>
    <t>㈱ﾔﾅｾ</t>
  </si>
  <si>
    <t>12/23</t>
  </si>
  <si>
    <t>27-067</t>
  </si>
  <si>
    <t>1155回</t>
  </si>
  <si>
    <t>21/2</t>
  </si>
  <si>
    <t>ｱｳﾃﾞｨA4ｱﾊﾞﾝﾄ1.8TFSI SﾗｲﾝPKG</t>
  </si>
  <si>
    <t>八王子 399 ち 2616</t>
  </si>
  <si>
    <t>保証書 取説 ﾅﾋﾞﾛﾑ B-CAS ｽﾍﾟｱｷｰ</t>
  </si>
  <si>
    <t>ﾎﾜｲﾄ</t>
  </si>
  <si>
    <t>WAUZZZ8K49A159373</t>
  </si>
  <si>
    <t>株式会社村内外車ｾﾝﾀｰ</t>
  </si>
  <si>
    <t>12/28</t>
  </si>
  <si>
    <t>保証書 取説 ｷｰﾚｽ B-CAS ﾅﾋﾞﾛﾑ ﾜﾝｵｰﾅｰ</t>
  </si>
  <si>
    <t>27-068</t>
  </si>
  <si>
    <t>1616回</t>
  </si>
  <si>
    <t>22/11</t>
  </si>
  <si>
    <t>BMWﾐﾆｸﾗﾌﾞﾏﾝ ｸｰﾊﾟｰS  SOHOﾊﾟｯｹｰｼﾞ</t>
    <phoneticPr fontId="7"/>
  </si>
  <si>
    <t>大阪 531 す 4416</t>
  </si>
  <si>
    <t>ﾜﾝｵｰﾅｰ ﾕｰｻﾞｰ ﾅﾋﾞﾓﾆﾀｰ ｷｰﾚｽ 取説 保証書</t>
  </si>
  <si>
    <t>関西松原</t>
  </si>
  <si>
    <t>ﾎﾜｲﾄｼﾙﾊﾞｰ</t>
  </si>
  <si>
    <t>WMWZG32090TZ03759</t>
  </si>
  <si>
    <t>大阪ﾏﾂﾀﾞ販売株式会社</t>
  </si>
  <si>
    <t>1/16</t>
  </si>
  <si>
    <t>ﾅﾋﾞﾓﾆﾀｰ ｷｰﾚｽ ﾅﾋﾞ取 保証書 取説 ﾜﾝｵｰﾅｰ ﾕｰｻﾞｰ</t>
  </si>
  <si>
    <t>27-069</t>
  </si>
  <si>
    <t>1160回</t>
  </si>
  <si>
    <t>BMW M135i</t>
  </si>
  <si>
    <t>31/7</t>
  </si>
  <si>
    <t>世田谷 300 そ 3274</t>
  </si>
  <si>
    <t>保証書 ﾜﾝｵｰﾅｰ ｷｰﾚｽ 取説</t>
  </si>
  <si>
    <t>WBA1B72060P594618</t>
  </si>
  <si>
    <t>株式会社 ﾌﾚﾝﾄﾞﾓｰﾀｰｽ</t>
  </si>
  <si>
    <t>2/10</t>
  </si>
  <si>
    <t>保証書 取説 ﾜﾝｵｰﾅｰ ｷｰﾚｽ</t>
  </si>
  <si>
    <t>27-070</t>
  </si>
  <si>
    <t>902回</t>
  </si>
  <si>
    <t>ﾌｨｶﾞﾛ ｵｰﾌﾟﾝﾄｯﾌﾟﾀｰﾎﾞ</t>
  </si>
  <si>
    <t>30/11</t>
  </si>
  <si>
    <t>神戸 504 ち 9054</t>
  </si>
  <si>
    <t>取説 保証書 ﾓﾆﾀｰ</t>
  </si>
  <si>
    <t>ﾗｲﾄﾌﾞﾙｰ</t>
  </si>
  <si>
    <t>FK10-016486</t>
  </si>
  <si>
    <t>株式会社 ｸｲﾝｵｰﾄ</t>
  </si>
  <si>
    <t>3/24</t>
  </si>
  <si>
    <t>取説 保証書 ﾓﾆﾀｰ ｽﾍﾟｱｷｰ ×</t>
  </si>
  <si>
    <t>27-071</t>
  </si>
  <si>
    <t>1954回</t>
  </si>
  <si>
    <t>21/11</t>
  </si>
  <si>
    <t>ｱｳﾃﾞｨA5 3.2FSIｸﾜﾄﾛ</t>
  </si>
  <si>
    <t>広島 376 ひ 1001</t>
  </si>
  <si>
    <t xml:space="preserve">取説 保証書 </t>
  </si>
  <si>
    <t>ﾍﾞｲｵｰｸ</t>
  </si>
  <si>
    <t>WAUZZZ8T19A030693</t>
  </si>
  <si>
    <t>株式会社 JCM</t>
  </si>
  <si>
    <t>4/8</t>
  </si>
  <si>
    <t>取説 保証書 ｷｰﾚｽ ×</t>
  </si>
  <si>
    <t>27-072</t>
  </si>
  <si>
    <t>1172回</t>
  </si>
  <si>
    <t>ｱｳﾃﾞｨA4ｱﾊﾞﾝﾄ 1.8TFSI</t>
    <phoneticPr fontId="7"/>
  </si>
  <si>
    <t>練馬 301 や 8339</t>
  </si>
  <si>
    <t>当日抹消</t>
  </si>
  <si>
    <t>WAUZZZ8K79A126528</t>
  </si>
  <si>
    <t>株式会社 ｼｰｽｸｴｱ</t>
  </si>
  <si>
    <t>5/10</t>
  </si>
  <si>
    <t>取説 保証書 ×</t>
  </si>
  <si>
    <t>27-073</t>
  </si>
  <si>
    <t>1744回</t>
  </si>
  <si>
    <t>17/12</t>
  </si>
  <si>
    <t>ﾚﾝｼﾞﾛｰﾊﾞｰｽﾎﾟｰﾂ HSE</t>
  </si>
  <si>
    <t>30/12</t>
  </si>
  <si>
    <t>岡山 349 と 5678</t>
  </si>
  <si>
    <t>SALLSJA536A923664</t>
  </si>
  <si>
    <t>株式会社 ｱﾌﾟﾗｽ</t>
  </si>
  <si>
    <t>6/3</t>
  </si>
  <si>
    <t>ﾓﾆﾀｰ 取説 保証書 ｷｰﾚｽ ﾘﾓｺﾝ</t>
  </si>
  <si>
    <t>ﾓﾆﾀｰ店長に渡しました</t>
  </si>
  <si>
    <t>27-074</t>
  </si>
  <si>
    <t>951回</t>
  </si>
  <si>
    <t>BMWﾐﾆｸｰﾊﾟｰSｸﾗﾌﾞﾏﾝ</t>
  </si>
  <si>
    <t>31/12</t>
  </si>
  <si>
    <t>京都 330 と 7754</t>
  </si>
  <si>
    <t>WMWLN720102D97064</t>
  </si>
  <si>
    <t>株式会社 服部ﾓｰﾀｰ商会</t>
  </si>
  <si>
    <t>8/3</t>
  </si>
  <si>
    <t>取説ZIPで使用</t>
    <rPh sb="0" eb="2">
      <t>トリセツ</t>
    </rPh>
    <rPh sb="6" eb="8">
      <t>シヨウ</t>
    </rPh>
    <phoneticPr fontId="7"/>
  </si>
  <si>
    <t>R3.8月抹消済</t>
    <rPh sb="4" eb="5">
      <t>ガツ</t>
    </rPh>
    <rPh sb="5" eb="8">
      <t>マッショウズ</t>
    </rPh>
    <phoneticPr fontId="7"/>
  </si>
  <si>
    <t>27-075</t>
  </si>
  <si>
    <t>1980回</t>
  </si>
  <si>
    <t>18/11</t>
  </si>
  <si>
    <t>ｴﾌﾞﾘｲﾜｺﾞﾝ PZﾀｰﾎﾞｽﾍﾟｼｬﾙ</t>
  </si>
  <si>
    <t>31/11/23</t>
  </si>
  <si>
    <t>奈良 584 せ 725</t>
  </si>
  <si>
    <t>取説 保証書 記録簿</t>
  </si>
  <si>
    <t>DA64W-164309</t>
  </si>
  <si>
    <t>伊塚 正基</t>
  </si>
  <si>
    <t>10/14</t>
  </si>
  <si>
    <t>27-076</t>
  </si>
  <si>
    <t>MﾍﾞﾝﾂC200 ｱﾊﾞﾝｷﾞｬﾙﾄﾞAMGﾗｲﾝ</t>
  </si>
  <si>
    <t>なにわ 334 た 627</t>
  </si>
  <si>
    <t>SD ﾐﾆB-CAS</t>
  </si>
  <si>
    <t>SellCa</t>
  </si>
  <si>
    <t>A00962</t>
  </si>
  <si>
    <t>WDD2050422R243070</t>
  </si>
  <si>
    <t>株式会社 ｵﾘｴﾝﾄｺｰﾎﾟﾚｰｼｮﾝ</t>
  </si>
  <si>
    <t>11/8</t>
  </si>
  <si>
    <t>取説 保証書 ﾜﾝｵｰﾅｰ ｷｰﾚｽ ﾄﾞﾗﾚｺSD（車内）</t>
    <phoneticPr fontId="7"/>
  </si>
  <si>
    <t>27-077</t>
  </si>
  <si>
    <t>21/10</t>
  </si>
  <si>
    <t>BMW M3</t>
  </si>
  <si>
    <t>31/11</t>
  </si>
  <si>
    <t>横浜 304 な 1593</t>
  </si>
  <si>
    <t>保証書 取説 記録簿 手帳</t>
  </si>
  <si>
    <t>Sellca</t>
  </si>
  <si>
    <t>A01261</t>
  </si>
  <si>
    <t>ﾚｯﾄﾞ</t>
  </si>
  <si>
    <t>WBSWD92090PY38768</t>
  </si>
  <si>
    <t>米倉 弘樹</t>
  </si>
  <si>
    <t>11/23</t>
  </si>
  <si>
    <t>27-078</t>
  </si>
  <si>
    <t>1476回</t>
  </si>
  <si>
    <t>28/9</t>
  </si>
  <si>
    <t>BMWﾐﾆｸｰﾊﾟｰSD</t>
  </si>
  <si>
    <t>31/9</t>
  </si>
  <si>
    <t>岐阜 376 ち 7</t>
  </si>
  <si>
    <t>ﾕｰｻﾞｰ ﾜﾝｵｰﾅｰ</t>
  </si>
  <si>
    <t>CAA中部（まとめ）</t>
  </si>
  <si>
    <t>白Ⅱ</t>
  </si>
  <si>
    <t>WMWXN920602D26939</t>
  </si>
  <si>
    <t>株式会社 ﾌｧｲﾝﾄﾗｽﾄ</t>
  </si>
  <si>
    <t>11/22</t>
  </si>
  <si>
    <t>保証書 取説 ｷｰﾚｽ ﾜﾝｵｰﾅｰ ﾕｰｻﾞｰ</t>
    <rPh sb="0" eb="3">
      <t>ホショウショ</t>
    </rPh>
    <rPh sb="4" eb="5">
      <t>トリ</t>
    </rPh>
    <rPh sb="5" eb="6">
      <t>セツ</t>
    </rPh>
    <phoneticPr fontId="7"/>
  </si>
  <si>
    <t>27-079</t>
  </si>
  <si>
    <t>1728回</t>
  </si>
  <si>
    <t>23/12</t>
  </si>
  <si>
    <t>ﾗｲﾌ Gﾀｲﾌﾟ</t>
  </si>
  <si>
    <t>R</t>
  </si>
  <si>
    <t>宮城 583 み 1022</t>
  </si>
  <si>
    <t>ｵｰｸﾈｯﾄ</t>
  </si>
  <si>
    <t>JC1-1262371</t>
  </si>
  <si>
    <t>迫ﾎﾝﾀﾞ販売株式会社</t>
  </si>
  <si>
    <t>11/25</t>
  </si>
  <si>
    <t>27-080</t>
  </si>
  <si>
    <t>730回</t>
  </si>
  <si>
    <t>25/12</t>
  </si>
  <si>
    <t>BMW 428iｸｰﾍﾟ Mｽﾎﾟｰﾂ</t>
  </si>
  <si>
    <t>30/12/19</t>
  </si>
  <si>
    <t>品川 302 て 5944</t>
  </si>
  <si>
    <t>29/12 28/12 27/11 27/2 記録有 ﾜﾝｵｰﾅｰ</t>
  </si>
  <si>
    <t>28/11月で記録簿届いてる</t>
  </si>
  <si>
    <t>WBA3N32000KS51471</t>
  </si>
  <si>
    <t>株式会社 ｴｱｰﾌﾟﾗﾝﾂ</t>
  </si>
  <si>
    <t>12/15</t>
  </si>
  <si>
    <t>27-081</t>
  </si>
  <si>
    <t>1734回</t>
  </si>
  <si>
    <t>20/9</t>
  </si>
  <si>
    <t>ｱｳﾃﾞｨA4 1.8TFSI</t>
  </si>
  <si>
    <t>世田谷 399 さ 9354</t>
  </si>
  <si>
    <t>取説 保証書 手帳</t>
  </si>
  <si>
    <t>WAUZZZ8K49A040996</t>
  </si>
  <si>
    <t>ｱｳﾃﾞｨｼﾞｬﾊﾟﾝ販売株式会社</t>
  </si>
  <si>
    <t>1/11</t>
  </si>
  <si>
    <t>27-082</t>
  </si>
  <si>
    <t>1483回</t>
  </si>
  <si>
    <t>ekｽﾍﾟｰｽ E</t>
  </si>
  <si>
    <t>31/8</t>
  </si>
  <si>
    <t>名古屋 582 ぬ 7113</t>
  </si>
  <si>
    <t>B11A-0014305</t>
  </si>
  <si>
    <t>株式会社 山勝</t>
  </si>
  <si>
    <t>1/24</t>
  </si>
  <si>
    <t>ｽﾍﾟｱｷｰ（車内）</t>
    <phoneticPr fontId="7"/>
  </si>
  <si>
    <t>27-083</t>
  </si>
  <si>
    <t>1736回</t>
  </si>
  <si>
    <t>BMWﾐﾆﾜﾝ</t>
  </si>
  <si>
    <t>北九州 599 と 628</t>
  </si>
  <si>
    <t>店持ち帰り</t>
  </si>
  <si>
    <t>WMWME32070TM75027</t>
  </si>
  <si>
    <t>株式会社 ﾊﾞｰｼﾞｮﾝｸﾞﾙｰﾌﾟ</t>
  </si>
  <si>
    <t>1/27</t>
  </si>
  <si>
    <t>27-084</t>
  </si>
  <si>
    <t>1484回</t>
  </si>
  <si>
    <t>24/9</t>
  </si>
  <si>
    <t>ﾜｺﾞﾝR FXﾘﾐﾃｯﾄﾞ</t>
  </si>
  <si>
    <t>32/9</t>
  </si>
  <si>
    <t>豊橋 580 に 3789</t>
  </si>
  <si>
    <t>ﾚﾝﾀｶｰ</t>
  </si>
  <si>
    <t>MH34S-111834</t>
  </si>
  <si>
    <t>株式会社 ｽｽﾞｷ自販東海</t>
  </si>
  <si>
    <t>1/31</t>
  </si>
  <si>
    <t>27-085</t>
  </si>
  <si>
    <t>1995回</t>
  </si>
  <si>
    <t>ﾜｺﾞﾝR ﾘﾐﾃｯﾄﾞⅡ</t>
  </si>
  <si>
    <t>32/5/24</t>
  </si>
  <si>
    <t>なにわ 583 い 3507</t>
  </si>
  <si>
    <t>MH23S-192066</t>
  </si>
  <si>
    <t>森田 泰之</t>
  </si>
  <si>
    <t>2/8</t>
  </si>
  <si>
    <t>取説 保証書 × 地図SD（車内）</t>
    <rPh sb="9" eb="11">
      <t>チズ</t>
    </rPh>
    <rPh sb="14" eb="16">
      <t>シャナイ</t>
    </rPh>
    <phoneticPr fontId="7"/>
  </si>
  <si>
    <t>27-086</t>
  </si>
  <si>
    <t>25/1</t>
  </si>
  <si>
    <t>ﾀﾝﾄ G ｽﾍﾟｼｬﾙ</t>
  </si>
  <si>
    <t>32/2/22</t>
  </si>
  <si>
    <t>和泉 580 め 3393</t>
  </si>
  <si>
    <t xml:space="preserve">ﾜﾝｵｰﾅｰ </t>
  </si>
  <si>
    <t>茶</t>
  </si>
  <si>
    <t>L375S-0630435</t>
  </si>
  <si>
    <t>藤原 幸治</t>
  </si>
  <si>
    <t>2/3</t>
  </si>
  <si>
    <t>取説 ﾅﾋﾞ取 ﾜﾝｵｰﾅｰ ｽﾍﾟｱｷｰ</t>
  </si>
  <si>
    <t>27-087</t>
  </si>
  <si>
    <t>1997回</t>
  </si>
  <si>
    <t>20/4</t>
  </si>
  <si>
    <t>ﾀﾝﾄｶｽﾀﾑ Xﾘﾐﾃｯﾄﾞ</t>
  </si>
  <si>
    <t>神戸 588 ろ 370</t>
  </si>
  <si>
    <t>L375S-0040708</t>
  </si>
  <si>
    <t>株式会社 神戸ﾏﾂﾀﾞ</t>
  </si>
  <si>
    <t>2/18</t>
  </si>
  <si>
    <t>取説 保証書（車内）ｷｰﾚｽ</t>
    <phoneticPr fontId="7"/>
  </si>
  <si>
    <t>27-088</t>
  </si>
  <si>
    <t>1192回</t>
  </si>
  <si>
    <t>26/9</t>
  </si>
  <si>
    <t>BMW420iｸｰﾍﾟ Mｽﾎﾟｰﾂ</t>
  </si>
  <si>
    <t>32/1</t>
  </si>
  <si>
    <t>大分 300 む 7534</t>
  </si>
  <si>
    <t xml:space="preserve">取説 ﾅﾋﾞ取 保証書 ｽﾍﾟｱｷｰ </t>
  </si>
  <si>
    <t>店</t>
  </si>
  <si>
    <t>USS九州</t>
  </si>
  <si>
    <t>WBA3N120X0K099834</t>
  </si>
  <si>
    <t>有限会社ﾌﾟﾘﾏﾄﾞﾝﾅｺｰﾎﾟﾚｰｼｮﾝ</t>
  </si>
  <si>
    <t>3/14</t>
  </si>
  <si>
    <t>取説 ﾅﾋﾞ取 保証書 ｷｰﾚｽ</t>
  </si>
  <si>
    <t>27-089</t>
  </si>
  <si>
    <t>1750回</t>
  </si>
  <si>
    <t>ｼﾄﾛｴﾝDS5 ｴﾃﾞｨｼｮﾝ1955</t>
  </si>
  <si>
    <t>33/3</t>
  </si>
  <si>
    <t>多摩 303 て 6434</t>
  </si>
  <si>
    <t>保証書 手帳</t>
  </si>
  <si>
    <t>ﾑﾗｻｷ</t>
  </si>
  <si>
    <t>VF7KF5FVAFS517753</t>
  </si>
  <si>
    <t>5/11</t>
  </si>
  <si>
    <t>取説 保証書 ｷｰﾚｽ</t>
  </si>
  <si>
    <t>27-090</t>
  </si>
  <si>
    <t>1751回</t>
  </si>
  <si>
    <t xml:space="preserve">ﾌｨｯﾄ ﾊｲﾌﾞﾘｯﾄﾞ </t>
  </si>
  <si>
    <t>品川 59A の 7705</t>
  </si>
  <si>
    <t>GP5-3063828</t>
  </si>
  <si>
    <t>三菱ｵｰﾄﾘｰｽ株式会社</t>
  </si>
  <si>
    <t>5/18</t>
  </si>
  <si>
    <t>27-091</t>
  </si>
  <si>
    <t>1201回</t>
  </si>
  <si>
    <t>26/2</t>
  </si>
  <si>
    <t>ｼﾄﾛｴﾝDS5 ｼｯｸ</t>
  </si>
  <si>
    <t>熊本 336 そ 1012</t>
  </si>
  <si>
    <t>ﾊﾟｰﾙ</t>
  </si>
  <si>
    <t>VF7UF5FVADS507141</t>
  </si>
  <si>
    <t>株式会社 夢工場</t>
  </si>
  <si>
    <t>5/24</t>
  </si>
  <si>
    <t>取説 保証書 ﾅﾋﾞ取 ｷｰﾚｽ ×</t>
  </si>
  <si>
    <t>27-092</t>
  </si>
  <si>
    <t>675回</t>
  </si>
  <si>
    <t>15/5</t>
  </si>
  <si>
    <t>ﾚﾝｼﾞﾛｰﾊﾞｰ ｳﾞｫｰｸﾞ</t>
  </si>
  <si>
    <t>京都 330 は 1424</t>
  </si>
  <si>
    <t>SALLM-AMA33A135627</t>
  </si>
  <si>
    <t>株式会社ﾌﾟﾚｼｬｽ</t>
  </si>
  <si>
    <t>5/30</t>
  </si>
  <si>
    <t>27-093</t>
  </si>
  <si>
    <t>990回</t>
  </si>
  <si>
    <t>BMW 4ｼﾘｰｽﾞｸｰﾍﾟ 435i Mｽﾎﾟｰﾂ</t>
  </si>
  <si>
    <t>なにわ 301 の 2779</t>
  </si>
  <si>
    <t>WBA3R120X0KT32230</t>
  </si>
  <si>
    <t>5/31</t>
  </si>
  <si>
    <t>ｷｰﾚｽ</t>
  </si>
  <si>
    <t>27-094</t>
  </si>
  <si>
    <t>1684回</t>
  </si>
  <si>
    <t>24/5</t>
  </si>
  <si>
    <t>大阪 599 む 5735</t>
  </si>
  <si>
    <t>取説 保証書 ﾜﾝｵｰﾅｰ</t>
  </si>
  <si>
    <t>ﾁﾘﾚｯﾄﾞ</t>
  </si>
  <si>
    <t>WMWSU32070T151647</t>
  </si>
  <si>
    <t>6/6</t>
  </si>
  <si>
    <t>27-095</t>
  </si>
  <si>
    <t>13/11</t>
  </si>
  <si>
    <t>ｿｱﾗ 430SCV</t>
  </si>
  <si>
    <t>32/11</t>
  </si>
  <si>
    <t>京都 330 た 158</t>
  </si>
  <si>
    <t>UZZ40-0020435</t>
  </si>
  <si>
    <t>和田 みゆき</t>
  </si>
  <si>
    <t>6/11</t>
  </si>
  <si>
    <t>取説 保証書 ﾅﾋﾞ取 ｽﾍﾟｱｷｰ ﾜﾝｵｰﾅｰ</t>
  </si>
  <si>
    <t>27-096</t>
  </si>
  <si>
    <t>1603回</t>
  </si>
  <si>
    <t>ｴﾌﾞﾘｲ ｼﾞｮｲﾝ ﾊｲﾙｰﾌ</t>
  </si>
  <si>
    <t>32/2</t>
  </si>
  <si>
    <t>京都 480 ち 9706</t>
  </si>
  <si>
    <t>TAA近畿</t>
  </si>
  <si>
    <t>DA64V-828755</t>
  </si>
  <si>
    <t>松井 茂雄</t>
  </si>
  <si>
    <t>6/15</t>
  </si>
  <si>
    <t xml:space="preserve">取説 保証書 ｽﾍﾟｱｷｰ(車内) ﾜﾝｵｰﾅｰ </t>
    <phoneticPr fontId="7"/>
  </si>
  <si>
    <t>27-097</t>
  </si>
  <si>
    <t>26</t>
  </si>
  <si>
    <t>ﾎﾟﾙｼｪ 911 ﾀｰﾎﾞ</t>
  </si>
  <si>
    <t>31/10</t>
  </si>
  <si>
    <t>神戸 386 み 2</t>
  </si>
  <si>
    <t>30A や 5</t>
    <phoneticPr fontId="7"/>
  </si>
  <si>
    <t>西村 豊</t>
  </si>
  <si>
    <t>WP0ZZZ99ZFS160260</t>
  </si>
  <si>
    <t>相川 直輝</t>
  </si>
  <si>
    <t>取説　保証書　ｷｰﾚｽ</t>
  </si>
  <si>
    <t>上川 善春</t>
    <rPh sb="0" eb="2">
      <t>カミカワ</t>
    </rPh>
    <rPh sb="3" eb="4">
      <t>ゼン</t>
    </rPh>
    <rPh sb="4" eb="5">
      <t>ハル</t>
    </rPh>
    <phoneticPr fontId="7"/>
  </si>
  <si>
    <t>27-098</t>
  </si>
  <si>
    <t>1604回</t>
  </si>
  <si>
    <t>ﾋﾟｸｼｽﾊﾞﾝ ｸﾙｰｽﾞSA3</t>
  </si>
  <si>
    <t>2/2</t>
    <phoneticPr fontId="7"/>
  </si>
  <si>
    <t>和泉 486 ふ 111</t>
  </si>
  <si>
    <t>S321M-0021218</t>
  </si>
  <si>
    <t>ﾄﾖﾀｶﾛｰﾗ南海株式会社</t>
  </si>
  <si>
    <t>6/22</t>
  </si>
  <si>
    <t>27-099</t>
  </si>
  <si>
    <t>1504回</t>
  </si>
  <si>
    <t>22/6</t>
  </si>
  <si>
    <t>ｱﾙﾄﾗﾊﾟﾝ X</t>
  </si>
  <si>
    <t>名古屋 590 ろ 5943</t>
  </si>
  <si>
    <t>水色</t>
  </si>
  <si>
    <t>HE22S-168702</t>
  </si>
  <si>
    <t>ﾈｯﾂﾄﾖﾀ愛知株式会社</t>
  </si>
  <si>
    <t>6/29</t>
  </si>
  <si>
    <t>27-100</t>
  </si>
  <si>
    <t xml:space="preserve">ｶﾛｰﾗﾌｨﾙﾀﾞｰ ﾊｲﾌﾞﾘｯﾄﾞG </t>
  </si>
  <si>
    <t>八戸 500 ま 5237</t>
  </si>
  <si>
    <t>取説 手帳 ﾜﾝｵｰﾅｰ</t>
  </si>
  <si>
    <t>A06072</t>
  </si>
  <si>
    <t>NKE165-7071382</t>
  </si>
  <si>
    <t>ﾄﾖﾀｶﾛｰﾗ八戸 株式会社</t>
  </si>
  <si>
    <t>7/27</t>
  </si>
  <si>
    <t>27-101</t>
  </si>
  <si>
    <t>30/8</t>
  </si>
  <si>
    <t>N-BOXｶｽﾀﾑ G・EXﾀｰﾎﾞﾎﾝﾀﾞｾﾝｼﾝｸﾞ</t>
  </si>
  <si>
    <t>R3/8</t>
  </si>
  <si>
    <t>神戸 582 き 7779</t>
  </si>
  <si>
    <t>取説 整備手帳 ﾜﾝｵｰﾅｰ</t>
  </si>
  <si>
    <t>587 こ 8810</t>
    <phoneticPr fontId="7"/>
  </si>
  <si>
    <t>A06485</t>
  </si>
  <si>
    <t>JF3-2053072</t>
  </si>
  <si>
    <t>松本 海</t>
  </si>
  <si>
    <t>8/6</t>
  </si>
  <si>
    <t>取説 手帳 ｷｰﾚｽ ﾜﾝｵｰﾅｰ</t>
  </si>
  <si>
    <t>27-102</t>
  </si>
  <si>
    <t>20/7</t>
  </si>
  <si>
    <t>ﾊﾟﾚｯﾄ T</t>
  </si>
  <si>
    <t>千葉 596 ろ 1546</t>
  </si>
  <si>
    <t>MK21S-618480</t>
  </si>
  <si>
    <t>株式会社 IDOM</t>
  </si>
  <si>
    <t>8/4</t>
  </si>
  <si>
    <t xml:space="preserve">取説 保証書 ｷｰﾚｽ </t>
  </si>
  <si>
    <t>27-103</t>
  </si>
  <si>
    <t>1236回</t>
  </si>
  <si>
    <t>20/6</t>
  </si>
  <si>
    <t>ｱｽﾄﾝﾏｰﾃｨﾝV8 ｳﾞｨﾝﾃｰｼﾞ N400ﾛｰﾄﾞｽﾀｰ</t>
  </si>
  <si>
    <t>3/5</t>
    <phoneticPr fontId="7"/>
  </si>
  <si>
    <t>水戸 301 は 8653</t>
  </si>
  <si>
    <t>H26/5/27 ｱﾄﾗﾝﾃｨｯｸｶｰｽFｸﾗｯﾁ一式交換済（28695ｷﾛ）</t>
  </si>
  <si>
    <t>ｵﾚﾝｼﾞ</t>
  </si>
  <si>
    <t>SCFBF04GJ8GD10738</t>
  </si>
  <si>
    <t>飯島 正一</t>
  </si>
  <si>
    <t>8/29</t>
  </si>
  <si>
    <t>取説 手帳 交換記録OK ×</t>
  </si>
  <si>
    <t>27-104</t>
  </si>
  <si>
    <t>1002回</t>
  </si>
  <si>
    <t>ｼﾄﾛｴﾝ C4 ﾋﾟｶｿ ｾﾀﾞｸｼｮﾝ</t>
  </si>
  <si>
    <t>姫路 399 ち 6791</t>
  </si>
  <si>
    <t xml:space="preserve">取説 保証書 ｽﾍﾟｱｷｰ </t>
  </si>
  <si>
    <t>VF73A5GZTEJ836767</t>
  </si>
  <si>
    <t>ﾈｯﾂﾄﾖﾀ兵庫株式会社</t>
  </si>
  <si>
    <t>27-105</t>
  </si>
  <si>
    <t>1695回</t>
  </si>
  <si>
    <t>ﾎﾞﾙﾎﾞXC60 T6 SE AWD</t>
  </si>
  <si>
    <t>32/10</t>
  </si>
  <si>
    <t>神戸 302 す 1291</t>
  </si>
  <si>
    <t>取説 ｷｰ類</t>
  </si>
  <si>
    <t>YV1DZ9956A2053186</t>
  </si>
  <si>
    <t>佐村 悟次</t>
  </si>
  <si>
    <t>8/30</t>
  </si>
  <si>
    <t>取説 保証書 ｷｰﾚｽ ﾜﾝｵｰﾅｰ ﾘﾓｺﾝ（後ろの箱）</t>
  </si>
  <si>
    <t>抹消済</t>
    <rPh sb="0" eb="2">
      <t>マッショウ</t>
    </rPh>
    <rPh sb="2" eb="3">
      <t>スミ</t>
    </rPh>
    <phoneticPr fontId="7"/>
  </si>
  <si>
    <t>27-106</t>
  </si>
  <si>
    <t>971回</t>
  </si>
  <si>
    <t>28/1</t>
  </si>
  <si>
    <t>ﾌｨｱｯﾄ500X ｸﾛｽﾌﾟﾗｽ</t>
  </si>
  <si>
    <t>33/1</t>
  </si>
  <si>
    <t>大阪 350 す 500</t>
  </si>
  <si>
    <t>ZFA3340000P408910</t>
  </si>
  <si>
    <t>大阪ﾄﾖﾍﾟｯﾄ株式会社</t>
  </si>
  <si>
    <t>9/3</t>
  </si>
  <si>
    <t>取説 保証書（車内）ﾜﾝｵｰﾅｰ</t>
    <phoneticPr fontId="7"/>
  </si>
  <si>
    <t>27-107</t>
  </si>
  <si>
    <t>1696回</t>
  </si>
  <si>
    <t>ｴﾌﾞﾘｲW PZﾀｰﾎﾞ</t>
  </si>
  <si>
    <t>大阪 580 こ 7197</t>
  </si>
  <si>
    <t>DA64W-164577</t>
  </si>
  <si>
    <t>株式会社 ｽｽﾞｷ自販近畿中古車本部</t>
  </si>
  <si>
    <t>9/5</t>
  </si>
  <si>
    <t>ｷｰﾚｽ（車内）取説 保証書</t>
    <phoneticPr fontId="7"/>
  </si>
  <si>
    <t>27-108</t>
  </si>
  <si>
    <t>1001回</t>
  </si>
  <si>
    <t>25/5</t>
    <phoneticPr fontId="7"/>
  </si>
  <si>
    <t>ｼﾄﾛｴﾝC4 ｴｸｽｸﾙｰｼﾌﾞ</t>
  </si>
  <si>
    <t>32/5</t>
  </si>
  <si>
    <t>練馬 301 や 3864</t>
  </si>
  <si>
    <t>赤</t>
    <rPh sb="0" eb="1">
      <t>アカ</t>
    </rPh>
    <phoneticPr fontId="7"/>
  </si>
  <si>
    <t>VF7NC5FV8CY642301</t>
  </si>
  <si>
    <t>9/20</t>
  </si>
  <si>
    <t>抹消済</t>
    <rPh sb="0" eb="3">
      <t>マッショウスミ</t>
    </rPh>
    <phoneticPr fontId="7"/>
  </si>
  <si>
    <t>27-109</t>
  </si>
  <si>
    <t>1817回</t>
  </si>
  <si>
    <t>27/12</t>
  </si>
  <si>
    <t>BMW320i Mｽﾎﾟｰﾂ</t>
    <phoneticPr fontId="7"/>
  </si>
  <si>
    <t>2/12/24</t>
  </si>
  <si>
    <t>京都 336 ほ 58</t>
  </si>
  <si>
    <t>取説 保証書 ﾅﾋﾞ取 ｷｰﾚｽ ﾃﾞｨｰﾗｰ記録簿二枚 ﾜﾝｵｰﾅｰ</t>
  </si>
  <si>
    <t>581 は 1818</t>
  </si>
  <si>
    <t>WBA8A12000K430664</t>
  </si>
  <si>
    <t>株式会社 ﾗｲﾌﾀｲﾑｼｰﾄﾞ</t>
  </si>
  <si>
    <t>11/21</t>
  </si>
  <si>
    <t>取説 保証書 ﾅﾋﾞ取 ｷｰﾚｽ ﾜﾝｵｰﾅｰ</t>
  </si>
  <si>
    <t>27-111</t>
  </si>
  <si>
    <t>31/1</t>
  </si>
  <si>
    <t>Mﾍﾞﾝﾂ E450 W 4ﾏﾁｯｸ</t>
  </si>
  <si>
    <t>4/1</t>
  </si>
  <si>
    <t>姫路　301　た　2465</t>
  </si>
  <si>
    <t>取説 保証書 手帳 Sｷｰ ﾜﾝｵｰﾅｰ</t>
  </si>
  <si>
    <t>ﾜﾝｵｰﾅｰｸﾚｰﾑ済</t>
  </si>
  <si>
    <t>301 た 2465</t>
    <phoneticPr fontId="7"/>
  </si>
  <si>
    <t>WDD22132681A444216</t>
  </si>
  <si>
    <t>㈱ﾃｨｰｴｰｼｰｺｰﾎﾟﾚｰｼｮﾝ</t>
  </si>
  <si>
    <t>2/14</t>
  </si>
  <si>
    <t>TACｺｰﾎﾟﾚｰｼｮﾝから買取</t>
  </si>
  <si>
    <t>27-112</t>
  </si>
  <si>
    <t>1043回</t>
  </si>
  <si>
    <t>27/7</t>
  </si>
  <si>
    <t>BMW420i ｸﾞﾗﾝｸｰﾍﾟ Mｽﾎﾟｰﾂ</t>
  </si>
  <si>
    <t>名古屋 331 む 3125</t>
  </si>
  <si>
    <t xml:space="preserve">取説 保証書 ｽﾍﾟｱｷｰ TVﾘﾓｺﾝ </t>
  </si>
  <si>
    <t>WBA4A12050GK07067</t>
  </si>
  <si>
    <t>ﾔﾅｾﾊﾞｲｴﾙﾝﾓｰﾀｰｽﾞ株式会社</t>
  </si>
  <si>
    <t>6/23</t>
  </si>
  <si>
    <t>取説保証書 ｷｰﾚｽ TVﾘﾓｺﾝ ﾜﾝｵｰﾅｰ</t>
  </si>
  <si>
    <t>27-113</t>
  </si>
  <si>
    <t>15/1</t>
  </si>
  <si>
    <t>CQﾓｰﾀｰｽﾞ 阪神ﾀｲｶﾞｰｽＱＩ</t>
    <phoneticPr fontId="7"/>
  </si>
  <si>
    <t>堺市 り 113</t>
  </si>
  <si>
    <t>取説 手帳</t>
  </si>
  <si>
    <t>A19245</t>
  </si>
  <si>
    <t>CQ102Q1AADA-0462</t>
  </si>
  <si>
    <t>大東 美千代</t>
  </si>
  <si>
    <t>27-114</t>
  </si>
  <si>
    <t>1848回</t>
  </si>
  <si>
    <t>25/11</t>
  </si>
  <si>
    <t>ﾎﾟﾙｼｪ ｹｲﾏﾝ ｽﾎﾟｰﾂｸﾛﾉPKG 2.7</t>
  </si>
  <si>
    <t>2/11</t>
  </si>
  <si>
    <t>つくば  300 ふ 245</t>
  </si>
  <si>
    <t>30Y つ  5</t>
  </si>
  <si>
    <t>WP0ZZZ98ZEK162260</t>
  </si>
  <si>
    <t>山川 将史</t>
  </si>
  <si>
    <t>7/9</t>
  </si>
  <si>
    <t>取説 保証書 ｷｰﾚｽ ﾘﾓｺﾝ</t>
  </si>
  <si>
    <t>27-115</t>
  </si>
  <si>
    <t>1739回</t>
  </si>
  <si>
    <t xml:space="preserve">BMWﾐﾆｸｰﾊﾟｰD </t>
  </si>
  <si>
    <t>3/9/22</t>
  </si>
  <si>
    <t>堺 300 ぬ 9328</t>
  </si>
  <si>
    <t>301 た 7358</t>
  </si>
  <si>
    <t>MIRIVE大阪（ｱｲｵｰｸ）</t>
  </si>
  <si>
    <t>ﾎﾜｲﾄｼﾙﾊﾞｰﾒﾀ</t>
  </si>
  <si>
    <t>WMWXN320202E74020</t>
  </si>
  <si>
    <t>大田 浩介</t>
  </si>
  <si>
    <t>7/16</t>
  </si>
  <si>
    <t>取説 保証書 ｷｰﾚｽ ﾏｲｸﾛSD ﾘﾓｺﾝ×2 ×</t>
  </si>
  <si>
    <t>抹消済</t>
    <phoneticPr fontId="7"/>
  </si>
  <si>
    <t>27-116</t>
  </si>
  <si>
    <t>25/8</t>
  </si>
  <si>
    <t>ﾉｰﾄ X DIG-S</t>
  </si>
  <si>
    <t>32/8</t>
  </si>
  <si>
    <t>横浜 504 ね 7884</t>
  </si>
  <si>
    <t>A20838</t>
  </si>
  <si>
    <t>ｵｰﾛﾗﾓｰｳﾞ</t>
  </si>
  <si>
    <t>E12-148954</t>
  </si>
  <si>
    <t>山内 照彦</t>
  </si>
  <si>
    <t>7/30</t>
  </si>
  <si>
    <t>27-117</t>
  </si>
  <si>
    <t>1049回</t>
  </si>
  <si>
    <t>26/1</t>
  </si>
  <si>
    <t>BMW 320i ｸﾞﾗﾝﾂｰﾘｽﾓ Mｽﾎﾟｰﾂ</t>
  </si>
  <si>
    <t>京都 369 め 117</t>
  </si>
  <si>
    <t>取説 保証書 ｽﾍﾟｱｷｰ TVﾘﾓｺﾝ</t>
  </si>
  <si>
    <t>WBA3X12070D372890</t>
  </si>
  <si>
    <t>27-118</t>
  </si>
  <si>
    <t>1660回</t>
  </si>
  <si>
    <t>30/1</t>
  </si>
  <si>
    <t>なにわ 326 と 6828</t>
  </si>
  <si>
    <t>ﾌﾞﾙｰⅡ</t>
  </si>
  <si>
    <t>WMWXM720203C11546</t>
  </si>
  <si>
    <t>大阪ﾄﾖﾀ自動車株式会社</t>
  </si>
  <si>
    <t>8/11</t>
  </si>
  <si>
    <t>取説 保証書 ｷｰﾚｽ × （車内）</t>
    <phoneticPr fontId="7"/>
  </si>
  <si>
    <t>27-119</t>
  </si>
  <si>
    <t>24/11</t>
  </si>
  <si>
    <t>NV100ｸﾘｯﾊﾟｰ DX</t>
  </si>
  <si>
    <t>岡山 483 ね 113</t>
  </si>
  <si>
    <t>ﾘｸﾙｰﾄ</t>
  </si>
  <si>
    <t>B00086834</t>
  </si>
  <si>
    <t>U71V-0615099</t>
  </si>
  <si>
    <t>ﾈｯﾂﾄﾖﾀ岡山株式会社</t>
  </si>
  <si>
    <t>8/20</t>
  </si>
  <si>
    <t>27-120</t>
  </si>
  <si>
    <t>2072回</t>
  </si>
  <si>
    <t>23/11</t>
  </si>
  <si>
    <t>BMW 640iｸｰﾍﾟ Mｽﾎﾟｰﾂ</t>
  </si>
  <si>
    <t>32/11/23</t>
  </si>
  <si>
    <t>和泉 335 に 214</t>
  </si>
  <si>
    <t>WBALW32080C798740</t>
  </si>
  <si>
    <t>大興毛糸紡績 株式会社</t>
  </si>
  <si>
    <t>8/23</t>
  </si>
  <si>
    <t>27-121</t>
  </si>
  <si>
    <t>1854回</t>
  </si>
  <si>
    <t>24/7</t>
  </si>
  <si>
    <t>BMWﾐﾆｸｰﾊﾟｰS ｸｰﾍﾟ</t>
  </si>
  <si>
    <t>3/7</t>
  </si>
  <si>
    <t>神戸 550 も 3298</t>
  </si>
  <si>
    <t>取説 保証書 ｽﾍﾟｱｷｰ</t>
  </si>
  <si>
    <t>501 み 7651</t>
    <phoneticPr fontId="7"/>
  </si>
  <si>
    <t>WMWSX32090T404476</t>
  </si>
  <si>
    <t>坂野 嘉則</t>
  </si>
  <si>
    <t>8/27</t>
  </si>
  <si>
    <t>27-122</t>
  </si>
  <si>
    <t>1856回</t>
  </si>
  <si>
    <t>26/11</t>
    <phoneticPr fontId="7"/>
  </si>
  <si>
    <t>BMW 235iｸｰﾍﾟ Mｽﾎﾟｰﾂ</t>
  </si>
  <si>
    <t>足立　302　ふ　2669</t>
  </si>
  <si>
    <t>WBA1J720X0V229650</t>
  </si>
  <si>
    <t>牧野　善知</t>
  </si>
  <si>
    <t>9/12</t>
  </si>
  <si>
    <t>27-123</t>
  </si>
  <si>
    <t>1816回</t>
  </si>
  <si>
    <t>29/8</t>
  </si>
  <si>
    <t>ｱｳﾃﾞｨA4 ｱﾊﾞﾝﾄ 1.4TFSI ｽﾎﾟｰﾂ</t>
  </si>
  <si>
    <t>なにわ 301 は 2121</t>
  </si>
  <si>
    <t>WAUZZZF45HA068163</t>
  </si>
  <si>
    <t>9/11</t>
  </si>
  <si>
    <t>27-124</t>
  </si>
  <si>
    <t>1054回</t>
  </si>
  <si>
    <t>BMW M5</t>
  </si>
  <si>
    <t>なにわ 326 な 2779</t>
  </si>
  <si>
    <t xml:space="preserve">ｽﾍﾟｱｷｰ </t>
  </si>
  <si>
    <t>WBSFV92000DX95663</t>
  </si>
  <si>
    <t>9/13</t>
  </si>
  <si>
    <t>27-125</t>
  </si>
  <si>
    <t>1288回</t>
  </si>
  <si>
    <t>BMWﾐﾆｸｰﾊﾟｰ F55</t>
  </si>
  <si>
    <t>3/9/30</t>
  </si>
  <si>
    <t>習志野 301 ひ 6901</t>
  </si>
  <si>
    <t>保証書  ﾜﾝｵｰﾅｰ</t>
  </si>
  <si>
    <t>名変10/15まで</t>
  </si>
  <si>
    <t>301 た 9256</t>
  </si>
  <si>
    <t xml:space="preserve">あか </t>
  </si>
  <si>
    <t>WMWXS50602C90557</t>
  </si>
  <si>
    <t>楠木 良樹</t>
  </si>
  <si>
    <t>9/17</t>
  </si>
  <si>
    <t>抹消済</t>
  </si>
  <si>
    <t>27-126</t>
  </si>
  <si>
    <t>27/1</t>
  </si>
  <si>
    <t>BMW M235i MﾊﾟﾌｫｰﾏﾝｽED</t>
  </si>
  <si>
    <t>4/1</t>
    <phoneticPr fontId="7"/>
  </si>
  <si>
    <t>長崎 300 ふ 4926</t>
  </si>
  <si>
    <t>301 ち 523</t>
  </si>
  <si>
    <t>WBA1J72080V229307</t>
  </si>
  <si>
    <t>株式会社 MATSUFUJI</t>
  </si>
  <si>
    <t>9/19</t>
  </si>
  <si>
    <t>ｷｰﾚｽ（車内）取説 保証書 ×</t>
    <phoneticPr fontId="7"/>
  </si>
  <si>
    <t>27-127</t>
  </si>
  <si>
    <t>1289回</t>
  </si>
  <si>
    <t>15/8</t>
  </si>
  <si>
    <t>BMW M3 SMG2</t>
  </si>
  <si>
    <t>福山 330 そ 346</t>
  </si>
  <si>
    <t>WBS-BL92080JR07289</t>
  </si>
  <si>
    <t>芝吹 直記</t>
  </si>
  <si>
    <t>9/24</t>
  </si>
  <si>
    <t>取説 保証書 ｽﾍﾟｱｷｰ ﾌﾟﾗｷｰ ﾜﾝｵｰﾅｰ</t>
  </si>
  <si>
    <t>27-128</t>
  </si>
  <si>
    <t>28/4</t>
  </si>
  <si>
    <t>ｴﾌﾞﾘｲ　PA</t>
  </si>
  <si>
    <t>4/4</t>
  </si>
  <si>
    <t>船橋 480 あ 571</t>
  </si>
  <si>
    <t>取説</t>
  </si>
  <si>
    <t>車歴事業用</t>
  </si>
  <si>
    <t>480 と 1220</t>
  </si>
  <si>
    <t>A25453</t>
  </si>
  <si>
    <t>DA17V-166336</t>
  </si>
  <si>
    <t>小川 寛稀</t>
  </si>
  <si>
    <t>10/16</t>
  </si>
  <si>
    <t>今は自家用に変更済み</t>
  </si>
  <si>
    <t>27-130</t>
  </si>
  <si>
    <t>1057回</t>
  </si>
  <si>
    <t>BMW320i ｸﾞﾗﾝﾂｰﾘｽﾓ Mｽﾎﾟｰﾂ</t>
  </si>
  <si>
    <t>33/4</t>
  </si>
  <si>
    <t>神戸 303 の 6879</t>
  </si>
  <si>
    <t>WBA3X12020D734253</t>
  </si>
  <si>
    <t>10/6</t>
  </si>
  <si>
    <t>27-131</t>
  </si>
  <si>
    <t>1058回</t>
  </si>
  <si>
    <t>ﾚﾝｼﾞﾛｰﾊﾞｰ ｲｳﾞｫｰｸ ﾌﾟﾚｽﾃｰｼﾞ</t>
  </si>
  <si>
    <t>京都 399 も 3177</t>
  </si>
  <si>
    <t>ﾅﾋﾞﾛﾑ店長にわたしました</t>
  </si>
  <si>
    <t>SALVA2AG7FH971140</t>
  </si>
  <si>
    <t>株式会社 ｸﾞﾗﾝﾄﾞｴﾝﾀｰﾌﾟﾗｲｽﾞ</t>
  </si>
  <si>
    <t>10/11</t>
  </si>
  <si>
    <t>取説 保証書 ﾅﾋﾞﾛﾑ ×</t>
  </si>
  <si>
    <t>27-132</t>
  </si>
  <si>
    <t>1293回</t>
  </si>
  <si>
    <t>25/4</t>
  </si>
  <si>
    <t>BMW640i ｸﾞﾗﾝｸｰﾍﾟMｽﾎﾟｰﾂ</t>
  </si>
  <si>
    <t>4/6</t>
  </si>
  <si>
    <t>いわき 337 つ 6</t>
  </si>
  <si>
    <t>301 ち 1778</t>
  </si>
  <si>
    <t>WBA6A02040D211474</t>
  </si>
  <si>
    <t>大谷 誠</t>
  </si>
  <si>
    <t>10/22</t>
  </si>
  <si>
    <t>27-133</t>
  </si>
  <si>
    <t>1752回</t>
  </si>
  <si>
    <t>BMW M235iｸｰﾍﾟ</t>
  </si>
  <si>
    <t>3/2</t>
  </si>
  <si>
    <t>奈良 332 む 507</t>
  </si>
  <si>
    <t xml:space="preserve">保証書 </t>
  </si>
  <si>
    <t>399 つ 2900</t>
    <phoneticPr fontId="7"/>
  </si>
  <si>
    <t>MIRIVE大阪(ｱｲｵｰｸ）</t>
  </si>
  <si>
    <t>WBA1J72010VX83613</t>
  </si>
  <si>
    <t>VSS奈良 株式会社</t>
  </si>
  <si>
    <t>保証書 ×</t>
  </si>
  <si>
    <t>27-134</t>
  </si>
  <si>
    <t>1863回</t>
  </si>
  <si>
    <t>14/11</t>
  </si>
  <si>
    <t>BMW　M3</t>
  </si>
  <si>
    <t>3/11</t>
  </si>
  <si>
    <t>大阪300　や　2763</t>
  </si>
  <si>
    <t>保証書　取説　ｽﾍﾟｱｷｰ　記録多数</t>
  </si>
  <si>
    <t>WBSBL92040JR04843</t>
  </si>
  <si>
    <t>有限会社 一博社</t>
  </si>
  <si>
    <t>10/29</t>
  </si>
  <si>
    <t>取説 保証書 ﾅﾋﾞ取 ｷｰﾚｽ ｽﾍﾟｱｷｰ ﾓﾆﾀｰ ﾘﾓｺﾝ ×</t>
  </si>
  <si>
    <t>27-135</t>
  </si>
  <si>
    <t>千葉 311 ぬ 8008</t>
  </si>
  <si>
    <t>MIRIVE埼玉(ｱｲｵｰｸ）</t>
  </si>
  <si>
    <t>WMWXT720202G66227</t>
  </si>
  <si>
    <t>前林 佳孝</t>
  </si>
  <si>
    <t>10/31</t>
  </si>
  <si>
    <t>27-136</t>
  </si>
  <si>
    <t>1824回</t>
  </si>
  <si>
    <t>堺 399 に 2885</t>
  </si>
  <si>
    <t>WMWXT72010F35497</t>
  </si>
  <si>
    <t>株式会社 関西ﾏﾂﾀﾞ</t>
  </si>
  <si>
    <t>11/7</t>
  </si>
  <si>
    <t>ｷｰﾚｽ（車内）取説</t>
    <phoneticPr fontId="7"/>
  </si>
  <si>
    <t>27-137</t>
  </si>
  <si>
    <t>1062回</t>
  </si>
  <si>
    <t>31/4</t>
  </si>
  <si>
    <t>BMWﾐﾆｸｰﾊﾟｰSD</t>
    <phoneticPr fontId="7"/>
  </si>
  <si>
    <t>4/4/25</t>
  </si>
  <si>
    <t>京都 330 ろ 3714</t>
  </si>
  <si>
    <t>301 ち 2837</t>
  </si>
  <si>
    <t>WMWXT720902H91984</t>
  </si>
  <si>
    <t>11/12</t>
  </si>
  <si>
    <t>取説 保証書</t>
  </si>
  <si>
    <t>3月抹消済</t>
    <rPh sb="1" eb="2">
      <t>ツキ</t>
    </rPh>
    <rPh sb="2" eb="4">
      <t>マッショウ</t>
    </rPh>
    <rPh sb="4" eb="5">
      <t>ズ</t>
    </rPh>
    <phoneticPr fontId="7"/>
  </si>
  <si>
    <t>27-138</t>
  </si>
  <si>
    <t>BMWﾐﾆｼﾞｮﾝｸｰﾊﾟｰﾜｰｸｽ ｸｰﾍﾟ</t>
  </si>
  <si>
    <t>岡崎 599 た 9687</t>
  </si>
  <si>
    <t xml:space="preserve">取説 保証書 予備ｷｰ </t>
  </si>
  <si>
    <t>WMWSX920X0T431012</t>
  </si>
  <si>
    <t>株式会社 N・S・Produce</t>
  </si>
  <si>
    <t>11/14</t>
  </si>
  <si>
    <t>取 保証書 ﾅﾋﾞ取 ｷｰﾚｽ ×</t>
  </si>
  <si>
    <t>27-139</t>
  </si>
  <si>
    <t>ｱﾊﾞﾙﾄ595 ｺﾝﾍﾟﾃｨﾂｨｵｰﾈ</t>
  </si>
  <si>
    <t>札幌 531 は 595</t>
  </si>
  <si>
    <t>501 ま 6058</t>
  </si>
  <si>
    <t>ZFA3120000J849594</t>
  </si>
  <si>
    <t>株式会社 ｾﾃﾞｨﾅ</t>
  </si>
  <si>
    <t>11/19</t>
  </si>
  <si>
    <t>27-140</t>
  </si>
  <si>
    <t>1297回</t>
  </si>
  <si>
    <t>BMWﾐﾆｸｰﾊﾟｰS ﾍﾟｯﾊﾟｰPKG</t>
  </si>
  <si>
    <t>神戸 303 や 739</t>
  </si>
  <si>
    <t>WMWXM720602A76285</t>
  </si>
  <si>
    <t>O-RUSHｲﾝﾀｰﾅｼｮﾅﾙ株式会社</t>
  </si>
  <si>
    <t>27-141</t>
  </si>
  <si>
    <t>29/3</t>
  </si>
  <si>
    <t>ｼﾞｬｶﾞｰXE Rｽﾎﾟｰﾂ</t>
  </si>
  <si>
    <t>4/3</t>
  </si>
  <si>
    <t>世田谷 310 つ 3018</t>
  </si>
  <si>
    <t>301 ち 2983</t>
  </si>
  <si>
    <t>SAJA4AN8HA967320</t>
  </si>
  <si>
    <t>堀江 哲朗</t>
  </si>
  <si>
    <t>取説  保証書 ｷｰﾚｽ ×</t>
  </si>
  <si>
    <t>27-142</t>
  </si>
  <si>
    <t>937回</t>
  </si>
  <si>
    <t>BMW220i ｸｰﾍﾟ Mｽﾎﾟｰﾂ</t>
  </si>
  <si>
    <t>野田 335 す 122</t>
  </si>
  <si>
    <t>USS大阪</t>
  </si>
  <si>
    <t>WBA1J12060V467590</t>
  </si>
  <si>
    <t>株式会社 ﾓﾄｰﾚﾝｸﾞﾗﾝﾂ</t>
  </si>
  <si>
    <t>27-143</t>
  </si>
  <si>
    <t>20回</t>
  </si>
  <si>
    <t>27/5</t>
  </si>
  <si>
    <t>4/5</t>
  </si>
  <si>
    <t>静岡 351 ぬ 9</t>
  </si>
  <si>
    <t>301 ち 2839</t>
  </si>
  <si>
    <t>MIRIVE愛知(ｱｲｵｰｸ）</t>
  </si>
  <si>
    <t>WMWXM720002A75391</t>
  </si>
  <si>
    <t>渡辺 諒太朗</t>
  </si>
  <si>
    <t>保証書 ｷｰﾚｽ</t>
  </si>
  <si>
    <t>ｷｰﾚｽ清水さんに渡してます</t>
    <rPh sb="4" eb="6">
      <t>シミズ</t>
    </rPh>
    <rPh sb="9" eb="10">
      <t>ワタ</t>
    </rPh>
    <phoneticPr fontId="7"/>
  </si>
  <si>
    <t>27-145</t>
  </si>
  <si>
    <t>1866回</t>
  </si>
  <si>
    <t>26/6</t>
  </si>
  <si>
    <t>3/6</t>
  </si>
  <si>
    <t>浜松 536 そ 1031</t>
  </si>
  <si>
    <t>DｸﾞﾘｰﾝⅡ</t>
  </si>
  <si>
    <t>WMWSX32060T404872</t>
  </si>
  <si>
    <t>木俣 隆司</t>
  </si>
  <si>
    <t>取説 保証書 ﾅﾋﾞ取 ﾜﾝｵｰﾅｰ</t>
  </si>
  <si>
    <t>27-146</t>
  </si>
  <si>
    <t>1031回</t>
  </si>
  <si>
    <t>ｼﾞｬｶﾞｰXF ﾗｸﾞｼﾞｭｱﾘｰ</t>
  </si>
  <si>
    <t>京都 335 も 916</t>
  </si>
  <si>
    <t>301 ち 2838</t>
  </si>
  <si>
    <t>SAJKC05M8FPU65297</t>
  </si>
  <si>
    <t>八光ｴﾙｱｰﾙ株式会社</t>
  </si>
  <si>
    <t>11/26</t>
  </si>
  <si>
    <t>取説 保証書 ﾅﾋﾞﾛﾑ ﾜﾝｵｰﾅｰ</t>
  </si>
  <si>
    <t>ﾅﾋﾞﾛﾑ店長にわたしてます</t>
  </si>
  <si>
    <t>27-147</t>
  </si>
  <si>
    <t>1064回</t>
  </si>
  <si>
    <t>28/11</t>
  </si>
  <si>
    <t>ﾚﾝｼﾞﾛｰﾊﾞｰｲｳﾞｫｰｸ SE ﾌﾟﾗｽ</t>
  </si>
  <si>
    <t>神戸 330 ぬ 452</t>
  </si>
  <si>
    <t>301 ち 2982</t>
  </si>
  <si>
    <t>SALVA2AGXHH173458</t>
  </si>
  <si>
    <t>ﾈｯﾂﾄﾖﾀｿﾞﾅ神戸株式会社</t>
  </si>
  <si>
    <t>27-148</t>
  </si>
  <si>
    <t>28/2</t>
  </si>
  <si>
    <t>33/2</t>
  </si>
  <si>
    <t>京都 334 ま 805</t>
  </si>
  <si>
    <t>ｸﾞﾘｰﾝⅡ</t>
  </si>
  <si>
    <t>WMWXS520802C88969</t>
  </si>
  <si>
    <t>11/24</t>
  </si>
  <si>
    <t>27-149</t>
  </si>
  <si>
    <t>29/12</t>
  </si>
  <si>
    <t>名古屋 345 ら 2727</t>
  </si>
  <si>
    <t>SAJAB4AN9JCP29034</t>
  </si>
  <si>
    <t>取説 保証書 ﾅﾋﾞﾛﾑ ｷｰﾚｽ ﾜﾝｵｰﾅｰ</t>
  </si>
  <si>
    <t>27-150</t>
  </si>
  <si>
    <t>1066回</t>
  </si>
  <si>
    <t>BMWﾐﾆｼﾞｬｰﾐﾝｸｰﾊﾟｰS</t>
  </si>
  <si>
    <t>京都 301 め 8816</t>
  </si>
  <si>
    <t>ﾗﾋﾟｽﾗｸﾞｼﾞｭｱﾘｰ青</t>
  </si>
  <si>
    <t>WMWXS720902C48928</t>
  </si>
  <si>
    <t>12/10</t>
  </si>
  <si>
    <t>27-151</t>
  </si>
  <si>
    <t>1760回</t>
  </si>
  <si>
    <t>BMW220i ｶﾌﾞﾘｵﾚ Mｽﾎﾟｰﾂ</t>
  </si>
  <si>
    <t>3/5</t>
  </si>
  <si>
    <t>神戸 352 す 312</t>
  </si>
  <si>
    <t>MIRIVE大阪（AS)</t>
  </si>
  <si>
    <t>WBA1L72030V492458</t>
  </si>
  <si>
    <t>森岡 健</t>
  </si>
  <si>
    <t>12/17</t>
  </si>
  <si>
    <t>27-152</t>
  </si>
  <si>
    <t>1068回</t>
  </si>
  <si>
    <t>25/6</t>
  </si>
  <si>
    <t>BMW M6 ｸﾞﾗﾝｸｰﾍﾟ</t>
  </si>
  <si>
    <t>京都 302 な 319</t>
  </si>
  <si>
    <t>ﾌﾛｰｽﾞﾝｼﾙﾊﾞｰ</t>
  </si>
  <si>
    <t>WBS6C92080DV74091</t>
  </si>
  <si>
    <t>株式会社 服部ﾓｰﾀｰｽ</t>
  </si>
  <si>
    <t>12/24</t>
  </si>
  <si>
    <t>27-153</t>
  </si>
  <si>
    <t>1871回</t>
  </si>
  <si>
    <t>28/8</t>
  </si>
  <si>
    <t>BMW M235i ｸｰﾍﾟ</t>
  </si>
  <si>
    <t>3/8/30</t>
  </si>
  <si>
    <t>福岡 347 た 318</t>
  </si>
  <si>
    <t>ｱﾙﾋﾟﾝﾎﾜｲﾄ</t>
  </si>
  <si>
    <t>WBA1J72070V486717</t>
  </si>
  <si>
    <t>杜 翔</t>
  </si>
  <si>
    <t>12/25</t>
  </si>
  <si>
    <r>
      <rPr>
        <sz val="11"/>
        <color theme="4" tint="-0.499984740745262"/>
        <rFont val="ＭＳ Ｐゴシック"/>
        <family val="3"/>
        <charset val="128"/>
      </rPr>
      <t xml:space="preserve">取説 保証書 </t>
    </r>
    <r>
      <rPr>
        <sz val="11"/>
        <color theme="4" tint="-0.249977111117893"/>
        <rFont val="ＭＳ Ｐゴシック"/>
        <family val="3"/>
        <charset val="128"/>
      </rPr>
      <t>ｽﾍﾟｱｷｰﾚｽ</t>
    </r>
  </si>
  <si>
    <t>27-154</t>
  </si>
  <si>
    <t>30/6</t>
  </si>
  <si>
    <t>NV100 ｸﾘｯﾊﾟｰﾊﾞﾝ</t>
  </si>
  <si>
    <t>34/6</t>
  </si>
  <si>
    <t>練馬 480 さ 8952</t>
  </si>
  <si>
    <t>取説 保証書 事業用</t>
  </si>
  <si>
    <t>480 と 2340</t>
  </si>
  <si>
    <t>A30611</t>
  </si>
  <si>
    <t>DR17V-279878</t>
  </si>
  <si>
    <t>株式会社 K＆S</t>
  </si>
  <si>
    <t>1/14</t>
  </si>
  <si>
    <t>保証書 取説 ｽﾍﾟｱｷｰ</t>
  </si>
  <si>
    <t>名変期限2/10まで</t>
  </si>
  <si>
    <t>27-155</t>
  </si>
  <si>
    <t>831回</t>
  </si>
  <si>
    <t>BMWM235Ｉｸｰﾍﾟ</t>
  </si>
  <si>
    <t>3/3</t>
  </si>
  <si>
    <t>横浜 305 て 177</t>
  </si>
  <si>
    <t>保証書 取説 ﾜﾝｵｰﾅｰ</t>
  </si>
  <si>
    <t>WBA1J710X0V486193</t>
  </si>
  <si>
    <t>株式会社 ﾃﾞｽﾃｨｰﾉ</t>
  </si>
  <si>
    <t>1/17</t>
  </si>
  <si>
    <t>保証書 取説 ｷｰﾚｽ ﾜﾝｵｰﾅｰ</t>
  </si>
  <si>
    <t>27-156</t>
  </si>
  <si>
    <t>1305回</t>
  </si>
  <si>
    <t>BMW640I ｸﾞﾗﾝｸｰﾍﾟMｽﾎﾟｰﾂ</t>
  </si>
  <si>
    <t>4/11/3</t>
  </si>
  <si>
    <t>杉並 310 ほ 415</t>
  </si>
  <si>
    <t>301 ち 5230</t>
  </si>
  <si>
    <t>WBA6A02040DZ11555</t>
  </si>
  <si>
    <t>株式会社ｵﾘｴﾝﾄｺｰﾎﾟﾚｰｼｮﾝ</t>
  </si>
  <si>
    <t>1/21</t>
  </si>
  <si>
    <t>保証書 取説 ｷｰﾚｽ</t>
  </si>
  <si>
    <t>1月抹消済</t>
  </si>
  <si>
    <t>27-157</t>
  </si>
  <si>
    <t>25/10</t>
  </si>
  <si>
    <t>ﾀﾝﾄ GA</t>
  </si>
  <si>
    <t>4/10</t>
  </si>
  <si>
    <t>豊橋 580 に 2664</t>
  </si>
  <si>
    <t>581 の 234</t>
  </si>
  <si>
    <t>B00131753</t>
  </si>
  <si>
    <t>茶色</t>
  </si>
  <si>
    <t>LA600S-0004167</t>
  </si>
  <si>
    <t>愛知ﾄﾖﾀ自動車株式会社</t>
  </si>
  <si>
    <t>2/6</t>
  </si>
  <si>
    <t>保証書 取説 ｷｰﾚｽ ｽﾍﾟｱｷｰ(車内）</t>
    <phoneticPr fontId="7"/>
  </si>
  <si>
    <t>11月抹消済</t>
    <rPh sb="2" eb="3">
      <t>ガツ</t>
    </rPh>
    <rPh sb="3" eb="6">
      <t>マッショウズ</t>
    </rPh>
    <phoneticPr fontId="7"/>
  </si>
  <si>
    <t>27-158</t>
  </si>
  <si>
    <t>947回</t>
  </si>
  <si>
    <t xml:space="preserve"> BMWﾐﾆ ｸｰﾊﾟｰS</t>
  </si>
  <si>
    <t>大阪 350 ま 125</t>
  </si>
  <si>
    <t>保証書 ｽﾍﾟｱｷｰ ﾜﾝｵｰﾅｰ</t>
  </si>
  <si>
    <t>WMWXR52090TM81733</t>
  </si>
  <si>
    <t>西田 美智子</t>
  </si>
  <si>
    <t>2/4</t>
  </si>
  <si>
    <t>27-159</t>
  </si>
  <si>
    <t>1041回</t>
  </si>
  <si>
    <t>ﾌｨｱｯﾄ500X ﾎﾟｯﾌﾟｽﾀｰﾌﾟﾗｽ</t>
  </si>
  <si>
    <t>堺 399 に 6416</t>
  </si>
  <si>
    <t>保証書 取説 ｽﾍﾟｱｷｰ ﾜﾝｵｰﾅｰ</t>
  </si>
  <si>
    <t>ＺＦＡ3340000Ｐ646547</t>
  </si>
  <si>
    <t>八光自動車工業株式会社</t>
  </si>
  <si>
    <t>保証書 取説 ｷｰﾚｽ ﾜﾝｵｰﾅｰ</t>
    <phoneticPr fontId="7"/>
  </si>
  <si>
    <t>詳細</t>
  </si>
  <si>
    <t>27-160</t>
  </si>
  <si>
    <t>1042回</t>
  </si>
  <si>
    <t>ﾏｾﾗﾃｨ ｷﾞﾌﾞﾘ</t>
  </si>
  <si>
    <t>神戸 335 る 36</t>
  </si>
  <si>
    <t>ZAMSS57C001126563</t>
  </si>
  <si>
    <t>株式会社ﾈﾛ</t>
  </si>
  <si>
    <t>保証書 取説 ﾅﾋﾞ取 ｷｰﾚｽ</t>
  </si>
  <si>
    <t>27-161</t>
  </si>
  <si>
    <t>1313回</t>
  </si>
  <si>
    <t>BMWﾐﾆｸｰﾍﾟ ｸｰﾊﾟｰS</t>
  </si>
  <si>
    <t>沖縄 333 ね 58</t>
  </si>
  <si>
    <t>WMWXS720302C50609</t>
  </si>
  <si>
    <t>株式会社IDOM</t>
  </si>
  <si>
    <t>3/18</t>
  </si>
  <si>
    <t xml:space="preserve">保証書 取説 ｷｰﾚｽ </t>
  </si>
  <si>
    <t>27-162</t>
  </si>
  <si>
    <t>1290回</t>
  </si>
  <si>
    <t>BMW740I Mｽﾎﾟｰﾂ ﾘｱｺﾝﾌｫｰﾄﾊﾟｯｹｰｼﾞ</t>
  </si>
  <si>
    <t>3/9</t>
  </si>
  <si>
    <t>福岡 325 ね 358</t>
  </si>
  <si>
    <t>31L そ  5</t>
  </si>
  <si>
    <t>WBA7A22060G751094</t>
  </si>
  <si>
    <t>ﾕｲ株式会社</t>
  </si>
  <si>
    <t>保証書 取説 ﾄﾞﾗﾚｺ取説 ｷｰﾚｽ ｾｷｭﾘﾃｨﾘﾓｺﾝ2つ ﾃﾚｷｬﾝ</t>
  </si>
  <si>
    <t>27-163</t>
  </si>
  <si>
    <t>28/6</t>
  </si>
  <si>
    <t>BMW220Iｸｰﾍﾟ Mｽﾎﾟｰﾂ</t>
  </si>
  <si>
    <t>鹿児島 334 ち 4</t>
  </si>
  <si>
    <t>保証書 取説 ﾅﾋﾞ取</t>
  </si>
  <si>
    <t>WBA1J120X0Y467740</t>
  </si>
  <si>
    <t>株式会社ｾｲﾊﾞｰ</t>
  </si>
  <si>
    <t>27-164</t>
  </si>
  <si>
    <t>1291回</t>
  </si>
  <si>
    <t>ｱﾙﾌｧﾛﾒｵﾐﾄ ｺﾝﾍﾟﾃｨﾂｨｵｰﾈ</t>
  </si>
  <si>
    <t>熊本 334 め 708</t>
  </si>
  <si>
    <t>ZAR9550000X045327</t>
  </si>
  <si>
    <t>海江田 ちひろ</t>
  </si>
  <si>
    <t>3/25</t>
  </si>
  <si>
    <t>ｷｰﾚｽ（車内） 保証書 取説 ﾅﾋﾞ取</t>
    <phoneticPr fontId="7"/>
  </si>
  <si>
    <t>27-165</t>
  </si>
  <si>
    <t>24/6</t>
  </si>
  <si>
    <t>BMWﾐﾆ ｸｰﾊﾟｰSｸｰﾍﾟ</t>
  </si>
  <si>
    <t>大阪 599 も 107</t>
  </si>
  <si>
    <t>ﾎﾝﾀﾞ関西（まとめ）</t>
  </si>
  <si>
    <t>WMWSX32080T442328</t>
    <phoneticPr fontId="7"/>
  </si>
  <si>
    <t>空港自販株式会社</t>
  </si>
  <si>
    <t>4/13</t>
  </si>
  <si>
    <t>27-166</t>
  </si>
  <si>
    <t>1776回</t>
  </si>
  <si>
    <t>BMWﾐﾆ ｼﾞｮﾝｸｰﾊﾟｰﾜｰｸｽ</t>
  </si>
  <si>
    <t>和歌山 330 て 7072</t>
  </si>
  <si>
    <t>保証書 取説</t>
  </si>
  <si>
    <t>ﾐﾗｲﾌﾞ大阪（AS)</t>
  </si>
  <si>
    <t>WMWXM920702D05892</t>
  </si>
  <si>
    <t>株式会社ﾋﾞｰｴﾑﾊﾅﾃﾝ</t>
  </si>
  <si>
    <t>4/18</t>
  </si>
  <si>
    <t>27-167</t>
  </si>
  <si>
    <t>844回</t>
  </si>
  <si>
    <t>ﾗﾝﾄﾞﾛｰﾊﾞｰ ﾃﾞｨｽｶﾊﾞﾘｰ</t>
  </si>
  <si>
    <t>山梨 330 そ 1322</t>
  </si>
  <si>
    <t>SALLTAMP34A837678</t>
  </si>
  <si>
    <t>飯島 浩二</t>
  </si>
  <si>
    <t>4/19</t>
  </si>
  <si>
    <t>取説(車内)</t>
  </si>
  <si>
    <t>27-168</t>
  </si>
  <si>
    <t>1052回</t>
  </si>
  <si>
    <t>20/2</t>
  </si>
  <si>
    <t>ｴﾌﾞﾘｨﾜｺﾞﾝ PZﾀｰﾎﾞｽﾍﾟｼｬﾙ</t>
  </si>
  <si>
    <t>岡山 580 た 714</t>
  </si>
  <si>
    <t>DA64W-262998</t>
  </si>
  <si>
    <t>飛鳥ﾎﾝﾀﾞ株式会社</t>
  </si>
  <si>
    <t>4/27</t>
  </si>
  <si>
    <t>27-169</t>
  </si>
  <si>
    <t>1890回</t>
  </si>
  <si>
    <t>ﾌﾟｼﾞｮｰRCZ GTﾗｲﾝ</t>
  </si>
  <si>
    <t>福井 300 ほ 9355</t>
  </si>
  <si>
    <t>VF34J5FVAFP003786</t>
  </si>
  <si>
    <t>株式会社 GP福井</t>
  </si>
  <si>
    <t>5/22</t>
  </si>
  <si>
    <t>保証書 取説 ﾅﾋﾞ取 ｷｰﾚｽ ﾜﾝｵｰﾅｰ</t>
  </si>
  <si>
    <t>27-170</t>
  </si>
  <si>
    <t>1597回</t>
  </si>
  <si>
    <t>ｼﾄﾛｴﾝDS5  ｼｯｸ ﾚｻﾞｰﾊﾟｯｹｰｼﾞ</t>
  </si>
  <si>
    <t>三河 302 た 8518</t>
  </si>
  <si>
    <t>VF7KF5GZTGS507623</t>
  </si>
  <si>
    <t>ﾄﾖﾀｶﾛｰﾗ愛豊株式会社</t>
  </si>
  <si>
    <t>取説 ﾅﾋﾞ取 ｷｰﾚｽ(車内)   手帳</t>
  </si>
  <si>
    <t>27-171</t>
  </si>
  <si>
    <t>1300回</t>
  </si>
  <si>
    <t>25/9</t>
  </si>
  <si>
    <t>BMW ｱｸﾃｨﾌﾞﾊｲﾌﾞﾘｯﾄ3 Mｽﾎﾟｰﾂ</t>
  </si>
  <si>
    <t>4/9</t>
  </si>
  <si>
    <t>長崎 332 す 3838</t>
  </si>
  <si>
    <t>保証書 取説 ｽﾍﾟｱｷｰ 記録 ﾜﾝｵｰﾅｰ</t>
  </si>
  <si>
    <t>301 つ 251</t>
  </si>
  <si>
    <t>WBA3F92060KL53521</t>
  </si>
  <si>
    <t>医療法人社団 宮崎耳鼻咽喉科医院</t>
  </si>
  <si>
    <t>保証書 取説 ﾅﾋﾞ取 ｷｰﾚｽ 記録 法人ﾜﾝｵｰﾅｰ</t>
  </si>
  <si>
    <t>27-172</t>
  </si>
  <si>
    <t>1090回</t>
  </si>
  <si>
    <t>ｱｳﾃﾞｨRS4</t>
  </si>
  <si>
    <t>姫路 300 ひ 3579</t>
  </si>
  <si>
    <t>ｽﾍﾟｱｷｰ</t>
  </si>
  <si>
    <t>WAUZZZ8E17N906286</t>
  </si>
  <si>
    <t>株式会社 阪神小型ﾓｰﾀｰｽ</t>
  </si>
  <si>
    <t>27-173</t>
  </si>
  <si>
    <t>1325回</t>
  </si>
  <si>
    <t>ﾗﾝﾄﾞﾛｰﾊﾞｰ ﾃﾞｨｽｶﾊﾞﾘｰ SE</t>
  </si>
  <si>
    <t>浜松 358 は 10</t>
  </si>
  <si>
    <t>301 つ 1201</t>
  </si>
  <si>
    <t>SALLAJAD3DA654558</t>
  </si>
  <si>
    <t>27-174</t>
  </si>
  <si>
    <t>1894回</t>
  </si>
  <si>
    <t>ｱｳﾃﾞｨRS4 ｱﾊﾞﾝﾄ 4.2ｸﾜﾄﾛ</t>
  </si>
  <si>
    <t>岐阜 302 も 375</t>
  </si>
  <si>
    <t>WAUZZZ8E37N906533</t>
  </si>
  <si>
    <t>岡田 猛</t>
  </si>
  <si>
    <t>27-175</t>
  </si>
  <si>
    <t>29/11</t>
  </si>
  <si>
    <t>BMW M2ｸｰﾍﾟ</t>
  </si>
  <si>
    <t>品川 326 る 7352</t>
  </si>
  <si>
    <t>保証書 ﾜﾝｵｰﾅｰ</t>
  </si>
  <si>
    <t>WBS1J52000VD42672</t>
  </si>
  <si>
    <t>ﾋﾞｰｴﾑﾀﾞﾌﾞﾘｭｰｼﾞｬﾊﾟﾝﾌｧｲﾅﾝｽ株式会社</t>
  </si>
  <si>
    <t>27-176</t>
  </si>
  <si>
    <t xml:space="preserve">BMW M3 </t>
  </si>
  <si>
    <t>4/7</t>
  </si>
  <si>
    <t>船橋 300 さ 6607</t>
  </si>
  <si>
    <t>301 つ 1198</t>
  </si>
  <si>
    <t>WBSVA91020E039433</t>
  </si>
  <si>
    <t>株式会社ﾄｯﾌﾟﾗﾝｸ</t>
  </si>
  <si>
    <t>保証書 取説 ｷｰﾚｽ ﾘﾓｺﾝ</t>
  </si>
  <si>
    <t>27-177</t>
  </si>
  <si>
    <t>BMW 220Iｸｰﾍﾟ</t>
  </si>
  <si>
    <t>4/12</t>
  </si>
  <si>
    <t>大阪 343 め1000</t>
  </si>
  <si>
    <t>301 つ1196</t>
  </si>
  <si>
    <t>WBA2H52070VB21588</t>
  </si>
  <si>
    <t>株式会社ﾋﾞｰ・ｴﾑ・ﾀﾞﾌﾞﾘｭｰ・ｼﾞｬﾊﾟﾝ・ﾌｧｲﾅﾝｽ</t>
  </si>
  <si>
    <t>7/4</t>
  </si>
  <si>
    <t>27-178</t>
  </si>
  <si>
    <t>27/6</t>
  </si>
  <si>
    <t>ｼﾞｬｶﾞーXF 2.0R ｽﾎﾟｰﾂLTDｴﾃﾞｨｼｮﾝ</t>
  </si>
  <si>
    <t>神戸 381 る 23</t>
  </si>
  <si>
    <t>301 つ 2405</t>
    <phoneticPr fontId="7"/>
  </si>
  <si>
    <t>SAJKC05M8FPU75294</t>
  </si>
  <si>
    <t>7/6</t>
  </si>
  <si>
    <t>27-179</t>
  </si>
  <si>
    <t>ｼﾄﾛｴﾝGC4 ﾋﾟｶｿ ｼｬｲﾝ ﾌﾞﾙｰHDI</t>
  </si>
  <si>
    <t>練馬 302 ち 9522</t>
  </si>
  <si>
    <t>301 つ 2408</t>
    <phoneticPr fontId="7"/>
  </si>
  <si>
    <t>VF73AAHXTHJ544918</t>
  </si>
  <si>
    <t>株式会社 ｸﾞﾗﾝﾃﾞｨｽﾞﾑ</t>
  </si>
  <si>
    <t>7/11</t>
  </si>
  <si>
    <t>保証書 取説(車内)    ｷｰﾚｽ</t>
  </si>
  <si>
    <t>27-180</t>
  </si>
  <si>
    <t>3/11/28</t>
  </si>
  <si>
    <t>尾張小牧 330 な 3141</t>
  </si>
  <si>
    <t>保証書 法人ﾜﾝｵｰﾅｰ</t>
  </si>
  <si>
    <t>WBSPM92060E198387</t>
  </si>
  <si>
    <t>医療法人おおわきﾚﾃﾞｨｽｸﾘﾆｯｸ</t>
  </si>
  <si>
    <t>7/15</t>
  </si>
  <si>
    <t>保証書 取説 ｷｰﾚｽ 法人ﾜﾝｵｰﾅｰ</t>
  </si>
  <si>
    <t>27-181</t>
  </si>
  <si>
    <t>BMW M3 ｸｰﾍﾟ</t>
  </si>
  <si>
    <t>成田 399 す 2805</t>
  </si>
  <si>
    <t>WBSWD910X0PY30406</t>
  </si>
  <si>
    <t>株式会社 ｼﾞｮｲﾙｰﾄ</t>
  </si>
  <si>
    <t>7/18</t>
  </si>
  <si>
    <t>27-182</t>
  </si>
  <si>
    <t>28/7</t>
  </si>
  <si>
    <t>BMW320I GT Mｽﾎﾟｰﾂ</t>
  </si>
  <si>
    <t>和泉 337 ま 128</t>
  </si>
  <si>
    <t>WBA3X12080D737139</t>
  </si>
  <si>
    <t>ｴﾙﾍﾞｵｰﾄ株式会社</t>
  </si>
  <si>
    <t>7/20</t>
  </si>
  <si>
    <t>27-183</t>
  </si>
  <si>
    <t>BMW420I ｸｰﾍﾟ Mｽﾎﾟｰﾂ</t>
  </si>
  <si>
    <t>神戸 304 す 6224</t>
  </si>
  <si>
    <t>保証書 取説 ｽﾍﾟｱｷｰ TVﾘﾓｺﾝ</t>
  </si>
  <si>
    <t>301 つ 2402</t>
    <phoneticPr fontId="7"/>
  </si>
  <si>
    <t>WBA3N12040K410125</t>
  </si>
  <si>
    <t>株式会社ﾔﾅｾ</t>
  </si>
  <si>
    <t>7/22</t>
  </si>
  <si>
    <t>保証書 ｷｰﾚｽ ﾘﾓｺﾝ</t>
    <phoneticPr fontId="7"/>
  </si>
  <si>
    <t>取説 小売りで使用</t>
    <rPh sb="0" eb="2">
      <t>トリセツ</t>
    </rPh>
    <rPh sb="3" eb="5">
      <t>コウ</t>
    </rPh>
    <rPh sb="7" eb="9">
      <t>シヨウ</t>
    </rPh>
    <phoneticPr fontId="7"/>
  </si>
  <si>
    <t>27-184</t>
  </si>
  <si>
    <t>24/2</t>
  </si>
  <si>
    <t>5/3</t>
  </si>
  <si>
    <t>水戸 527 に   3</t>
  </si>
  <si>
    <t>501 み 3248</t>
    <phoneticPr fontId="7"/>
  </si>
  <si>
    <t>WMWSV32030T151113</t>
    <phoneticPr fontId="7"/>
  </si>
  <si>
    <t>株式会社ﾌﾟﾛﾌｨｰﾙ</t>
  </si>
  <si>
    <t xml:space="preserve">保証書 取説 ﾅﾋﾞ取 ﾐﾆB-CAS </t>
  </si>
  <si>
    <t>27-185</t>
  </si>
  <si>
    <t>神戸 547 さ 1</t>
  </si>
  <si>
    <t>保証書 手帳 取説 ｽﾍﾟｱｷｰ</t>
  </si>
  <si>
    <t>ﾚｯﾄﾞⅡ</t>
  </si>
  <si>
    <t>WMWSX32020T139738</t>
  </si>
  <si>
    <t>株式会社神戸ﾏﾂﾀﾞ</t>
  </si>
  <si>
    <t>7/29</t>
  </si>
  <si>
    <t>保証書 手帳 取説 ｷｰﾚｽ</t>
  </si>
  <si>
    <t>27-186</t>
  </si>
  <si>
    <t>BMW320I ﾂｰﾘﾝｸﾞMｽﾎﾟｰﾂ</t>
  </si>
  <si>
    <t>4/3/30</t>
  </si>
  <si>
    <t>湘南 345 ぬ 27</t>
  </si>
  <si>
    <t>保証書 取説 記録簿（H30.R2.R3）</t>
  </si>
  <si>
    <t>301 つ 2401</t>
    <phoneticPr fontId="7"/>
  </si>
  <si>
    <t>WBA8G32040K779174</t>
  </si>
  <si>
    <t>菊池 正貢</t>
  </si>
  <si>
    <t>8/5</t>
  </si>
  <si>
    <t>保証書 取説 ｷｰﾚｽ 記録</t>
  </si>
  <si>
    <t>27-187</t>
  </si>
  <si>
    <t>ｱﾊﾞﾙﾄ 595ﾂｰﾘｽﾞﾓ</t>
  </si>
  <si>
    <t>5/1/28</t>
  </si>
  <si>
    <t>愛媛 501 ぬ 8876</t>
  </si>
  <si>
    <t>501 み 2943</t>
    <phoneticPr fontId="7"/>
  </si>
  <si>
    <t>ｶﾞﾝM</t>
  </si>
  <si>
    <t>ZFA31200001472895</t>
  </si>
  <si>
    <t>医療法人 いちかわ内視鏡内科ｸﾘﾆｯｸ</t>
  </si>
  <si>
    <t>8/8</t>
  </si>
  <si>
    <t>ｷｰﾚｽ(車内)   保証書 取説 法人ﾜﾝｵｰﾅｰ</t>
  </si>
  <si>
    <t>1月抹消済</t>
    <rPh sb="1" eb="2">
      <t>ガツ</t>
    </rPh>
    <rPh sb="2" eb="5">
      <t>マッショウズ</t>
    </rPh>
    <phoneticPr fontId="7"/>
  </si>
  <si>
    <t>27-188</t>
  </si>
  <si>
    <t>25/2</t>
  </si>
  <si>
    <t>4/2/21</t>
  </si>
  <si>
    <t>大分 533 は 1006</t>
  </si>
  <si>
    <t>501 み 3247</t>
    <phoneticPr fontId="7"/>
  </si>
  <si>
    <t>WMWSV32080T152337</t>
    <phoneticPr fontId="7"/>
  </si>
  <si>
    <t>株式会社ｲﾝﾊﾟｸﾄ</t>
  </si>
  <si>
    <t>車検月2ヶ月違いｸﾚｰﾑ済</t>
  </si>
  <si>
    <t>27-189</t>
  </si>
  <si>
    <t>5/2/22</t>
  </si>
  <si>
    <t>奈良 344 ゆ 3377</t>
  </si>
  <si>
    <t>301 つ 3428</t>
    <phoneticPr fontId="7"/>
  </si>
  <si>
    <t>WBA2H52040VB21595</t>
  </si>
  <si>
    <t>株式会社 ﾐﾅﾐｼﾏ自動車販売</t>
  </si>
  <si>
    <t>8/10</t>
  </si>
  <si>
    <t>27-190</t>
  </si>
  <si>
    <t>3/8</t>
  </si>
  <si>
    <t>足立 330 さ 9850</t>
  </si>
  <si>
    <t>保証書 取説 地ﾃﾞｼﾞﾘﾓｺﾝ ｽﾏｰﾄｷｰ</t>
  </si>
  <si>
    <t>WMWXT720X02H18638</t>
  </si>
  <si>
    <t>前川 米夫</t>
  </si>
  <si>
    <t>保証書 取説 ｷｰﾚｽ ﾘﾓｺﾝ ﾜﾝｵｰﾅｰ</t>
  </si>
  <si>
    <t>27-191</t>
  </si>
  <si>
    <t>29/7</t>
    <phoneticPr fontId="7"/>
  </si>
  <si>
    <t>MﾍﾞﾝﾂG350ｄ  ﾗｸﾞｼﾞｭｱﾘｰﾊﾟｯｹｰｼﾞ</t>
    <phoneticPr fontId="7"/>
  </si>
  <si>
    <t>4/7/30</t>
    <phoneticPr fontId="7"/>
  </si>
  <si>
    <t>名古屋 345 て 3776</t>
    <rPh sb="0" eb="3">
      <t>ナゴヤ</t>
    </rPh>
    <phoneticPr fontId="7"/>
  </si>
  <si>
    <t>保証書 ﾜﾝｵｰﾅｰ  点検記録30/7、R1/7、R2/7</t>
  </si>
  <si>
    <t>371 ひ 6</t>
    <phoneticPr fontId="7"/>
  </si>
  <si>
    <t>USS名古屋</t>
    <rPh sb="3" eb="6">
      <t>ナゴヤ</t>
    </rPh>
    <phoneticPr fontId="7"/>
  </si>
  <si>
    <t>ｸﾞﾚｰM</t>
    <phoneticPr fontId="7"/>
  </si>
  <si>
    <t>WDB4633482X268304</t>
    <phoneticPr fontId="7"/>
  </si>
  <si>
    <t>株式会社 服部ﾓｰﾀｰｽ</t>
    <rPh sb="0" eb="4">
      <t>カブシキガイシャ</t>
    </rPh>
    <rPh sb="5" eb="7">
      <t>ハットリ</t>
    </rPh>
    <phoneticPr fontId="7"/>
  </si>
  <si>
    <t>9/3</t>
    <phoneticPr fontId="7"/>
  </si>
  <si>
    <t>保証書 取説 ｷｰﾚｽ 記録OK 法人ﾜﾝｵｰﾅｰ</t>
    <rPh sb="0" eb="3">
      <t>ホショウショ</t>
    </rPh>
    <rPh sb="4" eb="6">
      <t>トリセツ</t>
    </rPh>
    <rPh sb="12" eb="14">
      <t>キロク</t>
    </rPh>
    <rPh sb="17" eb="19">
      <t>ホウジン</t>
    </rPh>
    <phoneticPr fontId="7"/>
  </si>
  <si>
    <t>27-192</t>
  </si>
  <si>
    <t>27/4</t>
    <phoneticPr fontId="7"/>
  </si>
  <si>
    <t>ｼﾞｬｶﾞｰ F CPｹｲﾆｼｺﾘｴﾃﾞｨｼｮﾝ</t>
    <phoneticPr fontId="7"/>
  </si>
  <si>
    <t>4/4/27</t>
    <phoneticPr fontId="7"/>
  </si>
  <si>
    <t>大分 330 み 1986</t>
    <rPh sb="0" eb="2">
      <t>オオイタ</t>
    </rPh>
    <phoneticPr fontId="7"/>
  </si>
  <si>
    <t>保証書 取説 記録</t>
  </si>
  <si>
    <t>301 つ 3423</t>
    <phoneticPr fontId="7"/>
  </si>
  <si>
    <t>USS九州</t>
    <rPh sb="3" eb="5">
      <t>キュウシュウ</t>
    </rPh>
    <phoneticPr fontId="7"/>
  </si>
  <si>
    <t>ｵﾚﾝｼﾞ</t>
    <phoneticPr fontId="7"/>
  </si>
  <si>
    <t>SAJKC60F1G8K23782</t>
    <phoneticPr fontId="7"/>
  </si>
  <si>
    <t>株式会社ｵｰｼｰ</t>
    <rPh sb="0" eb="4">
      <t>カブシキガイシャ</t>
    </rPh>
    <phoneticPr fontId="7"/>
  </si>
  <si>
    <t>保証書 取説 記録</t>
    <rPh sb="0" eb="3">
      <t>ホショウショ</t>
    </rPh>
    <rPh sb="4" eb="6">
      <t>トリセツ</t>
    </rPh>
    <rPh sb="7" eb="9">
      <t>キロク</t>
    </rPh>
    <phoneticPr fontId="7"/>
  </si>
  <si>
    <t>27-193</t>
  </si>
  <si>
    <t>27/5</t>
    <phoneticPr fontId="7"/>
  </si>
  <si>
    <t>BMWﾐﾆｸｰﾊﾟｰS JCWﾊﾟｯｹｰｼﾞ</t>
    <phoneticPr fontId="7"/>
  </si>
  <si>
    <t>4/5</t>
    <phoneticPr fontId="7"/>
  </si>
  <si>
    <t>岡山 385 ら 1122</t>
    <rPh sb="0" eb="2">
      <t>オカヤマ</t>
    </rPh>
    <phoneticPr fontId="7"/>
  </si>
  <si>
    <t>保証書 ｽﾍﾟｱｷｰ</t>
  </si>
  <si>
    <t>301 つ 4545</t>
    <phoneticPr fontId="7"/>
  </si>
  <si>
    <t>HAA</t>
    <phoneticPr fontId="7"/>
  </si>
  <si>
    <t>ｸﾞﾚｰⅡ</t>
    <phoneticPr fontId="7"/>
  </si>
  <si>
    <t>WMWXS720402C46679</t>
    <phoneticPr fontId="7"/>
  </si>
  <si>
    <t>山内 一幸</t>
    <rPh sb="0" eb="2">
      <t>ヤマウチ</t>
    </rPh>
    <rPh sb="3" eb="5">
      <t>カズユキ</t>
    </rPh>
    <phoneticPr fontId="7"/>
  </si>
  <si>
    <t>9/19</t>
    <phoneticPr fontId="7"/>
  </si>
  <si>
    <t>27-194</t>
  </si>
  <si>
    <t>28/8</t>
    <phoneticPr fontId="7"/>
  </si>
  <si>
    <t>BMWﾐﾆｸｰﾊﾟｰS ｺﾝﾊﾞｰﾁﾌﾞﾙ</t>
    <phoneticPr fontId="7"/>
  </si>
  <si>
    <t>和泉 329 す 865</t>
    <rPh sb="0" eb="2">
      <t>イズミ</t>
    </rPh>
    <phoneticPr fontId="7"/>
  </si>
  <si>
    <t>青</t>
    <rPh sb="0" eb="1">
      <t>アオ</t>
    </rPh>
    <phoneticPr fontId="7"/>
  </si>
  <si>
    <t>WMWWG720703C10315</t>
    <phoneticPr fontId="7"/>
  </si>
  <si>
    <t>ﾌｫｰｼｰｽﾞﾝｽﾞ株式会社</t>
    <rPh sb="10" eb="14">
      <t>カブシキガイシャ</t>
    </rPh>
    <phoneticPr fontId="7"/>
  </si>
  <si>
    <t>27-195</t>
  </si>
  <si>
    <t>BMW 640i ｸﾞﾗﾝｸｰﾍﾟ Mｽﾎﾟｰﾂﾊﾟｯｹｰｼﾞ</t>
    <phoneticPr fontId="7"/>
  </si>
  <si>
    <t>福岡 331 は 3007</t>
    <rPh sb="0" eb="2">
      <t>フクオカ</t>
    </rPh>
    <phoneticPr fontId="7"/>
  </si>
  <si>
    <t>34X り 5</t>
    <phoneticPr fontId="7"/>
  </si>
  <si>
    <t>WBA6A02030DZ11255</t>
    <phoneticPr fontId="7"/>
  </si>
  <si>
    <t>株式会社 JCM</t>
    <rPh sb="0" eb="4">
      <t>カブシキガイシャ</t>
    </rPh>
    <phoneticPr fontId="7"/>
  </si>
  <si>
    <t>取説 ｷｰﾚｽ</t>
    <rPh sb="0" eb="1">
      <t>トリ</t>
    </rPh>
    <rPh sb="1" eb="2">
      <t>セツ</t>
    </rPh>
    <phoneticPr fontId="7"/>
  </si>
  <si>
    <t>27-196</t>
  </si>
  <si>
    <t>31/3</t>
    <phoneticPr fontId="7"/>
  </si>
  <si>
    <t>BMWﾐﾆ ｸｰﾊﾟｰSD</t>
    <phoneticPr fontId="7"/>
  </si>
  <si>
    <t>4/3/27</t>
    <phoneticPr fontId="7"/>
  </si>
  <si>
    <t>横浜 304 ゆ 3280</t>
    <rPh sb="0" eb="2">
      <t>ヨコハマ</t>
    </rPh>
    <phoneticPr fontId="7"/>
  </si>
  <si>
    <t>301 つ 4546</t>
    <phoneticPr fontId="7"/>
  </si>
  <si>
    <t>USS横浜</t>
    <rPh sb="3" eb="5">
      <t>ヨコハマ</t>
    </rPh>
    <phoneticPr fontId="7"/>
  </si>
  <si>
    <t>白</t>
    <rPh sb="0" eb="1">
      <t>シロ</t>
    </rPh>
    <phoneticPr fontId="7"/>
  </si>
  <si>
    <t>WMWXT720902H91872</t>
    <phoneticPr fontId="7"/>
  </si>
  <si>
    <t>ﾋﾞｰｴﾑﾀﾞﾌﾞﾘｭｰｼﾞｬﾊﾟﾝﾌｧｲﾅﾝｽ株式会社</t>
    <rPh sb="24" eb="28">
      <t>カブシキガイシャ</t>
    </rPh>
    <phoneticPr fontId="7"/>
  </si>
  <si>
    <t>9/18</t>
    <phoneticPr fontId="7"/>
  </si>
  <si>
    <t>保証書 取説 ｷｰﾚｽ 法人ﾜﾝｵｰﾅｰ</t>
    <rPh sb="0" eb="3">
      <t>ホショウショ</t>
    </rPh>
    <rPh sb="4" eb="6">
      <t>トリセツ</t>
    </rPh>
    <rPh sb="12" eb="14">
      <t>ホウジン</t>
    </rPh>
    <phoneticPr fontId="7"/>
  </si>
  <si>
    <t>27-197</t>
  </si>
  <si>
    <t>30/9</t>
    <phoneticPr fontId="7"/>
  </si>
  <si>
    <t>ｼﾄﾛｴﾝC3 ｴﾙ ｽﾍﾟｼｬﾙED</t>
    <phoneticPr fontId="7"/>
  </si>
  <si>
    <t>山形 300 る 3270</t>
    <rPh sb="0" eb="2">
      <t>ヤマガタ</t>
    </rPh>
    <phoneticPr fontId="7"/>
  </si>
  <si>
    <t>USS東京</t>
    <rPh sb="3" eb="5">
      <t>トウキョウ</t>
    </rPh>
    <phoneticPr fontId="7"/>
  </si>
  <si>
    <t>白Ⅱ</t>
    <rPh sb="0" eb="1">
      <t>シロ</t>
    </rPh>
    <phoneticPr fontId="7"/>
  </si>
  <si>
    <t>VF7SXHNZTJ553210</t>
    <phoneticPr fontId="7"/>
  </si>
  <si>
    <t>ｽﾏｲﾙｽﾞﾌﾟﾛｼﾞｪｸﾄ株式会社</t>
    <rPh sb="14" eb="18">
      <t>カブシキガイシャ</t>
    </rPh>
    <phoneticPr fontId="7"/>
  </si>
  <si>
    <t>9/30</t>
    <phoneticPr fontId="7"/>
  </si>
  <si>
    <t xml:space="preserve">保証書 取説 </t>
    <rPh sb="0" eb="3">
      <t>ホショウショ</t>
    </rPh>
    <rPh sb="4" eb="6">
      <t>トリセツ</t>
    </rPh>
    <phoneticPr fontId="7"/>
  </si>
  <si>
    <t>27-198</t>
  </si>
  <si>
    <t>28/10</t>
    <phoneticPr fontId="7"/>
  </si>
  <si>
    <t>BMWﾐﾆ ｸｰﾊﾟｰ</t>
    <phoneticPr fontId="7"/>
  </si>
  <si>
    <t>横浜 330 は 8231</t>
    <rPh sb="0" eb="2">
      <t>ヨコハマ</t>
    </rPh>
    <phoneticPr fontId="7"/>
  </si>
  <si>
    <t>保証書 取説 Sｷｰ</t>
  </si>
  <si>
    <t>赤Ⅱ</t>
    <rPh sb="0" eb="1">
      <t>アカ</t>
    </rPh>
    <phoneticPr fontId="7"/>
  </si>
  <si>
    <t>WMWXS520902C92318</t>
    <phoneticPr fontId="7"/>
  </si>
  <si>
    <t>ｳｴｲﾝｽﾞｲﾝﾎﾟｰﾄｶｰｽﾞ株式会社</t>
    <rPh sb="16" eb="20">
      <t>カブシキガイシャ</t>
    </rPh>
    <phoneticPr fontId="7"/>
  </si>
  <si>
    <t>10/9</t>
    <phoneticPr fontId="7"/>
  </si>
  <si>
    <t>保証書 取説 ｷｰﾚｽ ﾜﾝｵｰﾅｰ</t>
    <rPh sb="0" eb="3">
      <t>ホショウショ</t>
    </rPh>
    <rPh sb="4" eb="6">
      <t>トリセツ</t>
    </rPh>
    <phoneticPr fontId="7"/>
  </si>
  <si>
    <t>27-199</t>
  </si>
  <si>
    <t>30/5</t>
    <phoneticPr fontId="7"/>
  </si>
  <si>
    <t>ｼﾄﾛｴﾝC3 ｼｬｲﾝ</t>
    <phoneticPr fontId="7"/>
  </si>
  <si>
    <t>なにわ 326 は 3461</t>
    <phoneticPr fontId="7"/>
  </si>
  <si>
    <t>詳細</t>
    <rPh sb="0" eb="2">
      <t>ショウサイ</t>
    </rPh>
    <phoneticPr fontId="7"/>
  </si>
  <si>
    <t>黒Ⅱ</t>
    <rPh sb="0" eb="1">
      <t>クロ</t>
    </rPh>
    <phoneticPr fontId="7"/>
  </si>
  <si>
    <t>VF7SXHNZTJT538270</t>
    <phoneticPr fontId="7"/>
  </si>
  <si>
    <t>株式会社 はなまる</t>
    <rPh sb="0" eb="4">
      <t>カブシキガイシャ</t>
    </rPh>
    <phoneticPr fontId="7"/>
  </si>
  <si>
    <t>10/14</t>
    <phoneticPr fontId="7"/>
  </si>
  <si>
    <t>27-200</t>
  </si>
  <si>
    <t>26/9</t>
    <phoneticPr fontId="7"/>
  </si>
  <si>
    <t>ﾌﾟｼﾞｮｰ RCZﾍﾞｰｽｸﾞﾚｰﾄﾞ</t>
    <phoneticPr fontId="7"/>
  </si>
  <si>
    <t>下関 399 さ 4847</t>
    <rPh sb="0" eb="2">
      <t>シモノセキ</t>
    </rPh>
    <phoneticPr fontId="7"/>
  </si>
  <si>
    <t>ﾚｯﾄﾞⅡ</t>
    <phoneticPr fontId="7"/>
  </si>
  <si>
    <t>VF34J5FVADP008252</t>
    <phoneticPr fontId="7"/>
  </si>
  <si>
    <t>株式会社 CARｵｰｸｼｮﾝ</t>
    <rPh sb="0" eb="4">
      <t>カブシキガイシャ</t>
    </rPh>
    <phoneticPr fontId="7"/>
  </si>
  <si>
    <t>27-201</t>
  </si>
  <si>
    <t>16/8</t>
    <phoneticPr fontId="7"/>
  </si>
  <si>
    <t>ﾗﾝﾄﾞﾛｰﾊﾞｰ ﾃﾞｨｽｶﾊﾞﾘｰ ﾛｲﾔﾙｴﾃﾞｨｼｮﾝ</t>
    <phoneticPr fontId="7"/>
  </si>
  <si>
    <t>3/10</t>
    <phoneticPr fontId="7"/>
  </si>
  <si>
    <t>多摩 330 み 1336</t>
    <rPh sb="0" eb="2">
      <t>タマ</t>
    </rPh>
    <phoneticPr fontId="7"/>
  </si>
  <si>
    <t>399 つ 8081</t>
    <phoneticPr fontId="7"/>
  </si>
  <si>
    <t>紺</t>
    <rPh sb="0" eb="1">
      <t>コン</t>
    </rPh>
    <phoneticPr fontId="7"/>
  </si>
  <si>
    <t>SALLTAMP34A858648</t>
    <phoneticPr fontId="7"/>
  </si>
  <si>
    <t>荒井 康隆</t>
    <rPh sb="0" eb="2">
      <t>アライ</t>
    </rPh>
    <rPh sb="3" eb="4">
      <t>コウ</t>
    </rPh>
    <rPh sb="4" eb="5">
      <t>リュウ</t>
    </rPh>
    <phoneticPr fontId="7"/>
  </si>
  <si>
    <t>10/16</t>
    <phoneticPr fontId="7"/>
  </si>
  <si>
    <t>保証書 取説 ｽﾍﾟｱｷｰ</t>
    <rPh sb="0" eb="3">
      <t>ホショウショ</t>
    </rPh>
    <rPh sb="4" eb="5">
      <t>トリ</t>
    </rPh>
    <rPh sb="5" eb="6">
      <t>セツ</t>
    </rPh>
    <phoneticPr fontId="7"/>
  </si>
  <si>
    <t>27-202</t>
  </si>
  <si>
    <t>29/2</t>
    <phoneticPr fontId="7"/>
  </si>
  <si>
    <t>BMW M4ｸｰﾍﾟ</t>
    <phoneticPr fontId="7"/>
  </si>
  <si>
    <t>4/2</t>
    <phoneticPr fontId="7"/>
  </si>
  <si>
    <t>横浜 305 ぬ 1546</t>
    <rPh sb="0" eb="2">
      <t>ヨコハマ</t>
    </rPh>
    <phoneticPr fontId="7"/>
  </si>
  <si>
    <t>手帳 取説  ﾜﾝｵｰﾅｰ</t>
  </si>
  <si>
    <t>301 つ 5840</t>
    <phoneticPr fontId="7"/>
  </si>
  <si>
    <t>WBS3R92050K346689</t>
    <phoneticPr fontId="7"/>
  </si>
  <si>
    <t>株式会社 ﾔﾅｾ</t>
    <rPh sb="0" eb="4">
      <t>カブシキガイシャ</t>
    </rPh>
    <phoneticPr fontId="7"/>
  </si>
  <si>
    <t>10/17</t>
    <phoneticPr fontId="7"/>
  </si>
  <si>
    <t>27-203</t>
  </si>
  <si>
    <t>26/12</t>
    <phoneticPr fontId="7"/>
  </si>
  <si>
    <t>Mﾍﾞﾝﾂ S550L AMG ｽﾎﾟｰﾂPKG</t>
    <phoneticPr fontId="7"/>
  </si>
  <si>
    <t>5/4</t>
    <phoneticPr fontId="7"/>
  </si>
  <si>
    <t>練馬 342 な 81</t>
    <rPh sb="0" eb="2">
      <t>ネリマ</t>
    </rPh>
    <phoneticPr fontId="7"/>
  </si>
  <si>
    <t>社用車</t>
    <rPh sb="0" eb="3">
      <t>シャヨウシャ</t>
    </rPh>
    <phoneticPr fontId="7"/>
  </si>
  <si>
    <t>31Y む 5</t>
    <phoneticPr fontId="7"/>
  </si>
  <si>
    <t>WDD2221821A117883</t>
    <phoneticPr fontId="7"/>
  </si>
  <si>
    <t>株式会社ｵﾘｴﾝﾄｺｰﾎﾟﾚｰｼｮﾝ</t>
    <rPh sb="0" eb="4">
      <t>カブシキガイシャ</t>
    </rPh>
    <phoneticPr fontId="7"/>
  </si>
  <si>
    <t>10/22</t>
    <phoneticPr fontId="7"/>
  </si>
  <si>
    <t>保証書 取説 ｷｰﾚｽ ﾘﾓｺﾝ</t>
    <rPh sb="0" eb="3">
      <t>ホショウショ</t>
    </rPh>
    <rPh sb="4" eb="6">
      <t>トリセツ</t>
    </rPh>
    <phoneticPr fontId="7"/>
  </si>
  <si>
    <t>27-204</t>
  </si>
  <si>
    <t>17/3</t>
    <phoneticPr fontId="7"/>
  </si>
  <si>
    <t>ﾗﾝﾄﾞﾛｰﾊﾞｰ ﾃﾞｨｽｶﾊﾞﾘｰ HSE</t>
    <phoneticPr fontId="7"/>
  </si>
  <si>
    <t>金沢 300 に 5236</t>
    <rPh sb="0" eb="2">
      <t>カナザワ</t>
    </rPh>
    <phoneticPr fontId="7"/>
  </si>
  <si>
    <t>399 つ 8588</t>
    <phoneticPr fontId="7"/>
  </si>
  <si>
    <t>SALLTAMP34A857799</t>
    <phoneticPr fontId="7"/>
  </si>
  <si>
    <t>相川 二郎</t>
    <rPh sb="0" eb="2">
      <t>アイカワ</t>
    </rPh>
    <rPh sb="3" eb="5">
      <t>ジロウ</t>
    </rPh>
    <phoneticPr fontId="7"/>
  </si>
  <si>
    <t>10/21</t>
    <phoneticPr fontId="7"/>
  </si>
  <si>
    <t>ｸﾚｰﾑ終わり次第抹消</t>
    <rPh sb="4" eb="5">
      <t>オ</t>
    </rPh>
    <rPh sb="7" eb="9">
      <t>シダイ</t>
    </rPh>
    <rPh sb="9" eb="11">
      <t>マッショウ</t>
    </rPh>
    <phoneticPr fontId="7"/>
  </si>
  <si>
    <t>27-205</t>
  </si>
  <si>
    <t>28/4</t>
    <phoneticPr fontId="7"/>
  </si>
  <si>
    <t>5/4/26</t>
    <phoneticPr fontId="7"/>
  </si>
  <si>
    <t>堺 300 に 7035</t>
    <rPh sb="0" eb="1">
      <t>サカイ</t>
    </rPh>
    <phoneticPr fontId="7"/>
  </si>
  <si>
    <t>301 つ 5041</t>
    <phoneticPr fontId="7"/>
  </si>
  <si>
    <t>WMWXS720202C50679</t>
    <phoneticPr fontId="7"/>
  </si>
  <si>
    <t>ﾌﾟﾚﾐｱ株式会社</t>
    <rPh sb="5" eb="9">
      <t>カブシキガイシャ</t>
    </rPh>
    <phoneticPr fontId="7"/>
  </si>
  <si>
    <t>10/28</t>
    <phoneticPr fontId="7"/>
  </si>
  <si>
    <t>27-206</t>
  </si>
  <si>
    <t>27/2</t>
    <phoneticPr fontId="7"/>
  </si>
  <si>
    <t>ﾙﾉｰ ﾒｶﾞｰﾇｴｽﾃｰﾄ GT220</t>
    <phoneticPr fontId="7"/>
  </si>
  <si>
    <t>岐阜 302 た 7100</t>
    <rPh sb="0" eb="2">
      <t>ギフ</t>
    </rPh>
    <phoneticPr fontId="7"/>
  </si>
  <si>
    <t>保証書 取説 ｽﾍﾟｱｷｰ？  ﾜﾝｵｰﾅｰ</t>
  </si>
  <si>
    <t>399 つ 8587</t>
    <phoneticPr fontId="7"/>
  </si>
  <si>
    <t>ﾌﾞﾙｰM</t>
    <phoneticPr fontId="7"/>
  </si>
  <si>
    <t>VF1KZY306E0701347</t>
    <phoneticPr fontId="7"/>
  </si>
  <si>
    <t>株式会社 ｺﾞﾄｳｽﾊﾞﾙ</t>
    <rPh sb="0" eb="4">
      <t>カブシキガイシャ</t>
    </rPh>
    <phoneticPr fontId="7"/>
  </si>
  <si>
    <t>11/4</t>
    <phoneticPr fontId="7"/>
  </si>
  <si>
    <t>保証書 取説 ｷｰﾚｽ ｶｰﾄﾞ型ｷｰﾚｽ ﾜﾝｵｰﾅｰ</t>
    <rPh sb="0" eb="3">
      <t>ホショウショ</t>
    </rPh>
    <rPh sb="4" eb="5">
      <t>トリ</t>
    </rPh>
    <rPh sb="5" eb="6">
      <t>セツ</t>
    </rPh>
    <rPh sb="16" eb="17">
      <t>ガタ</t>
    </rPh>
    <phoneticPr fontId="7"/>
  </si>
  <si>
    <t>11月抹消済</t>
    <rPh sb="2" eb="3">
      <t>ガツ</t>
    </rPh>
    <rPh sb="3" eb="5">
      <t>マッショウ</t>
    </rPh>
    <rPh sb="5" eb="6">
      <t>ズ</t>
    </rPh>
    <phoneticPr fontId="7"/>
  </si>
  <si>
    <t>27-207</t>
  </si>
  <si>
    <t>ﾌﾟｼﾞｮｰ5008 ﾌﾟﾚﾐｱﾑ</t>
    <phoneticPr fontId="7"/>
  </si>
  <si>
    <t>5/2</t>
    <phoneticPr fontId="7"/>
  </si>
  <si>
    <t>名古屋 331 み 5008</t>
    <rPh sb="0" eb="3">
      <t>ナゴヤ</t>
    </rPh>
    <phoneticPr fontId="7"/>
  </si>
  <si>
    <t>取説 ｽﾍﾟｱｷｰ</t>
  </si>
  <si>
    <t>301 つ 6871</t>
    <phoneticPr fontId="7"/>
  </si>
  <si>
    <t>VF30E5FVAFS084089</t>
    <phoneticPr fontId="7"/>
  </si>
  <si>
    <t>株式会社ｼﾞｬｯｸｽ</t>
    <rPh sb="0" eb="4">
      <t>カブシキカイシャ</t>
    </rPh>
    <phoneticPr fontId="7"/>
  </si>
  <si>
    <t>11/9</t>
    <phoneticPr fontId="7"/>
  </si>
  <si>
    <t>27-208</t>
  </si>
  <si>
    <t>28/6</t>
    <phoneticPr fontId="7"/>
  </si>
  <si>
    <t>BMW 118I Mｽﾎﾟｰﾂ</t>
    <phoneticPr fontId="7"/>
  </si>
  <si>
    <t>5/6</t>
    <phoneticPr fontId="7"/>
  </si>
  <si>
    <t>岐阜 302 と 6612</t>
    <rPh sb="0" eb="2">
      <t>ギフ</t>
    </rPh>
    <phoneticPr fontId="7"/>
  </si>
  <si>
    <t>301 つ 6359</t>
    <phoneticPr fontId="7"/>
  </si>
  <si>
    <t>ﾌﾞﾙｰ</t>
    <phoneticPr fontId="7"/>
  </si>
  <si>
    <t>WBA1R520505C71837</t>
    <phoneticPr fontId="7"/>
  </si>
  <si>
    <t>水野 貴</t>
    <rPh sb="0" eb="2">
      <t>ミズノ</t>
    </rPh>
    <rPh sb="3" eb="4">
      <t>タカシ</t>
    </rPh>
    <phoneticPr fontId="7"/>
  </si>
  <si>
    <t>11/16</t>
    <phoneticPr fontId="7"/>
  </si>
  <si>
    <t>ｷｰﾚｽ(車内)   保証書 取説 ﾘﾓｺﾝ ﾜﾝｵｰﾅｰ</t>
    <rPh sb="5" eb="7">
      <t>シャナイ</t>
    </rPh>
    <rPh sb="11" eb="14">
      <t>ホショウショ</t>
    </rPh>
    <rPh sb="15" eb="17">
      <t>トリセツ</t>
    </rPh>
    <phoneticPr fontId="7"/>
  </si>
  <si>
    <t>27-209</t>
  </si>
  <si>
    <t>多摩 326 た 7407</t>
    <rPh sb="0" eb="2">
      <t>タマ</t>
    </rPh>
    <phoneticPr fontId="7"/>
  </si>
  <si>
    <t>TAA横浜</t>
    <rPh sb="3" eb="5">
      <t>ヨコハマ</t>
    </rPh>
    <phoneticPr fontId="7"/>
  </si>
  <si>
    <t>VF30E5FVADS219373</t>
    <phoneticPr fontId="7"/>
  </si>
  <si>
    <t>株式会社 ﾎﾝﾀﾞｶｰｽﾞ東京中央</t>
    <rPh sb="0" eb="4">
      <t>カブシキガイシャ</t>
    </rPh>
    <rPh sb="13" eb="15">
      <t>トウキョウ</t>
    </rPh>
    <rPh sb="15" eb="17">
      <t>チュウオウ</t>
    </rPh>
    <phoneticPr fontId="7"/>
  </si>
  <si>
    <t>ｷｰﾚｽ 地図SD ﾐﾆB-CAS（車内）   保証書 取説 ﾅﾋﾞ取 ｱﾝﾃﾅ</t>
    <rPh sb="5" eb="7">
      <t>チズ</t>
    </rPh>
    <rPh sb="18" eb="20">
      <t>シャナイ</t>
    </rPh>
    <rPh sb="24" eb="27">
      <t>ホショウショ</t>
    </rPh>
    <rPh sb="28" eb="30">
      <t>トリセツ</t>
    </rPh>
    <rPh sb="34" eb="35">
      <t>トリ</t>
    </rPh>
    <phoneticPr fontId="7"/>
  </si>
  <si>
    <t>SDｶｰﾄﾞとﾐﾆB-CAS現車に装着済</t>
    <rPh sb="14" eb="16">
      <t>ゲンシャ</t>
    </rPh>
    <rPh sb="17" eb="20">
      <t>ソウチャクズ</t>
    </rPh>
    <phoneticPr fontId="7"/>
  </si>
  <si>
    <t>27-210</t>
  </si>
  <si>
    <t>29/3</t>
    <phoneticPr fontId="7"/>
  </si>
  <si>
    <t>N-WGN G SSﾊﾟｯｹｰｼﾞ</t>
    <phoneticPr fontId="7"/>
  </si>
  <si>
    <t>3/3</t>
    <phoneticPr fontId="7"/>
  </si>
  <si>
    <t>R</t>
    <phoneticPr fontId="7"/>
  </si>
  <si>
    <t>香川 581 か 1697</t>
    <rPh sb="0" eb="2">
      <t>カガワ</t>
    </rPh>
    <phoneticPr fontId="7"/>
  </si>
  <si>
    <t xml:space="preserve">保証書 取説 </t>
  </si>
  <si>
    <t>ﾚﾝﾀ歴ありｸﾚｰﾑ済</t>
    <rPh sb="3" eb="4">
      <t>レキ</t>
    </rPh>
    <rPh sb="10" eb="11">
      <t>スミ</t>
    </rPh>
    <phoneticPr fontId="7"/>
  </si>
  <si>
    <t>Sellca</t>
    <phoneticPr fontId="7"/>
  </si>
  <si>
    <t>A87666</t>
    <phoneticPr fontId="7"/>
  </si>
  <si>
    <t>ｼﾙﾊﾞｰ</t>
    <phoneticPr fontId="7"/>
  </si>
  <si>
    <t>JH1-1335633</t>
    <phoneticPr fontId="7"/>
  </si>
  <si>
    <t>田中 綾乃</t>
    <rPh sb="0" eb="2">
      <t>タナカ</t>
    </rPh>
    <rPh sb="3" eb="4">
      <t>アヤ</t>
    </rPh>
    <rPh sb="4" eb="5">
      <t>ノ</t>
    </rPh>
    <phoneticPr fontId="7"/>
  </si>
  <si>
    <t>11/27</t>
    <phoneticPr fontId="7"/>
  </si>
  <si>
    <t>保証書 取説 ﾅﾋﾞ取 ﾚﾝﾀ歴</t>
    <rPh sb="0" eb="3">
      <t>ホショウショ</t>
    </rPh>
    <rPh sb="4" eb="5">
      <t>トリ</t>
    </rPh>
    <rPh sb="5" eb="6">
      <t>セツ</t>
    </rPh>
    <rPh sb="10" eb="11">
      <t>トリ</t>
    </rPh>
    <rPh sb="15" eb="16">
      <t>レキ</t>
    </rPh>
    <phoneticPr fontId="7"/>
  </si>
  <si>
    <t>27-211</t>
  </si>
  <si>
    <t>31/2</t>
    <phoneticPr fontId="7"/>
  </si>
  <si>
    <t>ｱﾊﾞﾙﾄ595 ﾂｰﾘｽﾞﾓ</t>
    <phoneticPr fontId="7"/>
  </si>
  <si>
    <t>福岡 546 ぬ 115</t>
    <rPh sb="0" eb="2">
      <t>フクオカ</t>
    </rPh>
    <phoneticPr fontId="7"/>
  </si>
  <si>
    <t>599 て 9685</t>
    <phoneticPr fontId="7"/>
  </si>
  <si>
    <t>ZFA3120000JA57644</t>
    <phoneticPr fontId="7"/>
  </si>
  <si>
    <t>株式会社 ｼﾞｬｯｸｽ</t>
    <rPh sb="0" eb="4">
      <t>カブシキガイシャ</t>
    </rPh>
    <phoneticPr fontId="7"/>
  </si>
  <si>
    <t>11/28</t>
    <phoneticPr fontId="7"/>
  </si>
  <si>
    <t>保証書 取説 ｽﾍﾟｱｷｰ ﾜﾝｵｰﾅｰ</t>
    <rPh sb="0" eb="3">
      <t>ホショウショ</t>
    </rPh>
    <rPh sb="4" eb="6">
      <t>トリセツ</t>
    </rPh>
    <phoneticPr fontId="7"/>
  </si>
  <si>
    <t>12月抹消済</t>
    <rPh sb="2" eb="3">
      <t>ガツ</t>
    </rPh>
    <rPh sb="3" eb="5">
      <t>マッショウ</t>
    </rPh>
    <rPh sb="5" eb="6">
      <t>ズ</t>
    </rPh>
    <phoneticPr fontId="7"/>
  </si>
  <si>
    <t>27-212</t>
  </si>
  <si>
    <t>BMWM235Iｸｰﾍﾟ</t>
    <phoneticPr fontId="7"/>
  </si>
  <si>
    <t>一宮 300 に 7280</t>
    <rPh sb="0" eb="2">
      <t>イチノミヤ</t>
    </rPh>
    <phoneticPr fontId="7"/>
  </si>
  <si>
    <t xml:space="preserve">保証書 取説 ｽﾍﾟｱｷｰ    </t>
  </si>
  <si>
    <t>301 つ 6873</t>
    <phoneticPr fontId="7"/>
  </si>
  <si>
    <t>NAA名古屋（まとめ）</t>
    <rPh sb="3" eb="6">
      <t>ナゴヤ</t>
    </rPh>
    <phoneticPr fontId="7"/>
  </si>
  <si>
    <t>WBA1J72060V486269</t>
    <phoneticPr fontId="7"/>
  </si>
  <si>
    <t>竹尾 光昭</t>
    <rPh sb="0" eb="2">
      <t>タケオ</t>
    </rPh>
    <rPh sb="3" eb="5">
      <t>ミツテル</t>
    </rPh>
    <phoneticPr fontId="7"/>
  </si>
  <si>
    <t>12/2</t>
    <phoneticPr fontId="7"/>
  </si>
  <si>
    <t>保証書 取説 ｷｰﾚｽ</t>
    <rPh sb="0" eb="3">
      <t>ホショウショ</t>
    </rPh>
    <rPh sb="4" eb="6">
      <t>トリセツ</t>
    </rPh>
    <phoneticPr fontId="7"/>
  </si>
  <si>
    <t>3月抹消済</t>
    <rPh sb="1" eb="2">
      <t>ガツ</t>
    </rPh>
    <rPh sb="2" eb="4">
      <t>マッショウ</t>
    </rPh>
    <rPh sb="4" eb="5">
      <t>ズ</t>
    </rPh>
    <phoneticPr fontId="7"/>
  </si>
  <si>
    <t>永見 修平</t>
    <rPh sb="0" eb="2">
      <t>ナガミ</t>
    </rPh>
    <rPh sb="3" eb="5">
      <t>シュウヘイ</t>
    </rPh>
    <phoneticPr fontId="7"/>
  </si>
  <si>
    <t>27-213</t>
  </si>
  <si>
    <t>30/10</t>
    <phoneticPr fontId="7"/>
  </si>
  <si>
    <t>奈良 301 そ 7568</t>
    <rPh sb="0" eb="2">
      <t>ナラ</t>
    </rPh>
    <phoneticPr fontId="7"/>
  </si>
  <si>
    <t>保証書 手帳 取説 ｽﾍﾟｱｷｰ ﾜﾝｵｰﾅｰ</t>
  </si>
  <si>
    <t>ZIP大阪</t>
    <rPh sb="3" eb="5">
      <t>オオサカ</t>
    </rPh>
    <phoneticPr fontId="7"/>
  </si>
  <si>
    <t>ｵﾚﾝｼﾞⅡ</t>
    <phoneticPr fontId="7"/>
  </si>
  <si>
    <t>WMWXT720902H18274</t>
    <phoneticPr fontId="7"/>
  </si>
  <si>
    <t>株式会社 ﾓﾄｰﾚﾝﾃｨｰｱｲ</t>
    <rPh sb="0" eb="4">
      <t>カブシキガイシャ</t>
    </rPh>
    <phoneticPr fontId="7"/>
  </si>
  <si>
    <t>12/5</t>
    <phoneticPr fontId="7"/>
  </si>
  <si>
    <t>27-214</t>
  </si>
  <si>
    <t>26/7</t>
    <phoneticPr fontId="7"/>
  </si>
  <si>
    <t>BMWﾐﾆｼﾞｮﾝｸｰﾊﾟｰﾜｰｸｽ ｺﾝﾊﾞｰﾁﾌﾞﾙ</t>
    <phoneticPr fontId="7"/>
  </si>
  <si>
    <t>京都 599 め 4</t>
    <rPh sb="0" eb="2">
      <t>キョウト</t>
    </rPh>
    <phoneticPr fontId="7"/>
  </si>
  <si>
    <t>WMWMR92090T430579</t>
    <phoneticPr fontId="7"/>
  </si>
  <si>
    <t>株式会社ﾋﾞｰｴﾑﾊﾅﾃﾝ</t>
    <rPh sb="0" eb="4">
      <t>カブシキカイシャ</t>
    </rPh>
    <phoneticPr fontId="7"/>
  </si>
  <si>
    <t>12/16</t>
    <phoneticPr fontId="7"/>
  </si>
  <si>
    <t>27-215</t>
  </si>
  <si>
    <t>27/8</t>
    <phoneticPr fontId="7"/>
  </si>
  <si>
    <t>ｼﾞｬｶﾞｰXE ﾌﾟﾚｽﾃｰｼﾞ</t>
    <phoneticPr fontId="7"/>
  </si>
  <si>
    <t>4/8</t>
    <phoneticPr fontId="7"/>
  </si>
  <si>
    <t>世田谷 311 ふ 1117</t>
    <rPh sb="0" eb="3">
      <t>セタガヤ</t>
    </rPh>
    <phoneticPr fontId="7"/>
  </si>
  <si>
    <t>保証書 手帳 取説   名変期限1/24まで</t>
  </si>
  <si>
    <t>SAJAB4AG8GA905870</t>
    <phoneticPr fontId="7"/>
  </si>
  <si>
    <t>株式会社 たきおか</t>
    <rPh sb="0" eb="4">
      <t>カブシキガイシャ</t>
    </rPh>
    <phoneticPr fontId="7"/>
  </si>
  <si>
    <t>12/9</t>
    <phoneticPr fontId="7"/>
  </si>
  <si>
    <t>保証書 取説 ﾅﾋﾞ取 ｷｰﾚｽ</t>
    <rPh sb="0" eb="3">
      <t>ホショウショ</t>
    </rPh>
    <rPh sb="4" eb="5">
      <t>トリ</t>
    </rPh>
    <rPh sb="5" eb="6">
      <t>セツ</t>
    </rPh>
    <rPh sb="10" eb="11">
      <t>トリ</t>
    </rPh>
    <phoneticPr fontId="7"/>
  </si>
  <si>
    <t>27-216</t>
  </si>
  <si>
    <t>28/11</t>
    <phoneticPr fontId="7"/>
  </si>
  <si>
    <t>VWｻﾞ・ﾋﾞｰﾄﾙ ﾊｯｼｭﾀｸﾞﾋﾟﾝｸﾋﾞｰﾄﾙ</t>
    <phoneticPr fontId="7"/>
  </si>
  <si>
    <t>京都 399 ゆ 1820</t>
    <rPh sb="0" eb="2">
      <t>キョウト</t>
    </rPh>
    <phoneticPr fontId="7"/>
  </si>
  <si>
    <t>保証書 手帳 ﾜﾝｵｰﾅｰ</t>
  </si>
  <si>
    <t>ﾌﾚｯｼｭﾌｸｼｱﾒﾀﾘｯｸ</t>
    <phoneticPr fontId="7"/>
  </si>
  <si>
    <t>WVWZZZ16ZHM605818</t>
    <phoneticPr fontId="7"/>
  </si>
  <si>
    <t>株式会社ﾌｧｰﾚﾝ京都</t>
    <rPh sb="0" eb="4">
      <t>カブシキガイシャ</t>
    </rPh>
    <rPh sb="9" eb="11">
      <t>キョウト</t>
    </rPh>
    <phoneticPr fontId="7"/>
  </si>
  <si>
    <t>保証書 ﾅﾋﾞ取 地図SD ﾜﾝｵｰﾅｰ</t>
    <rPh sb="0" eb="3">
      <t>ホショウショ</t>
    </rPh>
    <rPh sb="7" eb="8">
      <t>トリ</t>
    </rPh>
    <rPh sb="9" eb="11">
      <t>チズ</t>
    </rPh>
    <phoneticPr fontId="7"/>
  </si>
  <si>
    <t>SDｶｰﾄﾞ現車装着済</t>
    <rPh sb="6" eb="8">
      <t>ゲンシャ</t>
    </rPh>
    <rPh sb="8" eb="10">
      <t>ソウチャク</t>
    </rPh>
    <rPh sb="10" eb="11">
      <t>ズミ</t>
    </rPh>
    <phoneticPr fontId="7"/>
  </si>
  <si>
    <t>27-217</t>
  </si>
  <si>
    <t>28/12</t>
    <phoneticPr fontId="7"/>
  </si>
  <si>
    <t>BMWﾐﾆｸｰﾊﾟｰ SD</t>
    <phoneticPr fontId="7"/>
  </si>
  <si>
    <t>岡山 335 る 327</t>
    <rPh sb="0" eb="2">
      <t>オカヤマ</t>
    </rPh>
    <phoneticPr fontId="7"/>
  </si>
  <si>
    <t>USS岡山</t>
    <rPh sb="3" eb="5">
      <t>オカヤマ</t>
    </rPh>
    <phoneticPr fontId="7"/>
  </si>
  <si>
    <t>ﾌﾞﾗｯｸⅡ</t>
    <phoneticPr fontId="7"/>
  </si>
  <si>
    <t>WMWXT72070T859688</t>
    <phoneticPr fontId="7"/>
  </si>
  <si>
    <t>株式会社日産ｻﾃｨｵ岡山</t>
    <rPh sb="0" eb="4">
      <t>カブシキガイシャ</t>
    </rPh>
    <rPh sb="4" eb="6">
      <t>ニッサン</t>
    </rPh>
    <rPh sb="10" eb="12">
      <t>オカヤマ</t>
    </rPh>
    <phoneticPr fontId="7"/>
  </si>
  <si>
    <t>12/18</t>
    <phoneticPr fontId="7"/>
  </si>
  <si>
    <t>保証書 取説 ｷｰﾚｽ(車内) ﾜﾝｵｰﾅｰ</t>
    <rPh sb="0" eb="3">
      <t>ホショウショ</t>
    </rPh>
    <rPh sb="4" eb="5">
      <t>トリ</t>
    </rPh>
    <rPh sb="5" eb="6">
      <t>セツ</t>
    </rPh>
    <rPh sb="12" eb="14">
      <t>シャナイ</t>
    </rPh>
    <phoneticPr fontId="7"/>
  </si>
  <si>
    <t>27-218</t>
  </si>
  <si>
    <t>ﾌﾟｼﾞｮｰ 5008 ｼｴﾛ  ﾋﾞﾃﾞｵﾊﾟｯｹｰｼﾞ</t>
    <phoneticPr fontId="7"/>
  </si>
  <si>
    <t>4/6</t>
    <phoneticPr fontId="7"/>
  </si>
  <si>
    <t>神戸 338 は 5868</t>
    <rPh sb="0" eb="2">
      <t>コウベ</t>
    </rPh>
    <phoneticPr fontId="7"/>
  </si>
  <si>
    <t>保証書 取説 ﾅﾋﾞSD ﾜﾝｵｰﾅｰ</t>
  </si>
  <si>
    <t>399 つ 9363</t>
    <phoneticPr fontId="7"/>
  </si>
  <si>
    <t>VF30E5FVADS244781</t>
    <phoneticPr fontId="7"/>
  </si>
  <si>
    <t>保証書 取説 ﾅﾋﾞ取 地図SD その他SD ﾜﾝｵｰﾅｰ</t>
    <rPh sb="0" eb="3">
      <t>ホショウショ</t>
    </rPh>
    <rPh sb="4" eb="6">
      <t>トリセツ</t>
    </rPh>
    <rPh sb="10" eb="11">
      <t>トリ</t>
    </rPh>
    <rPh sb="12" eb="14">
      <t>チズ</t>
    </rPh>
    <rPh sb="19" eb="20">
      <t>タ</t>
    </rPh>
    <phoneticPr fontId="7"/>
  </si>
  <si>
    <t>1月抹消済</t>
    <rPh sb="1" eb="2">
      <t>ガツ</t>
    </rPh>
    <rPh sb="2" eb="4">
      <t>マッショウ</t>
    </rPh>
    <rPh sb="4" eb="5">
      <t>ズ</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</si>
</sst>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_);[Red]\(0\)"/>
    <numFmt numFmtId="177" formatCode="####&quot;回&quot;"/>
    <numFmt numFmtId="178" formatCode="#,##0_);[Red]\(#,##0\)"/>
    <numFmt numFmtId="179" formatCode="&quot;姫路 &quot;@\ "/>
    <numFmt numFmtId="180" formatCode="###&quot;回&quot;"/>
    <numFmt numFmtId="181" formatCode="m&quot;月&quot;d&quot;日&quot;;@"/>
    <numFmt numFmtId="182" formatCode="[Blue]General"/>
    <numFmt numFmtId="183" formatCode="#,##0_ "/>
  </numFmts>
  <fonts count="4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b/>
      <i/>
      <sz val="11"/>
      <color rgb="FFFF0000"/>
      <name val="游ゴシック"/>
      <family val="3"/>
      <charset val="128"/>
    </font>
    <font>
      <b/>
      <i/>
      <sz val="11"/>
      <color rgb="FF0000FF"/>
      <name val="游ゴシック"/>
      <family val="3"/>
      <charset val="128"/>
    </font>
    <font>
      <b/>
      <i/>
      <sz val="11"/>
      <color rgb="FF008000"/>
      <name val="游ゴシック"/>
      <family val="3"/>
      <charset val="128"/>
    </font>
    <font>
      <b/>
      <i/>
      <sz val="11"/>
      <color rgb="FF993366"/>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sz val="11"/>
      <color rgb="FF0000FF"/>
      <name val="游ゴシック"/>
      <family val="3"/>
      <charset val="128"/>
    </font>
    <font>
      <sz val="10"/>
      <color theme="1"/>
      <name val="游ゴシック"/>
      <family val="3"/>
      <charset val="128"/>
      <scheme val="minor"/>
    </font>
    <font>
      <sz val="11"/>
      <color rgb="FFC00000"/>
      <name val="游ゴシック"/>
      <family val="3"/>
      <charset val="128"/>
      <scheme val="minor"/>
    </font>
    <font>
      <b/>
      <sz val="11"/>
      <color theme="4" tint="-0.499984740745262"/>
      <name val="游ゴシック"/>
      <family val="3"/>
      <charset val="128"/>
      <scheme val="minor"/>
    </font>
    <font>
      <sz val="11"/>
      <color theme="1" tint="4.9989318521683403E-2"/>
      <name val="游ゴシック"/>
      <family val="3"/>
      <charset val="128"/>
      <scheme val="minor"/>
    </font>
    <font>
      <sz val="11"/>
      <color theme="4" tint="-0.499984740745262"/>
      <name val="ＭＳ Ｐゴシック"/>
      <family val="3"/>
      <charset val="128"/>
    </font>
    <font>
      <sz val="11"/>
      <color theme="4" tint="-0.249977111117893"/>
      <name val="ＭＳ Ｐゴシック"/>
      <family val="3"/>
      <charset val="128"/>
    </font>
    <font>
      <sz val="11"/>
      <color theme="9" tint="-0.249977111117893"/>
      <name val="游ゴシック"/>
      <family val="3"/>
      <charset val="128"/>
      <scheme val="minor"/>
    </font>
    <font>
      <sz val="11"/>
      <color theme="9"/>
      <name val="游ゴシック"/>
      <family val="3"/>
      <charset val="128"/>
      <scheme val="minor"/>
    </font>
    <font>
      <sz val="9"/>
      <color theme="1"/>
      <name val="游ゴシック"/>
      <family val="3"/>
      <charset val="128"/>
      <scheme val="minor"/>
    </font>
    <font>
      <sz val="9"/>
      <color indexed="81"/>
      <name val="MS P ゴシック"/>
      <family val="3"/>
      <charset val="128"/>
    </font>
  </fonts>
  <fills count="12">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rgb="FFFFF2CC"/>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rgb="FFEDEDED"/>
        <bgColor indexed="64"/>
      </patternFill>
    </fill>
    <fill>
      <patternFill patternType="solid">
        <fgColor rgb="FFFCE4D6"/>
        <bgColor indexed="64"/>
      </patternFill>
    </fill>
  </fills>
  <borders count="60">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right style="thin">
        <color indexed="64"/>
      </right>
      <top style="medium">
        <color indexed="64"/>
      </top>
      <bottom style="thick">
        <color indexed="64"/>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right style="thin">
        <color auto="1"/>
      </right>
      <top style="medium">
        <color auto="1"/>
      </top>
      <bottom style="thin">
        <color auto="1"/>
      </bottom>
      <diagonal/>
    </border>
    <border>
      <left/>
      <right/>
      <top style="medium">
        <color auto="1"/>
      </top>
      <bottom style="thin">
        <color auto="1"/>
      </bottom>
      <diagonal/>
    </border>
    <border>
      <left style="thin">
        <color auto="1"/>
      </left>
      <right style="double">
        <color auto="1"/>
      </right>
      <top style="medium">
        <color auto="1"/>
      </top>
      <bottom style="thin">
        <color auto="1"/>
      </bottom>
      <diagonal/>
    </border>
    <border>
      <left style="double">
        <color auto="1"/>
      </left>
      <right/>
      <top style="medium">
        <color auto="1"/>
      </top>
      <bottom style="thin">
        <color auto="1"/>
      </bottom>
      <diagonal/>
    </border>
    <border>
      <left style="thin">
        <color auto="1"/>
      </left>
      <right style="thin">
        <color auto="1"/>
      </right>
      <top/>
      <bottom style="thick">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auto="1"/>
      </left>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right/>
      <top style="thin">
        <color auto="1"/>
      </top>
      <bottom style="medium">
        <color auto="1"/>
      </bottom>
      <diagonal/>
    </border>
    <border>
      <left style="thin">
        <color auto="1"/>
      </left>
      <right style="double">
        <color auto="1"/>
      </right>
      <top style="thin">
        <color auto="1"/>
      </top>
      <bottom style="medium">
        <color auto="1"/>
      </bottom>
      <diagonal/>
    </border>
    <border>
      <left style="double">
        <color auto="1"/>
      </left>
      <right/>
      <top style="thin">
        <color auto="1"/>
      </top>
      <bottom style="medium">
        <color auto="1"/>
      </bottom>
      <diagonal/>
    </border>
    <border>
      <left style="thin">
        <color auto="1"/>
      </left>
      <right/>
      <top style="thick">
        <color auto="1"/>
      </top>
      <bottom style="thin">
        <color auto="1"/>
      </bottom>
      <diagonal/>
    </border>
    <border>
      <left style="medium">
        <color auto="1"/>
      </left>
      <right style="thin">
        <color auto="1"/>
      </right>
      <top style="thick">
        <color auto="1"/>
      </top>
      <bottom/>
      <diagonal/>
    </border>
    <border>
      <left style="thin">
        <color auto="1"/>
      </left>
      <right/>
      <top style="thick">
        <color auto="1"/>
      </top>
      <bottom/>
      <diagonal/>
    </border>
    <border>
      <left style="medium">
        <color auto="1"/>
      </left>
      <right style="medium">
        <color auto="1"/>
      </right>
      <top style="thick">
        <color auto="1"/>
      </top>
      <bottom/>
      <diagonal/>
    </border>
    <border>
      <left/>
      <right/>
      <top style="thick">
        <color auto="1"/>
      </top>
      <bottom style="thin">
        <color auto="1"/>
      </bottom>
      <diagonal/>
    </border>
    <border>
      <left/>
      <right style="thin">
        <color indexed="64"/>
      </right>
      <top style="thick">
        <color auto="1"/>
      </top>
      <bottom style="thin">
        <color auto="1"/>
      </bottom>
      <diagonal/>
    </border>
    <border>
      <left style="thin">
        <color auto="1"/>
      </left>
      <right style="double">
        <color auto="1"/>
      </right>
      <top/>
      <bottom style="thin">
        <color auto="1"/>
      </bottom>
      <diagonal/>
    </border>
    <border>
      <left style="double">
        <color auto="1"/>
      </left>
      <right style="thin">
        <color auto="1"/>
      </right>
      <top/>
      <bottom style="thin">
        <color auto="1"/>
      </bottom>
      <diagonal/>
    </border>
    <border>
      <left style="thin">
        <color auto="1"/>
      </left>
      <right/>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double">
        <color auto="1"/>
      </right>
      <top style="thin">
        <color auto="1"/>
      </top>
      <bottom/>
      <diagonal/>
    </border>
    <border>
      <left style="double">
        <color auto="1"/>
      </left>
      <right style="thin">
        <color auto="1"/>
      </right>
      <top style="thin">
        <color auto="1"/>
      </top>
      <bottom/>
      <diagonal/>
    </border>
    <border>
      <left style="double">
        <color auto="1"/>
      </left>
      <right style="thin">
        <color auto="1"/>
      </right>
      <top style="medium">
        <color auto="1"/>
      </top>
      <bottom style="thin">
        <color auto="1"/>
      </bottom>
      <diagonal/>
    </border>
    <border>
      <left/>
      <right style="thin">
        <color auto="1"/>
      </right>
      <top style="thin">
        <color auto="1"/>
      </top>
      <bottom style="medium">
        <color auto="1"/>
      </bottom>
      <diagonal/>
    </border>
    <border>
      <left style="double">
        <color auto="1"/>
      </left>
      <right style="thin">
        <color auto="1"/>
      </right>
      <top style="thin">
        <color auto="1"/>
      </top>
      <bottom style="medium">
        <color auto="1"/>
      </bottom>
      <diagonal/>
    </border>
    <border>
      <left/>
      <right style="thin">
        <color auto="1"/>
      </right>
      <top/>
      <bottom style="thin">
        <color auto="1"/>
      </bottom>
      <diagonal/>
    </border>
    <border>
      <left/>
      <right style="thin">
        <color auto="1"/>
      </right>
      <top style="thin">
        <color auto="1"/>
      </top>
      <bottom/>
      <diagonal/>
    </border>
    <border>
      <left/>
      <right/>
      <top style="thin">
        <color auto="1"/>
      </top>
      <bottom/>
      <diagonal/>
    </border>
    <border>
      <left/>
      <right/>
      <top style="medium">
        <color auto="1"/>
      </top>
      <bottom/>
      <diagonal/>
    </border>
    <border>
      <left/>
      <right/>
      <top/>
      <bottom style="medium">
        <color auto="1"/>
      </bottom>
      <diagonal/>
    </border>
    <border>
      <left style="thin">
        <color auto="1"/>
      </left>
      <right/>
      <top style="thin">
        <color auto="1"/>
      </top>
      <bottom/>
      <diagonal/>
    </border>
    <border>
      <left style="medium">
        <color auto="1"/>
      </left>
      <right style="thin">
        <color auto="1"/>
      </right>
      <top style="thin">
        <color indexed="64"/>
      </top>
      <bottom style="medium">
        <color indexed="64"/>
      </bottom>
      <diagonal/>
    </border>
    <border>
      <left/>
      <right/>
      <top/>
      <bottom style="thin">
        <color auto="1"/>
      </bottom>
      <diagonal/>
    </border>
    <border>
      <left style="medium">
        <color auto="1"/>
      </left>
      <right style="thin">
        <color auto="1"/>
      </right>
      <top/>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bottom style="thin">
        <color auto="1"/>
      </bottom>
      <diagonal/>
    </border>
  </borders>
  <cellStyleXfs count="2">
    <xf numFmtId="0" fontId="0" fillId="0" borderId="0">
      <alignment vertical="center"/>
    </xf>
    <xf numFmtId="38" fontId="15" fillId="0" borderId="0" applyFont="0" applyFill="0" applyBorder="0" applyAlignment="0" applyProtection="0">
      <alignment vertical="center"/>
    </xf>
  </cellStyleXfs>
  <cellXfs count="204">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176" fontId="4" fillId="2" borderId="2"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5" fillId="6" borderId="0" xfId="0" applyFont="1" applyFill="1">
      <alignment vertical="center"/>
    </xf>
    <xf numFmtId="0" fontId="6" fillId="0" borderId="0" xfId="0" applyFont="1" applyProtection="1">
      <alignment vertical="center"/>
      <protection locked="0"/>
    </xf>
    <xf numFmtId="0" fontId="0" fillId="4" borderId="0" xfId="0" applyFill="1" applyProtection="1">
      <alignment vertical="center"/>
      <protection locked="0"/>
    </xf>
    <xf numFmtId="0" fontId="6"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9" fillId="0" borderId="0" xfId="0" applyFont="1" applyProtection="1">
      <alignment vertical="center"/>
      <protection locked="0"/>
    </xf>
    <xf numFmtId="0" fontId="10" fillId="0" borderId="0" xfId="0" applyFont="1" applyProtection="1">
      <alignment vertical="center"/>
      <protection locked="0"/>
    </xf>
    <xf numFmtId="0" fontId="0" fillId="0" borderId="0" xfId="0" applyAlignment="1" applyProtection="1">
      <alignment horizontal="left" vertical="center" indent="1"/>
      <protection locked="0"/>
    </xf>
    <xf numFmtId="0" fontId="11" fillId="0" borderId="0" xfId="0" applyFont="1" applyAlignment="1" applyProtection="1">
      <alignment horizontal="left" vertical="center" indent="1"/>
      <protection locked="0"/>
    </xf>
    <xf numFmtId="0" fontId="12" fillId="0" borderId="0" xfId="0" applyFont="1" applyProtection="1">
      <alignment vertical="center"/>
      <protection locked="0"/>
    </xf>
    <xf numFmtId="0" fontId="11" fillId="0" borderId="0" xfId="0" applyFont="1" applyProtection="1">
      <alignment vertical="center"/>
      <protection locked="0"/>
    </xf>
    <xf numFmtId="0" fontId="9" fillId="0" borderId="0" xfId="0" applyFont="1">
      <alignment vertical="center"/>
    </xf>
    <xf numFmtId="0" fontId="8" fillId="0" borderId="0" xfId="0" applyFont="1">
      <alignment vertical="center"/>
    </xf>
    <xf numFmtId="0" fontId="10" fillId="0" borderId="0" xfId="0" applyFont="1">
      <alignmen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3" borderId="0" xfId="0" applyFill="1" applyAlignment="1">
      <alignment horizontal="center" vertical="center"/>
    </xf>
    <xf numFmtId="0" fontId="4" fillId="2" borderId="1" xfId="0" applyFont="1" applyFill="1" applyBorder="1">
      <alignment vertical="center"/>
    </xf>
    <xf numFmtId="0" fontId="4" fillId="2" borderId="4" xfId="0" applyFont="1" applyFill="1" applyBorder="1">
      <alignment vertical="center"/>
    </xf>
    <xf numFmtId="0" fontId="4" fillId="2" borderId="8" xfId="0" applyFont="1" applyFill="1" applyBorder="1" applyAlignment="1">
      <alignment horizontal="center" vertical="center"/>
    </xf>
    <xf numFmtId="0" fontId="0" fillId="0" borderId="0" xfId="0" applyAlignment="1"/>
    <xf numFmtId="14" fontId="2" fillId="0" borderId="10" xfId="0" applyNumberFormat="1" applyFont="1" applyBorder="1" applyAlignment="1">
      <alignment horizontal="center" vertical="center"/>
    </xf>
    <xf numFmtId="177" fontId="2" fillId="0" borderId="10" xfId="0" applyNumberFormat="1" applyFont="1" applyBorder="1" applyAlignment="1">
      <alignment horizontal="center" vertical="center"/>
    </xf>
    <xf numFmtId="49" fontId="2" fillId="0" borderId="11" xfId="0" applyNumberFormat="1" applyFont="1" applyBorder="1" applyAlignment="1">
      <alignment horizontal="center" vertical="center"/>
    </xf>
    <xf numFmtId="0" fontId="2" fillId="8" borderId="13" xfId="0" applyFont="1" applyFill="1" applyBorder="1" applyAlignment="1">
      <alignment horizontal="center" vertical="center"/>
    </xf>
    <xf numFmtId="49" fontId="2" fillId="0" borderId="14" xfId="0" applyNumberFormat="1" applyFont="1" applyBorder="1" applyAlignment="1">
      <alignment horizontal="center" vertical="center"/>
    </xf>
    <xf numFmtId="0" fontId="18" fillId="9" borderId="10" xfId="0" applyFont="1" applyFill="1" applyBorder="1" applyAlignment="1">
      <alignment horizontal="center" vertical="center"/>
    </xf>
    <xf numFmtId="0" fontId="19" fillId="6" borderId="13" xfId="0" applyFont="1" applyFill="1" applyBorder="1">
      <alignment vertical="center"/>
    </xf>
    <xf numFmtId="0" fontId="19" fillId="6" borderId="18" xfId="0" applyFont="1" applyFill="1" applyBorder="1" applyAlignment="1">
      <alignment horizontal="center" vertical="center"/>
    </xf>
    <xf numFmtId="0" fontId="19" fillId="6" borderId="19" xfId="0" applyFont="1" applyFill="1" applyBorder="1" applyAlignment="1">
      <alignment horizontal="center" vertical="center"/>
    </xf>
    <xf numFmtId="0" fontId="2" fillId="0" borderId="13" xfId="0" applyFont="1" applyBorder="1" applyAlignment="1">
      <alignment horizontal="center" vertical="center"/>
    </xf>
    <xf numFmtId="179" fontId="19" fillId="0" borderId="20" xfId="0" applyNumberFormat="1" applyFont="1" applyBorder="1" applyAlignment="1">
      <alignment horizontal="center" vertical="center"/>
    </xf>
    <xf numFmtId="14" fontId="2" fillId="0" borderId="21" xfId="0" applyNumberFormat="1" applyFont="1" applyBorder="1" applyAlignment="1">
      <alignment horizontal="center" vertical="center"/>
    </xf>
    <xf numFmtId="180" fontId="2" fillId="0" borderId="13" xfId="0" applyNumberFormat="1" applyFont="1" applyBorder="1" applyAlignment="1">
      <alignment horizontal="center" vertical="center"/>
    </xf>
    <xf numFmtId="0" fontId="2" fillId="0" borderId="23" xfId="0" applyFont="1" applyBorder="1" applyAlignment="1">
      <alignment horizontal="center" vertical="center"/>
    </xf>
    <xf numFmtId="178" fontId="2" fillId="0" borderId="23" xfId="0" applyNumberFormat="1" applyFont="1" applyBorder="1" applyAlignment="1">
      <alignment horizontal="center" vertical="center"/>
    </xf>
    <xf numFmtId="0" fontId="2" fillId="8" borderId="25" xfId="0" applyFont="1" applyFill="1" applyBorder="1" applyAlignment="1">
      <alignment horizontal="center" vertical="center"/>
    </xf>
    <xf numFmtId="178" fontId="2" fillId="0" borderId="25" xfId="0" applyNumberFormat="1" applyFont="1" applyBorder="1" applyAlignment="1">
      <alignment horizontal="center" vertical="center"/>
    </xf>
    <xf numFmtId="0" fontId="18" fillId="9" borderId="23" xfId="0" applyFont="1" applyFill="1" applyBorder="1" applyAlignment="1">
      <alignment horizontal="center" vertical="center"/>
    </xf>
    <xf numFmtId="49" fontId="14" fillId="6" borderId="25" xfId="0" applyNumberFormat="1" applyFont="1" applyFill="1" applyBorder="1" applyAlignment="1">
      <alignment horizontal="center" vertical="center"/>
    </xf>
    <xf numFmtId="0" fontId="21" fillId="0" borderId="23" xfId="0" applyFont="1" applyBorder="1" applyAlignment="1">
      <alignment horizontal="center" vertical="center"/>
    </xf>
    <xf numFmtId="0" fontId="21" fillId="0" borderId="29" xfId="0" applyFont="1" applyBorder="1" applyAlignment="1">
      <alignment horizontal="center" vertical="center"/>
    </xf>
    <xf numFmtId="0" fontId="2" fillId="0" borderId="25" xfId="0" applyFont="1" applyBorder="1" applyAlignment="1">
      <alignment horizontal="center" vertical="center"/>
    </xf>
    <xf numFmtId="182" fontId="13" fillId="0" borderId="30" xfId="0" applyNumberFormat="1" applyFont="1" applyBorder="1" applyAlignment="1">
      <alignment horizontal="center" vertical="center"/>
    </xf>
    <xf numFmtId="0" fontId="2" fillId="0" borderId="31" xfId="0" applyFont="1" applyBorder="1" applyAlignment="1">
      <alignment horizontal="center" vertical="center"/>
    </xf>
    <xf numFmtId="14" fontId="2" fillId="0" borderId="11" xfId="0" applyNumberFormat="1" applyFont="1" applyBorder="1" applyAlignment="1">
      <alignment horizontal="center" vertical="center"/>
    </xf>
    <xf numFmtId="0" fontId="2" fillId="0" borderId="11" xfId="0" applyFont="1" applyBorder="1" applyAlignment="1">
      <alignment horizontal="center" vertical="center"/>
    </xf>
    <xf numFmtId="0" fontId="31" fillId="10" borderId="32" xfId="0" applyFont="1" applyFill="1" applyBorder="1" applyAlignment="1">
      <alignment horizontal="center" vertical="center"/>
    </xf>
    <xf numFmtId="178" fontId="2" fillId="0" borderId="32" xfId="0" applyNumberFormat="1" applyFont="1" applyBorder="1" applyAlignment="1">
      <alignment horizontal="center" vertical="center"/>
    </xf>
    <xf numFmtId="0" fontId="2" fillId="0" borderId="36" xfId="0" applyFont="1" applyBorder="1" applyAlignment="1">
      <alignment horizontal="center" vertical="center"/>
    </xf>
    <xf numFmtId="0" fontId="18" fillId="11" borderId="11" xfId="0" applyFont="1" applyFill="1" applyBorder="1" applyAlignment="1">
      <alignment horizontal="center" vertical="center"/>
    </xf>
    <xf numFmtId="0" fontId="19" fillId="0" borderId="32" xfId="0" applyFont="1" applyBorder="1">
      <alignment vertical="center"/>
    </xf>
    <xf numFmtId="0" fontId="19" fillId="0" borderId="37" xfId="0" applyFont="1" applyBorder="1" applyAlignment="1">
      <alignment horizontal="center" vertical="center"/>
    </xf>
    <xf numFmtId="0" fontId="19" fillId="0" borderId="36" xfId="0" applyFont="1" applyBorder="1" applyAlignment="1">
      <alignment horizontal="center" vertical="center"/>
    </xf>
    <xf numFmtId="3" fontId="2" fillId="0" borderId="32" xfId="0" applyNumberFormat="1" applyFont="1" applyBorder="1" applyAlignment="1">
      <alignment horizontal="center" vertical="center"/>
    </xf>
    <xf numFmtId="179" fontId="19" fillId="0" borderId="38" xfId="0" applyNumberFormat="1" applyFont="1" applyBorder="1" applyAlignment="1">
      <alignment horizontal="center" vertical="center"/>
    </xf>
    <xf numFmtId="0" fontId="2" fillId="0" borderId="39" xfId="0" applyFont="1" applyBorder="1" applyAlignment="1">
      <alignment horizontal="center" vertical="center"/>
    </xf>
    <xf numFmtId="0" fontId="2" fillId="0" borderId="42" xfId="0" applyFont="1" applyBorder="1" applyAlignment="1">
      <alignment horizontal="center" vertical="center"/>
    </xf>
    <xf numFmtId="0" fontId="2" fillId="10" borderId="25" xfId="0" applyFont="1" applyFill="1" applyBorder="1" applyAlignment="1">
      <alignment horizontal="center" vertical="center"/>
    </xf>
    <xf numFmtId="0" fontId="2" fillId="0" borderId="29" xfId="0" applyFont="1" applyBorder="1" applyAlignment="1">
      <alignment horizontal="center" vertical="center"/>
    </xf>
    <xf numFmtId="0" fontId="18" fillId="11" borderId="42" xfId="0" applyFont="1" applyFill="1" applyBorder="1" applyAlignment="1">
      <alignment horizontal="center" vertical="center"/>
    </xf>
    <xf numFmtId="49" fontId="11" fillId="0" borderId="23" xfId="0" applyNumberFormat="1" applyFont="1" applyBorder="1" applyAlignment="1">
      <alignment horizontal="center" vertical="center"/>
    </xf>
    <xf numFmtId="0" fontId="32" fillId="0" borderId="23" xfId="0" applyFont="1" applyBorder="1" applyAlignment="1">
      <alignment horizontal="center" vertical="center"/>
    </xf>
    <xf numFmtId="0" fontId="32" fillId="0" borderId="29" xfId="0" applyFont="1" applyBorder="1" applyAlignment="1">
      <alignment horizontal="center" vertical="center"/>
    </xf>
    <xf numFmtId="182" fontId="13" fillId="0" borderId="43" xfId="0" applyNumberFormat="1" applyFont="1" applyBorder="1" applyAlignment="1">
      <alignment horizontal="center" vertical="center"/>
    </xf>
    <xf numFmtId="0" fontId="2" fillId="0" borderId="44" xfId="0" applyFont="1" applyBorder="1" applyAlignment="1">
      <alignment horizontal="center" vertical="center"/>
    </xf>
    <xf numFmtId="0" fontId="2" fillId="0" borderId="10" xfId="0" applyFont="1" applyBorder="1" applyAlignment="1">
      <alignment horizontal="center" vertical="center"/>
    </xf>
    <xf numFmtId="0" fontId="2" fillId="10" borderId="13" xfId="0" applyFont="1" applyFill="1" applyBorder="1" applyAlignment="1">
      <alignment horizontal="center" vertical="center"/>
    </xf>
    <xf numFmtId="178" fontId="2" fillId="0" borderId="10" xfId="0" applyNumberFormat="1" applyFont="1" applyBorder="1" applyAlignment="1">
      <alignment horizontal="center" vertical="center"/>
    </xf>
    <xf numFmtId="0" fontId="2" fillId="0" borderId="18" xfId="0" applyFont="1" applyBorder="1" applyAlignment="1">
      <alignment horizontal="center" vertical="center"/>
    </xf>
    <xf numFmtId="0" fontId="18" fillId="11" borderId="10" xfId="0" applyFont="1" applyFill="1" applyBorder="1" applyAlignment="1">
      <alignment horizontal="center" vertical="center"/>
    </xf>
    <xf numFmtId="0" fontId="19" fillId="0" borderId="13" xfId="0" applyFont="1" applyBorder="1">
      <alignment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3" fontId="2" fillId="0" borderId="13" xfId="0" applyNumberFormat="1" applyFont="1" applyBorder="1" applyAlignment="1">
      <alignment horizontal="center" vertical="center"/>
    </xf>
    <xf numFmtId="56" fontId="2" fillId="0" borderId="45" xfId="0" applyNumberFormat="1" applyFont="1" applyBorder="1" applyAlignment="1">
      <alignment horizontal="center" vertical="center"/>
    </xf>
    <xf numFmtId="0" fontId="2" fillId="0" borderId="46" xfId="0" applyFont="1" applyBorder="1" applyAlignment="1">
      <alignment horizontal="center" vertical="center"/>
    </xf>
    <xf numFmtId="0" fontId="18" fillId="11" borderId="23" xfId="0" applyFont="1" applyFill="1" applyBorder="1" applyAlignment="1">
      <alignment horizontal="center" vertical="center"/>
    </xf>
    <xf numFmtId="0" fontId="2" fillId="0" borderId="47" xfId="0" applyFont="1" applyBorder="1" applyAlignment="1">
      <alignment horizontal="center" vertical="center"/>
    </xf>
    <xf numFmtId="0" fontId="2" fillId="0" borderId="14" xfId="0" applyFont="1" applyBorder="1" applyAlignment="1">
      <alignment horizontal="center" vertical="center"/>
    </xf>
    <xf numFmtId="178" fontId="2" fillId="0" borderId="11" xfId="0" applyNumberFormat="1" applyFont="1" applyBorder="1" applyAlignment="1">
      <alignment horizontal="center" vertical="center"/>
    </xf>
    <xf numFmtId="0" fontId="2" fillId="0" borderId="48" xfId="0" applyFont="1" applyBorder="1" applyAlignment="1">
      <alignment horizontal="center" vertical="center"/>
    </xf>
    <xf numFmtId="0" fontId="2" fillId="0" borderId="13" xfId="0" applyFont="1" applyBorder="1">
      <alignment vertical="center"/>
    </xf>
    <xf numFmtId="0" fontId="2" fillId="0" borderId="19" xfId="0" applyFont="1" applyBorder="1" applyAlignment="1">
      <alignment horizontal="center" vertical="center"/>
    </xf>
    <xf numFmtId="0" fontId="2" fillId="0" borderId="49" xfId="0" applyFont="1" applyBorder="1" applyAlignment="1">
      <alignment horizontal="center" vertical="center"/>
    </xf>
    <xf numFmtId="49" fontId="11" fillId="0" borderId="42" xfId="0" applyNumberFormat="1" applyFont="1" applyBorder="1" applyAlignment="1">
      <alignment horizontal="center" vertical="center"/>
    </xf>
    <xf numFmtId="0" fontId="32" fillId="0" borderId="42" xfId="0" applyFont="1" applyBorder="1" applyAlignment="1">
      <alignment horizontal="center" vertical="center"/>
    </xf>
    <xf numFmtId="0" fontId="32" fillId="0" borderId="50" xfId="0" applyFont="1" applyBorder="1" applyAlignment="1">
      <alignment horizontal="center" vertical="center"/>
    </xf>
    <xf numFmtId="0" fontId="2" fillId="0" borderId="45" xfId="0" applyFont="1" applyBorder="1" applyAlignment="1">
      <alignment horizontal="center" vertical="center"/>
    </xf>
    <xf numFmtId="0" fontId="21" fillId="0" borderId="42" xfId="0" applyFont="1" applyBorder="1" applyAlignment="1">
      <alignment horizontal="center" vertical="center"/>
    </xf>
    <xf numFmtId="0" fontId="21" fillId="0" borderId="50" xfId="0" applyFont="1" applyBorder="1" applyAlignment="1">
      <alignment horizontal="center" vertical="center"/>
    </xf>
    <xf numFmtId="178" fontId="2" fillId="0" borderId="13" xfId="0" applyNumberFormat="1" applyFont="1" applyBorder="1" applyAlignment="1">
      <alignment horizontal="center" vertical="center"/>
    </xf>
    <xf numFmtId="14" fontId="2" fillId="0" borderId="45" xfId="0" applyNumberFormat="1" applyFont="1" applyBorder="1" applyAlignment="1">
      <alignment horizontal="center" vertical="center"/>
    </xf>
    <xf numFmtId="0" fontId="2" fillId="0" borderId="46" xfId="0" applyFont="1" applyBorder="1">
      <alignment vertical="center"/>
    </xf>
    <xf numFmtId="0" fontId="11" fillId="0" borderId="53" xfId="0" applyFont="1" applyBorder="1" applyAlignment="1">
      <alignment horizontal="center" vertical="center"/>
    </xf>
    <xf numFmtId="0" fontId="11" fillId="0" borderId="23" xfId="0" applyFont="1" applyBorder="1" applyAlignment="1">
      <alignment horizontal="center" vertical="center"/>
    </xf>
    <xf numFmtId="178" fontId="2" fillId="0" borderId="12" xfId="0" applyNumberFormat="1" applyFont="1" applyBorder="1" applyAlignment="1">
      <alignment horizontal="center" vertical="center"/>
    </xf>
    <xf numFmtId="0" fontId="2" fillId="0" borderId="25" xfId="0" applyFont="1" applyBorder="1">
      <alignment vertical="center"/>
    </xf>
    <xf numFmtId="0" fontId="2" fillId="0" borderId="29" xfId="0" applyFont="1" applyBorder="1">
      <alignment vertical="center"/>
    </xf>
    <xf numFmtId="0" fontId="11" fillId="0" borderId="42" xfId="0" applyFont="1" applyBorder="1" applyAlignment="1">
      <alignment horizontal="center" vertical="center"/>
    </xf>
    <xf numFmtId="0" fontId="2" fillId="6" borderId="13" xfId="0" applyFont="1" applyFill="1" applyBorder="1">
      <alignment vertical="center"/>
    </xf>
    <xf numFmtId="0" fontId="2" fillId="6" borderId="18" xfId="0" applyFont="1" applyFill="1" applyBorder="1" applyAlignment="1">
      <alignment horizontal="center" vertical="center"/>
    </xf>
    <xf numFmtId="0" fontId="2" fillId="6" borderId="19" xfId="0" applyFont="1" applyFill="1" applyBorder="1" applyAlignment="1">
      <alignment horizontal="center" vertical="center"/>
    </xf>
    <xf numFmtId="0" fontId="2" fillId="0" borderId="54" xfId="0" applyFont="1" applyBorder="1" applyAlignment="1">
      <alignment horizontal="center" vertical="center"/>
    </xf>
    <xf numFmtId="0" fontId="11" fillId="6" borderId="53" xfId="0" applyFont="1" applyFill="1" applyBorder="1" applyAlignment="1">
      <alignment horizontal="center" vertical="center"/>
    </xf>
    <xf numFmtId="49" fontId="2" fillId="0" borderId="13" xfId="0" applyNumberFormat="1" applyFont="1" applyBorder="1" applyAlignment="1">
      <alignment horizontal="center" vertical="center"/>
    </xf>
    <xf numFmtId="0" fontId="18" fillId="9" borderId="11" xfId="0" applyFont="1" applyFill="1" applyBorder="1" applyAlignment="1">
      <alignment horizontal="center" vertical="center"/>
    </xf>
    <xf numFmtId="0" fontId="2" fillId="6" borderId="55" xfId="0" applyFont="1" applyFill="1" applyBorder="1" applyAlignment="1">
      <alignment horizontal="center" vertical="center"/>
    </xf>
    <xf numFmtId="0" fontId="18" fillId="9" borderId="42" xfId="0" applyFont="1" applyFill="1" applyBorder="1" applyAlignment="1">
      <alignment horizontal="center" vertical="center"/>
    </xf>
    <xf numFmtId="0" fontId="11" fillId="6" borderId="42" xfId="0" applyFont="1" applyFill="1" applyBorder="1" applyAlignment="1">
      <alignment horizontal="center" vertical="center"/>
    </xf>
    <xf numFmtId="0" fontId="11" fillId="6" borderId="13" xfId="0" applyFont="1" applyFill="1" applyBorder="1">
      <alignment vertical="center"/>
    </xf>
    <xf numFmtId="0" fontId="11" fillId="6" borderId="18" xfId="0" applyFont="1" applyFill="1" applyBorder="1" applyAlignment="1">
      <alignment horizontal="center" vertical="center"/>
    </xf>
    <xf numFmtId="0" fontId="11" fillId="6" borderId="19" xfId="0" applyFont="1" applyFill="1" applyBorder="1" applyAlignment="1">
      <alignment horizontal="center" vertical="center"/>
    </xf>
    <xf numFmtId="0" fontId="11" fillId="6" borderId="23" xfId="0" applyFont="1" applyFill="1" applyBorder="1" applyAlignment="1">
      <alignment horizontal="center" vertical="center"/>
    </xf>
    <xf numFmtId="49" fontId="2" fillId="0" borderId="10" xfId="0" applyNumberFormat="1" applyFont="1" applyBorder="1" applyAlignment="1">
      <alignment horizontal="center" vertical="center"/>
    </xf>
    <xf numFmtId="178" fontId="2" fillId="0" borderId="57" xfId="0" applyNumberFormat="1" applyFont="1" applyBorder="1" applyAlignment="1">
      <alignment horizontal="center" vertical="center"/>
    </xf>
    <xf numFmtId="0" fontId="0" fillId="8" borderId="13" xfId="0" applyFill="1" applyBorder="1" applyAlignment="1">
      <alignment horizontal="center" vertical="center"/>
    </xf>
    <xf numFmtId="0" fontId="0" fillId="0" borderId="18" xfId="0" applyBorder="1" applyAlignment="1">
      <alignment horizontal="center" vertical="center"/>
    </xf>
    <xf numFmtId="0" fontId="11" fillId="6" borderId="25" xfId="0" applyFont="1" applyFill="1" applyBorder="1" applyAlignment="1">
      <alignment horizontal="center" vertical="center"/>
    </xf>
    <xf numFmtId="0" fontId="0" fillId="10" borderId="13" xfId="0" applyFill="1" applyBorder="1" applyAlignment="1">
      <alignment horizontal="center" vertical="center"/>
    </xf>
    <xf numFmtId="0" fontId="11" fillId="0" borderId="25" xfId="0" applyFont="1" applyBorder="1" applyAlignment="1">
      <alignment horizontal="center" vertical="center"/>
    </xf>
    <xf numFmtId="0" fontId="33" fillId="6" borderId="25" xfId="0" applyFont="1" applyFill="1" applyBorder="1" applyAlignment="1">
      <alignment horizontal="center" vertical="center"/>
    </xf>
    <xf numFmtId="0" fontId="21" fillId="6" borderId="13" xfId="0" applyFont="1" applyFill="1" applyBorder="1">
      <alignment vertical="center"/>
    </xf>
    <xf numFmtId="0" fontId="21" fillId="6" borderId="18" xfId="0" applyFont="1" applyFill="1" applyBorder="1" applyAlignment="1">
      <alignment horizontal="center" vertical="center"/>
    </xf>
    <xf numFmtId="0" fontId="21" fillId="6" borderId="19" xfId="0" applyFont="1" applyFill="1" applyBorder="1" applyAlignment="1">
      <alignment horizontal="center" vertical="center"/>
    </xf>
    <xf numFmtId="56" fontId="2" fillId="0" borderId="10" xfId="0" applyNumberFormat="1" applyFont="1" applyBorder="1" applyAlignment="1">
      <alignment horizontal="center" vertical="center"/>
    </xf>
    <xf numFmtId="49" fontId="2" fillId="0" borderId="58" xfId="0" applyNumberFormat="1" applyFont="1" applyBorder="1" applyAlignment="1">
      <alignment horizontal="center" vertical="center"/>
    </xf>
    <xf numFmtId="0" fontId="0" fillId="0" borderId="10" xfId="0" applyBorder="1" applyAlignment="1">
      <alignment horizontal="center" vertical="center"/>
    </xf>
    <xf numFmtId="0" fontId="21" fillId="0" borderId="46" xfId="0" applyFont="1" applyBorder="1" applyAlignment="1">
      <alignment horizontal="center" vertical="center"/>
    </xf>
    <xf numFmtId="179" fontId="19" fillId="0" borderId="30" xfId="0" applyNumberFormat="1" applyFont="1" applyBorder="1">
      <alignment vertical="center"/>
    </xf>
    <xf numFmtId="0" fontId="21" fillId="0" borderId="13" xfId="0" applyFont="1" applyBorder="1">
      <alignment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49" fontId="14" fillId="0" borderId="25" xfId="0" applyNumberFormat="1" applyFont="1" applyBorder="1" applyAlignment="1">
      <alignment horizontal="center" vertical="center"/>
    </xf>
    <xf numFmtId="0" fontId="33" fillId="0" borderId="25" xfId="0" applyFont="1" applyBorder="1" applyAlignment="1">
      <alignment horizontal="center" vertical="center"/>
    </xf>
    <xf numFmtId="14" fontId="0" fillId="0" borderId="10" xfId="0" applyNumberFormat="1" applyBorder="1" applyAlignment="1">
      <alignment horizontal="center" vertical="center"/>
    </xf>
    <xf numFmtId="14" fontId="0" fillId="0" borderId="10" xfId="0" applyNumberFormat="1" applyBorder="1">
      <alignment vertical="center"/>
    </xf>
    <xf numFmtId="49" fontId="0" fillId="0" borderId="10" xfId="0" applyNumberFormat="1" applyBorder="1" applyAlignment="1">
      <alignment horizontal="center" vertical="center"/>
    </xf>
    <xf numFmtId="0" fontId="19" fillId="10" borderId="13" xfId="0" applyFont="1" applyFill="1" applyBorder="1" applyAlignment="1">
      <alignment horizontal="center" vertical="center"/>
    </xf>
    <xf numFmtId="49" fontId="0" fillId="0" borderId="58" xfId="0" applyNumberFormat="1" applyBorder="1" applyAlignment="1">
      <alignment horizontal="center" vertical="center"/>
    </xf>
    <xf numFmtId="0" fontId="0" fillId="0" borderId="23" xfId="0" applyBorder="1" applyAlignment="1">
      <alignment horizontal="center" vertical="center"/>
    </xf>
    <xf numFmtId="0" fontId="19" fillId="10" borderId="25" xfId="0" applyFont="1" applyFill="1" applyBorder="1" applyAlignment="1">
      <alignment horizontal="center" vertical="center"/>
    </xf>
    <xf numFmtId="183" fontId="0" fillId="0" borderId="57" xfId="0" applyNumberFormat="1" applyBorder="1" applyAlignment="1">
      <alignment horizontal="center" vertical="center"/>
    </xf>
    <xf numFmtId="49" fontId="33" fillId="0" borderId="25" xfId="0" applyNumberFormat="1" applyFont="1" applyBorder="1" applyAlignment="1">
      <alignment horizontal="center" vertical="center"/>
    </xf>
    <xf numFmtId="49" fontId="2" fillId="0" borderId="59" xfId="0" applyNumberFormat="1" applyFont="1" applyBorder="1" applyAlignment="1">
      <alignment horizontal="center" vertical="center"/>
    </xf>
    <xf numFmtId="179" fontId="19" fillId="0" borderId="20" xfId="0" applyNumberFormat="1" applyFont="1" applyBorder="1">
      <alignment vertical="center"/>
    </xf>
    <xf numFmtId="0" fontId="19" fillId="0" borderId="30" xfId="0" applyFont="1" applyBorder="1" applyAlignment="1">
      <alignment horizontal="center" vertical="center"/>
    </xf>
    <xf numFmtId="0" fontId="19" fillId="0" borderId="46" xfId="0" applyFont="1" applyBorder="1" applyAlignment="1">
      <alignment horizontal="center" vertical="center"/>
    </xf>
    <xf numFmtId="0" fontId="0" fillId="0" borderId="19" xfId="0" applyBorder="1" applyAlignment="1">
      <alignment horizontal="center" vertical="center"/>
    </xf>
    <xf numFmtId="178" fontId="0" fillId="0" borderId="23" xfId="0" applyNumberFormat="1" applyBorder="1" applyAlignment="1">
      <alignment horizontal="center" vertical="center"/>
    </xf>
    <xf numFmtId="49" fontId="0" fillId="0" borderId="14" xfId="0" applyNumberFormat="1" applyBorder="1" applyAlignment="1">
      <alignment horizontal="center" vertical="center"/>
    </xf>
    <xf numFmtId="0" fontId="34" fillId="0" borderId="19" xfId="0" applyFont="1" applyBorder="1" applyAlignment="1">
      <alignment horizontal="center" vertical="center"/>
    </xf>
    <xf numFmtId="0" fontId="0" fillId="0" borderId="13" xfId="0" applyBorder="1" applyAlignment="1">
      <alignment horizontal="center" vertical="center"/>
    </xf>
    <xf numFmtId="0" fontId="32" fillId="0" borderId="13" xfId="0" applyFont="1" applyBorder="1" applyAlignment="1">
      <alignment horizontal="center" vertical="center"/>
    </xf>
    <xf numFmtId="0" fontId="37" fillId="0" borderId="25" xfId="0" applyFont="1" applyBorder="1" applyAlignment="1">
      <alignment horizontal="center" vertical="center"/>
    </xf>
    <xf numFmtId="0" fontId="38" fillId="0" borderId="13" xfId="0" applyFont="1" applyBorder="1" applyAlignment="1">
      <alignment horizontal="center" vertical="center"/>
    </xf>
    <xf numFmtId="178" fontId="39" fillId="0" borderId="23" xfId="0" applyNumberFormat="1" applyFont="1" applyBorder="1" applyAlignment="1">
      <alignment horizontal="center" vertical="center"/>
    </xf>
    <xf numFmtId="178" fontId="17" fillId="0" borderId="16" xfId="0" applyNumberFormat="1" applyFont="1" applyBorder="1" applyAlignment="1">
      <alignment horizontal="center" vertical="center"/>
    </xf>
    <xf numFmtId="178" fontId="17" fillId="0" borderId="27" xfId="0" applyNumberFormat="1" applyFont="1" applyBorder="1" applyAlignment="1">
      <alignment horizontal="center" vertical="center"/>
    </xf>
    <xf numFmtId="178" fontId="17" fillId="0" borderId="40" xfId="0" applyNumberFormat="1" applyFont="1" applyBorder="1" applyAlignment="1">
      <alignment horizontal="center" vertical="center"/>
    </xf>
    <xf numFmtId="181" fontId="20" fillId="0" borderId="12" xfId="0" applyNumberFormat="1" applyFont="1" applyBorder="1" applyAlignment="1">
      <alignment horizontal="center" vertical="center"/>
    </xf>
    <xf numFmtId="181" fontId="20" fillId="0" borderId="24" xfId="0" applyNumberFormat="1" applyFont="1" applyBorder="1" applyAlignment="1">
      <alignment horizontal="center" vertical="center"/>
    </xf>
    <xf numFmtId="38" fontId="17" fillId="0" borderId="17" xfId="1" applyFont="1" applyBorder="1" applyAlignment="1">
      <alignment horizontal="center" vertical="center"/>
    </xf>
    <xf numFmtId="38" fontId="17" fillId="0" borderId="28" xfId="1" applyFont="1" applyBorder="1" applyAlignment="1">
      <alignment horizontal="center" vertical="center"/>
    </xf>
    <xf numFmtId="0" fontId="16" fillId="7" borderId="9" xfId="0" applyFont="1" applyFill="1" applyBorder="1" applyAlignment="1">
      <alignment horizontal="center" vertical="center"/>
    </xf>
    <xf numFmtId="0" fontId="16" fillId="7" borderId="22" xfId="0" applyFont="1" applyFill="1" applyBorder="1" applyAlignment="1">
      <alignment horizontal="center" vertical="center"/>
    </xf>
    <xf numFmtId="49" fontId="2" fillId="8" borderId="12" xfId="0" applyNumberFormat="1" applyFont="1" applyFill="1" applyBorder="1" applyAlignment="1">
      <alignment horizontal="center" vertical="center"/>
    </xf>
    <xf numFmtId="49" fontId="2" fillId="8" borderId="24" xfId="0" applyNumberFormat="1" applyFont="1" applyFill="1" applyBorder="1" applyAlignment="1">
      <alignment horizontal="center" vertical="center"/>
    </xf>
    <xf numFmtId="0" fontId="0" fillId="0" borderId="15" xfId="0" applyBorder="1" applyAlignment="1">
      <alignment horizontal="center" vertical="center"/>
    </xf>
    <xf numFmtId="0" fontId="0" fillId="0" borderId="26" xfId="0" applyBorder="1" applyAlignment="1">
      <alignment horizontal="center" vertical="center"/>
    </xf>
    <xf numFmtId="0" fontId="2" fillId="0" borderId="15" xfId="0" applyFont="1" applyBorder="1" applyAlignment="1">
      <alignment horizontal="center" vertical="center"/>
    </xf>
    <xf numFmtId="38" fontId="17" fillId="0" borderId="17" xfId="1" applyFont="1" applyFill="1" applyBorder="1" applyAlignment="1">
      <alignment horizontal="center" vertical="center"/>
    </xf>
    <xf numFmtId="38" fontId="17" fillId="0" borderId="28" xfId="1" applyFont="1" applyFill="1" applyBorder="1" applyAlignment="1">
      <alignment horizontal="center" vertical="center"/>
    </xf>
    <xf numFmtId="49" fontId="2" fillId="10" borderId="12" xfId="0" applyNumberFormat="1" applyFont="1" applyFill="1" applyBorder="1" applyAlignment="1">
      <alignment horizontal="center" vertical="center"/>
    </xf>
    <xf numFmtId="49" fontId="2" fillId="10" borderId="24" xfId="0" applyNumberFormat="1" applyFont="1" applyFill="1" applyBorder="1" applyAlignment="1">
      <alignment horizontal="center" vertical="center"/>
    </xf>
    <xf numFmtId="181" fontId="20" fillId="0" borderId="41" xfId="0" applyNumberFormat="1" applyFont="1" applyBorder="1" applyAlignment="1">
      <alignment horizontal="center" vertical="center"/>
    </xf>
    <xf numFmtId="38" fontId="17" fillId="0" borderId="6" xfId="1" applyFont="1" applyBorder="1" applyAlignment="1">
      <alignment horizontal="center" vertical="center"/>
    </xf>
    <xf numFmtId="0" fontId="2" fillId="0" borderId="56" xfId="0" applyFont="1" applyBorder="1" applyAlignment="1">
      <alignment horizontal="center" vertical="center"/>
    </xf>
    <xf numFmtId="0" fontId="2" fillId="0" borderId="26" xfId="0" applyFont="1" applyBorder="1" applyAlignment="1">
      <alignment horizontal="center" vertical="center"/>
    </xf>
    <xf numFmtId="0" fontId="2" fillId="0" borderId="25" xfId="0" applyFont="1" applyBorder="1" applyAlignment="1">
      <alignment horizontal="center" vertical="center"/>
    </xf>
    <xf numFmtId="0" fontId="2" fillId="0" borderId="29" xfId="0" applyFont="1" applyBorder="1" applyAlignment="1">
      <alignment horizontal="center" vertical="center"/>
    </xf>
    <xf numFmtId="49" fontId="2" fillId="8" borderId="41" xfId="0" applyNumberFormat="1" applyFont="1" applyFill="1" applyBorder="1" applyAlignment="1">
      <alignment horizontal="center" vertical="center"/>
    </xf>
    <xf numFmtId="178" fontId="17" fillId="0" borderId="51" xfId="0" applyNumberFormat="1" applyFont="1" applyBorder="1" applyAlignment="1">
      <alignment horizontal="center" vertical="center"/>
    </xf>
    <xf numFmtId="178" fontId="17" fillId="0" borderId="52" xfId="0" applyNumberFormat="1" applyFont="1" applyBorder="1" applyAlignment="1">
      <alignment horizontal="center" vertical="center"/>
    </xf>
    <xf numFmtId="0" fontId="4" fillId="2" borderId="2" xfId="0" applyFont="1" applyFill="1" applyBorder="1" applyAlignment="1">
      <alignment horizontal="center" vertical="center"/>
    </xf>
    <xf numFmtId="0" fontId="0" fillId="0" borderId="3" xfId="0" applyBorder="1" applyAlignment="1"/>
    <xf numFmtId="49" fontId="2" fillId="10" borderId="9" xfId="0" applyNumberFormat="1" applyFont="1" applyFill="1" applyBorder="1" applyAlignment="1">
      <alignment horizontal="center" vertical="center"/>
    </xf>
    <xf numFmtId="0" fontId="2" fillId="0" borderId="33" xfId="0" applyFont="1" applyBorder="1" applyAlignment="1">
      <alignment horizontal="center" vertical="center"/>
    </xf>
    <xf numFmtId="178" fontId="17" fillId="0" borderId="34" xfId="0" applyNumberFormat="1" applyFont="1" applyBorder="1" applyAlignment="1">
      <alignment horizontal="center" vertical="center"/>
    </xf>
    <xf numFmtId="38" fontId="17" fillId="0" borderId="35" xfId="1" applyFont="1" applyFill="1" applyBorder="1" applyAlignment="1">
      <alignment horizontal="center" vertical="center"/>
    </xf>
    <xf numFmtId="0" fontId="0" fillId="3" borderId="0" xfId="0" applyFill="1" applyAlignment="1">
      <alignment horizontal="center" vertical="center"/>
    </xf>
    <xf numFmtId="0" fontId="0" fillId="4" borderId="0" xfId="0" applyFill="1" applyProtection="1">
      <alignment vertical="center"/>
      <protection locked="0"/>
    </xf>
  </cellXfs>
  <cellStyles count="2">
    <cellStyle name="桁区切り" xfId="1" builtinId="6"/>
    <cellStyle name="標準" xfId="0" builtinId="0"/>
  </cellStyles>
  <dxfs count="4">
    <dxf>
      <fill>
        <patternFill>
          <bgColor theme="7" tint="0.79998168889431442"/>
        </patternFill>
      </fill>
    </dxf>
    <dxf>
      <fill>
        <patternFill>
          <bgColor rgb="FFFFFF00"/>
        </patternFill>
      </fill>
    </dxf>
    <dxf>
      <fill>
        <patternFill>
          <bgColor rgb="FFFFFF00"/>
        </patternFill>
      </fill>
    </dxf>
    <dxf>
      <fill>
        <patternFill>
          <bgColor rgb="FFFFCC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464820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472440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937260</xdr:colOff>
          <xdr:row>0</xdr:row>
          <xdr:rowOff>152400</xdr:rowOff>
        </xdr:from>
        <xdr:to>
          <xdr:col>5</xdr:col>
          <xdr:colOff>1836420</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3</xdr:row>
          <xdr:rowOff>220980</xdr:rowOff>
        </xdr:from>
        <xdr:to>
          <xdr:col>6</xdr:col>
          <xdr:colOff>259080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omments" Target="../comments1.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操作手順">
    <tabColor theme="6" tint="-0.249977111117893"/>
  </sheetPr>
  <dimension ref="A1:A111"/>
  <sheetViews>
    <sheetView workbookViewId="0">
      <selection activeCell="E11" sqref="E11"/>
    </sheetView>
  </sheetViews>
  <sheetFormatPr defaultColWidth="9" defaultRowHeight="18"/>
  <cols>
    <col min="1" max="1" width="9" style="1" customWidth="1"/>
    <col min="2" max="16384" width="9" style="1"/>
  </cols>
  <sheetData>
    <row r="1" spans="1:1" ht="22.2" customHeight="1">
      <c r="A1" s="23" t="s">
        <v>22</v>
      </c>
    </row>
    <row r="2" spans="1:1">
      <c r="A2" s="24" t="s">
        <v>23</v>
      </c>
    </row>
    <row r="4" spans="1:1" ht="39" customHeight="1">
      <c r="A4" s="25" t="s">
        <v>24</v>
      </c>
    </row>
    <row r="6" spans="1:1">
      <c r="A6" t="s">
        <v>25</v>
      </c>
    </row>
    <row r="7" spans="1:1">
      <c r="A7" t="s">
        <v>26</v>
      </c>
    </row>
    <row r="9" spans="1:1" ht="22.2" customHeight="1">
      <c r="A9" s="23" t="s">
        <v>27</v>
      </c>
    </row>
    <row r="10" spans="1:1">
      <c r="A10" s="19"/>
    </row>
    <row r="11" spans="1:1">
      <c r="A11" s="20" t="s">
        <v>28</v>
      </c>
    </row>
    <row r="12" spans="1:1">
      <c r="A12" s="19" t="s">
        <v>29</v>
      </c>
    </row>
    <row r="13" spans="1:1">
      <c r="A13" s="19"/>
    </row>
    <row r="14" spans="1:1">
      <c r="A14" s="20" t="s">
        <v>30</v>
      </c>
    </row>
    <row r="15" spans="1:1">
      <c r="A15" s="19" t="s">
        <v>31</v>
      </c>
    </row>
    <row r="16" spans="1:1">
      <c r="A16" s="19"/>
    </row>
    <row r="17" spans="1:1">
      <c r="A17" s="20" t="s">
        <v>32</v>
      </c>
    </row>
    <row r="18" spans="1:1">
      <c r="A18" s="19" t="s">
        <v>33</v>
      </c>
    </row>
    <row r="19" spans="1:1">
      <c r="A19" s="19"/>
    </row>
    <row r="20" spans="1:1">
      <c r="A20" s="20" t="s">
        <v>34</v>
      </c>
    </row>
    <row r="21" spans="1:1">
      <c r="A21" s="19" t="s">
        <v>31</v>
      </c>
    </row>
    <row r="25" spans="1:1" ht="39" customHeight="1">
      <c r="A25" s="18" t="s">
        <v>35</v>
      </c>
    </row>
    <row r="27" spans="1:1">
      <c r="A27" s="1" t="s">
        <v>36</v>
      </c>
    </row>
    <row r="28" spans="1:1">
      <c r="A28" s="1" t="s">
        <v>37</v>
      </c>
    </row>
    <row r="30" spans="1:1" ht="28.8" customHeight="1">
      <c r="A30" s="21" t="s">
        <v>38</v>
      </c>
    </row>
    <row r="32" spans="1:1">
      <c r="A32" s="1" t="s">
        <v>39</v>
      </c>
    </row>
    <row r="33" spans="1:1">
      <c r="A33" s="1" t="s">
        <v>40</v>
      </c>
    </row>
    <row r="34" spans="1:1">
      <c r="A34" s="19"/>
    </row>
    <row r="35" spans="1:1">
      <c r="A35" s="20" t="s">
        <v>41</v>
      </c>
    </row>
    <row r="36" spans="1:1">
      <c r="A36" s="19" t="s">
        <v>42</v>
      </c>
    </row>
    <row r="37" spans="1:1">
      <c r="A37" s="19"/>
    </row>
    <row r="38" spans="1:1">
      <c r="A38" s="20" t="s">
        <v>43</v>
      </c>
    </row>
    <row r="39" spans="1:1">
      <c r="A39" s="19" t="s">
        <v>44</v>
      </c>
    </row>
    <row r="40" spans="1:1">
      <c r="A40" s="19"/>
    </row>
    <row r="41" spans="1:1">
      <c r="A41" s="20" t="s">
        <v>45</v>
      </c>
    </row>
    <row r="42" spans="1:1">
      <c r="A42" s="19" t="s">
        <v>46</v>
      </c>
    </row>
    <row r="45" spans="1:1" ht="28.8" customHeight="1">
      <c r="A45" s="21" t="s">
        <v>47</v>
      </c>
    </row>
    <row r="47" spans="1:1">
      <c r="A47" s="1" t="s">
        <v>48</v>
      </c>
    </row>
    <row r="48" spans="1:1">
      <c r="A48" s="1" t="s">
        <v>49</v>
      </c>
    </row>
    <row r="49" spans="1:1">
      <c r="A49" s="19"/>
    </row>
    <row r="50" spans="1:1">
      <c r="A50" s="20" t="s">
        <v>41</v>
      </c>
    </row>
    <row r="51" spans="1:1">
      <c r="A51" s="19" t="s">
        <v>42</v>
      </c>
    </row>
    <row r="52" spans="1:1">
      <c r="A52" s="19"/>
    </row>
    <row r="53" spans="1:1">
      <c r="A53" s="20" t="s">
        <v>43</v>
      </c>
    </row>
    <row r="54" spans="1:1">
      <c r="A54" s="19" t="s">
        <v>44</v>
      </c>
    </row>
    <row r="55" spans="1:1">
      <c r="A55" s="19"/>
    </row>
    <row r="56" spans="1:1">
      <c r="A56" s="20" t="s">
        <v>50</v>
      </c>
    </row>
    <row r="57" spans="1:1">
      <c r="A57" s="19" t="s">
        <v>51</v>
      </c>
    </row>
    <row r="60" spans="1:1" ht="28.8" customHeight="1">
      <c r="A60" s="21" t="s">
        <v>52</v>
      </c>
    </row>
    <row r="61" spans="1:1">
      <c r="A61" s="19"/>
    </row>
    <row r="62" spans="1:1">
      <c r="A62" s="20" t="s">
        <v>41</v>
      </c>
    </row>
    <row r="63" spans="1:1">
      <c r="A63" s="19" t="s">
        <v>53</v>
      </c>
    </row>
    <row r="64" spans="1:1">
      <c r="A64" s="19"/>
    </row>
    <row r="65" spans="1:1">
      <c r="A65" s="20" t="s">
        <v>43</v>
      </c>
    </row>
    <row r="66" spans="1:1">
      <c r="A66" s="19" t="s">
        <v>54</v>
      </c>
    </row>
    <row r="70" spans="1:1" ht="39" customHeight="1">
      <c r="A70" s="18" t="s">
        <v>55</v>
      </c>
    </row>
    <row r="72" spans="1:1">
      <c r="A72" s="1" t="s">
        <v>56</v>
      </c>
    </row>
    <row r="74" spans="1:1" ht="22.2" customHeight="1">
      <c r="A74" s="17" t="s">
        <v>57</v>
      </c>
    </row>
    <row r="75" spans="1:1">
      <c r="A75" s="19"/>
    </row>
    <row r="76" spans="1:1">
      <c r="A76" s="19" t="s">
        <v>58</v>
      </c>
    </row>
    <row r="77" spans="1:1">
      <c r="A77" s="19" t="s">
        <v>59</v>
      </c>
    </row>
    <row r="78" spans="1:1">
      <c r="A78" s="19" t="s">
        <v>60</v>
      </c>
    </row>
    <row r="80" spans="1:1" ht="22.2" customHeight="1">
      <c r="A80" s="17" t="s">
        <v>61</v>
      </c>
    </row>
    <row r="81" spans="1:1">
      <c r="A81" s="19"/>
    </row>
    <row r="82" spans="1:1">
      <c r="A82" s="19" t="s">
        <v>62</v>
      </c>
    </row>
    <row r="83" spans="1:1">
      <c r="A83" s="19" t="s">
        <v>63</v>
      </c>
    </row>
    <row r="87" spans="1:1" ht="39" customHeight="1">
      <c r="A87" s="18" t="s">
        <v>64</v>
      </c>
    </row>
    <row r="88" spans="1:1">
      <c r="A88" s="19"/>
    </row>
    <row r="89" spans="1:1">
      <c r="A89" s="20" t="s">
        <v>65</v>
      </c>
    </row>
    <row r="90" spans="1:1">
      <c r="A90" s="20" t="s">
        <v>66</v>
      </c>
    </row>
    <row r="91" spans="1:1">
      <c r="A91" s="20" t="s">
        <v>67</v>
      </c>
    </row>
    <row r="92" spans="1:1">
      <c r="A92" s="20" t="s">
        <v>68</v>
      </c>
    </row>
    <row r="96" spans="1:1" ht="39" customHeight="1">
      <c r="A96" s="18" t="s">
        <v>69</v>
      </c>
    </row>
    <row r="97" spans="1:1">
      <c r="A97" s="19"/>
    </row>
    <row r="98" spans="1:1">
      <c r="A98" s="19" t="s">
        <v>70</v>
      </c>
    </row>
    <row r="99" spans="1:1">
      <c r="A99" s="20" t="s">
        <v>71</v>
      </c>
    </row>
    <row r="100" spans="1:1">
      <c r="A100" s="19" t="s">
        <v>72</v>
      </c>
    </row>
    <row r="101" spans="1:1">
      <c r="A101" s="19" t="s">
        <v>73</v>
      </c>
    </row>
    <row r="105" spans="1:1" ht="39" customHeight="1">
      <c r="A105" s="18" t="s">
        <v>74</v>
      </c>
    </row>
    <row r="107" spans="1:1">
      <c r="A107" s="22" t="s">
        <v>75</v>
      </c>
    </row>
    <row r="108" spans="1:1">
      <c r="A108" s="1" t="s">
        <v>76</v>
      </c>
    </row>
    <row r="109" spans="1:1">
      <c r="A109" s="1" t="s">
        <v>77</v>
      </c>
    </row>
    <row r="110" spans="1:1">
      <c r="A110" s="1" t="s">
        <v>78</v>
      </c>
    </row>
    <row r="111" spans="1:1">
      <c r="A111" s="1" t="s">
        <v>79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残った仕入番号"/>
  <dimension ref="A1:L16"/>
  <sheetViews>
    <sheetView workbookViewId="0">
      <pane ySplit="9" topLeftCell="A10" activePane="bottomLeft" state="frozen"/>
      <selection pane="bottomLeft" activeCell="F2" sqref="F2:H2"/>
    </sheetView>
  </sheetViews>
  <sheetFormatPr defaultColWidth="8.59765625" defaultRowHeight="18"/>
  <cols>
    <col min="1" max="1" width="10.69921875" style="12" customWidth="1"/>
    <col min="2" max="2" width="13.69921875" style="11" customWidth="1"/>
    <col min="3" max="3" width="8.59765625" style="11" customWidth="1"/>
    <col min="4" max="16384" width="8.59765625" style="11"/>
  </cols>
  <sheetData>
    <row r="1" spans="1:12">
      <c r="A1" s="2"/>
      <c r="B1" s="2"/>
      <c r="C1" s="2"/>
      <c r="D1" s="2"/>
      <c r="E1" s="2"/>
      <c r="F1" s="2"/>
      <c r="G1" s="2"/>
      <c r="H1" s="2"/>
      <c r="I1" s="2"/>
      <c r="J1" s="2"/>
      <c r="K1" s="2"/>
      <c r="L1" s="2"/>
    </row>
    <row r="2" spans="1:12">
      <c r="A2" s="2"/>
      <c r="B2" s="13"/>
      <c r="C2" s="14"/>
      <c r="D2" s="15"/>
      <c r="E2" s="2"/>
      <c r="F2" s="202"/>
      <c r="G2" s="203"/>
      <c r="H2" s="203"/>
      <c r="I2" s="15"/>
      <c r="J2" s="2"/>
      <c r="K2" s="2"/>
      <c r="L2" s="2"/>
    </row>
    <row r="3" spans="1:12">
      <c r="A3" s="2"/>
      <c r="B3" s="2"/>
      <c r="C3" s="2"/>
      <c r="D3" s="2"/>
      <c r="E3" s="2"/>
      <c r="F3" s="2"/>
      <c r="G3" s="2"/>
      <c r="H3" s="2"/>
      <c r="I3" s="2"/>
      <c r="J3" s="2"/>
      <c r="K3" s="2"/>
      <c r="L3" s="2"/>
    </row>
    <row r="4" spans="1:12">
      <c r="A4" s="2"/>
      <c r="B4" s="2"/>
      <c r="C4" s="2"/>
      <c r="D4" s="2"/>
      <c r="E4" s="2"/>
      <c r="F4" s="2"/>
      <c r="G4" s="2"/>
      <c r="H4" s="2"/>
      <c r="I4" s="2"/>
      <c r="J4" s="2"/>
      <c r="K4" s="2"/>
      <c r="L4" s="2"/>
    </row>
    <row r="5" spans="1:12">
      <c r="A5" s="2"/>
      <c r="B5" s="3"/>
      <c r="C5" s="2"/>
      <c r="D5" s="2"/>
      <c r="E5" s="2"/>
      <c r="F5" s="2"/>
      <c r="G5" s="2"/>
      <c r="H5" s="2"/>
      <c r="I5" s="2"/>
      <c r="J5" s="2"/>
      <c r="K5" s="2"/>
      <c r="L5" s="2"/>
    </row>
    <row r="6" spans="1:12">
      <c r="A6" s="2"/>
      <c r="B6" s="2"/>
      <c r="C6" s="2"/>
      <c r="D6" s="2"/>
      <c r="E6" s="2"/>
      <c r="F6" s="2"/>
      <c r="G6" s="2"/>
      <c r="H6" s="2"/>
      <c r="I6" s="2"/>
      <c r="J6" s="2"/>
      <c r="K6" s="2"/>
      <c r="L6" s="2"/>
    </row>
    <row r="7" spans="1:12">
      <c r="A7" s="2"/>
      <c r="B7" s="2"/>
      <c r="C7" s="2"/>
      <c r="D7" s="2"/>
      <c r="E7" s="2"/>
      <c r="F7" s="2"/>
      <c r="G7" s="2"/>
      <c r="H7" s="2"/>
      <c r="I7" s="2"/>
      <c r="J7" s="2"/>
      <c r="K7" s="2"/>
      <c r="L7" s="2"/>
    </row>
    <row r="8" spans="1:12">
      <c r="A8" s="2"/>
      <c r="B8" s="2"/>
      <c r="C8" s="2"/>
      <c r="D8" s="2"/>
      <c r="E8" s="2"/>
      <c r="F8" s="2"/>
      <c r="G8" s="2"/>
      <c r="H8" s="2"/>
      <c r="I8" s="2"/>
      <c r="J8" s="2"/>
      <c r="K8" s="2"/>
      <c r="L8" s="2"/>
    </row>
    <row r="9" spans="1:12">
      <c r="A9" s="2"/>
      <c r="B9" s="2"/>
      <c r="C9" s="2"/>
      <c r="D9" s="2"/>
      <c r="E9" s="2"/>
      <c r="F9" s="2"/>
      <c r="G9" s="2"/>
      <c r="H9" s="2"/>
      <c r="I9" s="2"/>
      <c r="J9" s="2"/>
      <c r="K9" s="2"/>
      <c r="L9" s="2"/>
    </row>
    <row r="10" spans="1:12">
      <c r="A10" s="12" t="s">
        <v>80</v>
      </c>
    </row>
    <row r="11" spans="1:12">
      <c r="A11" s="12" t="s">
        <v>81</v>
      </c>
    </row>
    <row r="12" spans="1:12">
      <c r="A12" s="12" t="s">
        <v>82</v>
      </c>
    </row>
    <row r="13" spans="1:12">
      <c r="A13" s="12" t="s">
        <v>83</v>
      </c>
    </row>
    <row r="14" spans="1:12">
      <c r="A14" s="12" t="s">
        <v>84</v>
      </c>
    </row>
    <row r="15" spans="1:12">
      <c r="A15" s="12" t="s">
        <v>85</v>
      </c>
    </row>
    <row r="16" spans="1:12">
      <c r="A16" s="12" t="s">
        <v>86</v>
      </c>
    </row>
  </sheetData>
  <mergeCells count="1">
    <mergeCell ref="F2:H2"/>
  </mergeCells>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在庫管理表の本体"/>
  <dimension ref="A1:AD1463"/>
  <sheetViews>
    <sheetView tabSelected="1" zoomScale="80" zoomScaleNormal="80" workbookViewId="0">
      <pane xSplit="7" ySplit="9" topLeftCell="V10" activePane="bottomRight" state="frozen"/>
      <selection pane="topRight" activeCell="J1" sqref="J1"/>
      <selection pane="bottomLeft" activeCell="A10" sqref="A10"/>
      <selection pane="bottomRight" activeCell="X17" sqref="X17"/>
    </sheetView>
  </sheetViews>
  <sheetFormatPr defaultColWidth="9" defaultRowHeight="18"/>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6.796875" style="32" customWidth="1"/>
  </cols>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3"/>
      <c r="C2" s="3"/>
      <c r="D2" s="2"/>
      <c r="E2" s="2"/>
      <c r="F2" s="2"/>
      <c r="G2" s="2"/>
      <c r="H2" s="2"/>
      <c r="I2" s="2"/>
      <c r="J2" s="2"/>
      <c r="K2" s="2"/>
      <c r="L2" s="2"/>
      <c r="M2" s="2"/>
      <c r="N2" s="2"/>
      <c r="O2" s="2"/>
      <c r="P2" s="2"/>
      <c r="Q2" s="2"/>
      <c r="R2" s="2"/>
      <c r="S2" s="2"/>
      <c r="T2" s="2"/>
      <c r="U2" s="2"/>
      <c r="V2" s="2"/>
      <c r="W2" s="2"/>
      <c r="X2" s="2"/>
      <c r="Y2" s="2"/>
      <c r="Z2" s="2"/>
      <c r="AA2" s="2"/>
      <c r="AB2" s="2"/>
      <c r="AC2" s="2"/>
      <c r="AD2" s="2"/>
    </row>
    <row r="3" spans="1:30">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row r="9" spans="1:30" ht="18.600000000000001" customHeight="1" thickBot="1">
      <c r="A9" s="4" t="s">
        <v>0</v>
      </c>
      <c r="B9" s="5" t="s">
        <v>1</v>
      </c>
      <c r="C9" s="6" t="s">
        <v>2</v>
      </c>
      <c r="D9" s="5" t="s">
        <v>3</v>
      </c>
      <c r="E9" s="196" t="s">
        <v>4</v>
      </c>
      <c r="F9" s="197"/>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95</v>
      </c>
    </row>
    <row r="10" spans="1:30" ht="17.100000000000001" customHeight="1" thickTop="1">
      <c r="A10" s="176" t="s">
        <v>96</v>
      </c>
      <c r="B10" s="57">
        <v>36329</v>
      </c>
      <c r="C10" s="58"/>
      <c r="D10" s="58" t="s">
        <v>97</v>
      </c>
      <c r="E10" s="198"/>
      <c r="F10" s="59" t="s">
        <v>98</v>
      </c>
      <c r="G10" s="37"/>
      <c r="H10" s="199"/>
      <c r="I10" s="60">
        <v>430000</v>
      </c>
      <c r="J10" s="60">
        <v>21500</v>
      </c>
      <c r="K10" s="60" t="s">
        <v>99</v>
      </c>
      <c r="L10" s="60" t="s">
        <v>100</v>
      </c>
      <c r="M10" s="60" t="s">
        <v>101</v>
      </c>
      <c r="N10" s="200">
        <v>879965</v>
      </c>
      <c r="O10" s="201">
        <v>20000</v>
      </c>
      <c r="P10" s="61" t="s">
        <v>102</v>
      </c>
      <c r="Q10" s="62" t="s">
        <v>88</v>
      </c>
      <c r="R10" s="63"/>
      <c r="S10" s="64"/>
      <c r="T10" s="65"/>
      <c r="U10" s="66">
        <v>100000</v>
      </c>
      <c r="V10" s="67"/>
      <c r="W10" s="68"/>
      <c r="X10" s="45"/>
      <c r="Y10" s="171"/>
      <c r="Z10" s="171">
        <f>Y10*0.1</f>
        <v>0</v>
      </c>
      <c r="AA10" s="171"/>
      <c r="AB10" s="171">
        <f>SUM(Y10:AA10)</f>
        <v>0</v>
      </c>
      <c r="AC10" s="187"/>
      <c r="AD10"/>
    </row>
    <row r="11" spans="1:30" ht="17.100000000000001" customHeight="1" thickBot="1">
      <c r="A11" s="177"/>
      <c r="B11" s="69" t="s">
        <v>103</v>
      </c>
      <c r="C11" s="69"/>
      <c r="D11" s="69" t="s">
        <v>104</v>
      </c>
      <c r="E11" s="186"/>
      <c r="F11" s="70" t="s">
        <v>105</v>
      </c>
      <c r="G11" s="49"/>
      <c r="H11" s="190"/>
      <c r="I11" s="49" t="s">
        <v>106</v>
      </c>
      <c r="J11" s="49" t="s">
        <v>107</v>
      </c>
      <c r="K11" s="49" t="s">
        <v>108</v>
      </c>
      <c r="L11" s="49" t="s">
        <v>109</v>
      </c>
      <c r="M11" s="49"/>
      <c r="N11" s="170"/>
      <c r="O11" s="184"/>
      <c r="P11" s="71" t="s">
        <v>110</v>
      </c>
      <c r="Q11" s="72" t="s">
        <v>89</v>
      </c>
      <c r="R11" s="73"/>
      <c r="S11" s="74"/>
      <c r="T11" s="75"/>
      <c r="U11" s="54"/>
      <c r="V11" s="76"/>
      <c r="W11" s="77"/>
      <c r="X11" s="54"/>
      <c r="Y11" s="170"/>
      <c r="Z11" s="170"/>
      <c r="AA11" s="170"/>
      <c r="AB11" s="170"/>
      <c r="AC11" s="173"/>
      <c r="AD11"/>
    </row>
    <row r="12" spans="1:30" ht="17.100000000000001" customHeight="1" thickTop="1">
      <c r="A12" s="176" t="s">
        <v>111</v>
      </c>
      <c r="B12" s="33">
        <v>37996</v>
      </c>
      <c r="C12" s="78"/>
      <c r="D12" s="78" t="s">
        <v>112</v>
      </c>
      <c r="E12" s="185"/>
      <c r="F12" s="79" t="s">
        <v>113</v>
      </c>
      <c r="G12" s="37"/>
      <c r="H12" s="182"/>
      <c r="I12" s="80">
        <v>560000</v>
      </c>
      <c r="J12" s="80">
        <v>28000</v>
      </c>
      <c r="K12" s="80"/>
      <c r="L12" s="80"/>
      <c r="M12" s="80">
        <v>4200</v>
      </c>
      <c r="N12" s="169">
        <v>592885</v>
      </c>
      <c r="O12" s="183">
        <v>20000</v>
      </c>
      <c r="P12" s="81" t="s">
        <v>114</v>
      </c>
      <c r="Q12" s="82" t="s">
        <v>88</v>
      </c>
      <c r="R12" s="83"/>
      <c r="S12" s="84"/>
      <c r="T12" s="85"/>
      <c r="U12" s="86">
        <v>354800</v>
      </c>
      <c r="V12" s="43"/>
      <c r="W12" s="87"/>
      <c r="X12" s="45"/>
      <c r="Y12" s="169"/>
      <c r="Z12" s="171">
        <f>Y12*0.1</f>
        <v>0</v>
      </c>
      <c r="AA12" s="169"/>
      <c r="AB12" s="169">
        <f>SUM(Y12:AA12)</f>
        <v>0</v>
      </c>
      <c r="AC12" s="172"/>
      <c r="AD12"/>
    </row>
    <row r="13" spans="1:30" ht="17.100000000000001" customHeight="1" thickBot="1">
      <c r="A13" s="177"/>
      <c r="B13" s="46" t="s">
        <v>115</v>
      </c>
      <c r="C13" s="46"/>
      <c r="D13" s="46" t="s">
        <v>116</v>
      </c>
      <c r="E13" s="186"/>
      <c r="F13" s="70" t="s">
        <v>117</v>
      </c>
      <c r="G13" s="49"/>
      <c r="H13" s="190"/>
      <c r="I13" s="54" t="s">
        <v>118</v>
      </c>
      <c r="J13" s="54"/>
      <c r="K13" s="54"/>
      <c r="L13" s="54"/>
      <c r="M13" s="54"/>
      <c r="N13" s="170"/>
      <c r="O13" s="184"/>
      <c r="P13" s="88" t="s">
        <v>119</v>
      </c>
      <c r="Q13" s="89" t="s">
        <v>89</v>
      </c>
      <c r="R13" s="73"/>
      <c r="S13" s="74"/>
      <c r="T13" s="75"/>
      <c r="U13" s="54"/>
      <c r="V13" s="55" t="s">
        <v>120</v>
      </c>
      <c r="W13" s="90"/>
      <c r="X13" s="54"/>
      <c r="Y13" s="170"/>
      <c r="Z13" s="170"/>
      <c r="AA13" s="170"/>
      <c r="AB13" s="170"/>
      <c r="AC13" s="173"/>
      <c r="AD13"/>
    </row>
    <row r="14" spans="1:30" ht="17.100000000000001" customHeight="1" thickTop="1">
      <c r="A14" s="176" t="s">
        <v>121</v>
      </c>
      <c r="B14" s="57">
        <v>38325</v>
      </c>
      <c r="C14" s="58"/>
      <c r="D14" s="58" t="s">
        <v>122</v>
      </c>
      <c r="E14" s="185"/>
      <c r="F14" s="79" t="s">
        <v>123</v>
      </c>
      <c r="G14" s="91"/>
      <c r="H14" s="182"/>
      <c r="I14" s="92">
        <v>430000</v>
      </c>
      <c r="J14" s="92">
        <v>21500</v>
      </c>
      <c r="K14" s="92">
        <v>11200</v>
      </c>
      <c r="L14" s="92">
        <v>4200</v>
      </c>
      <c r="M14" s="92"/>
      <c r="N14" s="169">
        <v>541900</v>
      </c>
      <c r="O14" s="183">
        <v>20000</v>
      </c>
      <c r="P14" s="93" t="s">
        <v>124</v>
      </c>
      <c r="Q14" s="62" t="s">
        <v>88</v>
      </c>
      <c r="R14" s="94"/>
      <c r="S14" s="81"/>
      <c r="T14" s="95"/>
      <c r="U14" s="86">
        <v>100000</v>
      </c>
      <c r="V14" s="43"/>
      <c r="W14" s="68"/>
      <c r="X14" s="45"/>
      <c r="Y14" s="169"/>
      <c r="Z14" s="171">
        <f>Y14*0.1</f>
        <v>0</v>
      </c>
      <c r="AA14" s="169"/>
      <c r="AB14" s="169">
        <f>SUM(Y14:AA14)</f>
        <v>0</v>
      </c>
      <c r="AC14" s="172"/>
      <c r="AD14"/>
    </row>
    <row r="15" spans="1:30" ht="17.100000000000001" customHeight="1" thickBot="1">
      <c r="A15" s="177"/>
      <c r="B15" s="69" t="s">
        <v>115</v>
      </c>
      <c r="C15" s="69"/>
      <c r="D15" s="69" t="s">
        <v>125</v>
      </c>
      <c r="E15" s="186"/>
      <c r="F15" s="70" t="s">
        <v>126</v>
      </c>
      <c r="G15" s="49">
        <v>98100</v>
      </c>
      <c r="H15" s="190"/>
      <c r="I15" s="54" t="s">
        <v>127</v>
      </c>
      <c r="J15" s="54" t="s">
        <v>128</v>
      </c>
      <c r="K15" s="54" t="s">
        <v>129</v>
      </c>
      <c r="L15" s="54" t="s">
        <v>130</v>
      </c>
      <c r="M15" s="54"/>
      <c r="N15" s="170"/>
      <c r="O15" s="184"/>
      <c r="P15" s="96" t="s">
        <v>131</v>
      </c>
      <c r="Q15" s="72" t="s">
        <v>89</v>
      </c>
      <c r="R15" s="97"/>
      <c r="S15" s="98"/>
      <c r="T15" s="99"/>
      <c r="U15" s="54"/>
      <c r="V15" s="55" t="s">
        <v>120</v>
      </c>
      <c r="W15" s="77"/>
      <c r="X15" s="54"/>
      <c r="Y15" s="170"/>
      <c r="Z15" s="170"/>
      <c r="AA15" s="170"/>
      <c r="AB15" s="170"/>
      <c r="AC15" s="173"/>
      <c r="AD15"/>
    </row>
    <row r="16" spans="1:30" ht="17.100000000000001" customHeight="1" thickTop="1">
      <c r="A16" s="176" t="s">
        <v>132</v>
      </c>
      <c r="B16" s="33">
        <v>38596</v>
      </c>
      <c r="C16" s="78"/>
      <c r="D16" s="78" t="s">
        <v>133</v>
      </c>
      <c r="E16" s="185"/>
      <c r="F16" s="79" t="s">
        <v>134</v>
      </c>
      <c r="G16" s="37"/>
      <c r="H16" s="182"/>
      <c r="I16" s="80">
        <v>1000000</v>
      </c>
      <c r="J16" s="80">
        <v>50000</v>
      </c>
      <c r="K16" s="80"/>
      <c r="L16" s="80"/>
      <c r="M16" s="80">
        <v>21000</v>
      </c>
      <c r="N16" s="169">
        <v>1071850</v>
      </c>
      <c r="O16" s="183">
        <v>20000</v>
      </c>
      <c r="P16" s="81" t="s">
        <v>135</v>
      </c>
      <c r="Q16" s="82" t="s">
        <v>88</v>
      </c>
      <c r="R16" s="94"/>
      <c r="S16" s="81"/>
      <c r="T16" s="95"/>
      <c r="U16" s="86">
        <v>315000</v>
      </c>
      <c r="V16" s="43"/>
      <c r="W16" s="100"/>
      <c r="X16" s="45"/>
      <c r="Y16" s="169"/>
      <c r="Z16" s="171">
        <f>Y16*0.1</f>
        <v>0</v>
      </c>
      <c r="AA16" s="169"/>
      <c r="AB16" s="169">
        <f>SUM(Y16:AA16)</f>
        <v>0</v>
      </c>
      <c r="AC16" s="172"/>
      <c r="AD16"/>
    </row>
    <row r="17" spans="1:30" ht="17.100000000000001" customHeight="1" thickBot="1">
      <c r="A17" s="177"/>
      <c r="B17" s="46" t="s">
        <v>136</v>
      </c>
      <c r="C17" s="46"/>
      <c r="D17" s="46" t="s">
        <v>137</v>
      </c>
      <c r="E17" s="186"/>
      <c r="F17" s="70" t="s">
        <v>138</v>
      </c>
      <c r="G17" s="49"/>
      <c r="H17" s="190"/>
      <c r="I17" s="54" t="s">
        <v>139</v>
      </c>
      <c r="J17" s="54"/>
      <c r="K17" s="54"/>
      <c r="L17" s="54"/>
      <c r="M17" s="54"/>
      <c r="N17" s="170"/>
      <c r="O17" s="184"/>
      <c r="P17" s="88" t="s">
        <v>140</v>
      </c>
      <c r="Q17" s="89" t="s">
        <v>89</v>
      </c>
      <c r="R17" s="73"/>
      <c r="S17" s="52"/>
      <c r="T17" s="53"/>
      <c r="U17" s="54"/>
      <c r="V17" s="55" t="s">
        <v>120</v>
      </c>
      <c r="W17" s="90"/>
      <c r="X17" s="54"/>
      <c r="Y17" s="170"/>
      <c r="Z17" s="170"/>
      <c r="AA17" s="170"/>
      <c r="AB17" s="170"/>
      <c r="AC17" s="173"/>
      <c r="AD17"/>
    </row>
    <row r="18" spans="1:30" ht="17.100000000000001" customHeight="1" thickTop="1">
      <c r="A18" s="176" t="s">
        <v>141</v>
      </c>
      <c r="B18" s="57">
        <v>38768</v>
      </c>
      <c r="C18" s="58"/>
      <c r="D18" s="58" t="s">
        <v>142</v>
      </c>
      <c r="E18" s="185"/>
      <c r="F18" s="79" t="s">
        <v>143</v>
      </c>
      <c r="G18" s="37"/>
      <c r="H18" s="182"/>
      <c r="I18" s="92">
        <v>320000</v>
      </c>
      <c r="J18" s="92">
        <v>16000</v>
      </c>
      <c r="K18" s="92"/>
      <c r="L18" s="92"/>
      <c r="M18" s="92">
        <v>18375</v>
      </c>
      <c r="N18" s="169">
        <v>376110</v>
      </c>
      <c r="O18" s="183">
        <v>20000</v>
      </c>
      <c r="P18" s="93" t="s">
        <v>144</v>
      </c>
      <c r="Q18" s="62" t="s">
        <v>88</v>
      </c>
      <c r="R18" s="94"/>
      <c r="S18" s="81"/>
      <c r="T18" s="95"/>
      <c r="U18" s="42">
        <v>341500</v>
      </c>
      <c r="V18" s="43"/>
      <c r="W18" s="68"/>
      <c r="X18" s="45"/>
      <c r="Y18" s="169"/>
      <c r="Z18" s="171">
        <f>Y18*0.1</f>
        <v>0</v>
      </c>
      <c r="AA18" s="169"/>
      <c r="AB18" s="169">
        <f>SUM(Y18:AA18)</f>
        <v>0</v>
      </c>
      <c r="AC18" s="172"/>
      <c r="AD18"/>
    </row>
    <row r="19" spans="1:30" ht="17.100000000000001" customHeight="1" thickBot="1">
      <c r="A19" s="177"/>
      <c r="B19" s="69" t="s">
        <v>145</v>
      </c>
      <c r="C19" s="69"/>
      <c r="D19" s="69" t="s">
        <v>146</v>
      </c>
      <c r="E19" s="186"/>
      <c r="F19" s="70" t="s">
        <v>147</v>
      </c>
      <c r="G19" s="49"/>
      <c r="H19" s="190"/>
      <c r="I19" s="54" t="s">
        <v>148</v>
      </c>
      <c r="J19" s="54" t="s">
        <v>149</v>
      </c>
      <c r="K19" s="92"/>
      <c r="L19" s="92"/>
      <c r="M19" s="92"/>
      <c r="N19" s="170"/>
      <c r="O19" s="184"/>
      <c r="P19" s="96" t="s">
        <v>150</v>
      </c>
      <c r="Q19" s="72" t="s">
        <v>89</v>
      </c>
      <c r="R19" s="97"/>
      <c r="S19" s="101" t="s">
        <v>151</v>
      </c>
      <c r="T19" s="102"/>
      <c r="U19" s="54"/>
      <c r="V19" s="55"/>
      <c r="W19" s="77"/>
      <c r="X19" s="54"/>
      <c r="Y19" s="170"/>
      <c r="Z19" s="170"/>
      <c r="AA19" s="170"/>
      <c r="AB19" s="170"/>
      <c r="AC19" s="173"/>
      <c r="AD19"/>
    </row>
    <row r="20" spans="1:30" ht="17.100000000000001" customHeight="1" thickTop="1">
      <c r="A20" s="176" t="s">
        <v>152</v>
      </c>
      <c r="B20" s="33">
        <v>38792</v>
      </c>
      <c r="C20" s="78"/>
      <c r="D20" s="78" t="s">
        <v>153</v>
      </c>
      <c r="E20" s="185"/>
      <c r="F20" s="79" t="s">
        <v>154</v>
      </c>
      <c r="G20" s="37"/>
      <c r="H20" s="182"/>
      <c r="I20" s="103">
        <v>710000</v>
      </c>
      <c r="J20" s="103">
        <v>35500</v>
      </c>
      <c r="K20" s="103"/>
      <c r="L20" s="103"/>
      <c r="M20" s="103">
        <v>10500</v>
      </c>
      <c r="N20" s="194">
        <v>788596</v>
      </c>
      <c r="O20" s="183">
        <v>20000</v>
      </c>
      <c r="P20" s="81" t="s">
        <v>155</v>
      </c>
      <c r="Q20" s="82" t="s">
        <v>88</v>
      </c>
      <c r="R20" s="94"/>
      <c r="S20" s="81"/>
      <c r="T20" s="95"/>
      <c r="U20" s="42">
        <v>400000</v>
      </c>
      <c r="V20" s="43"/>
      <c r="W20" s="104"/>
      <c r="X20" s="45"/>
      <c r="Y20" s="169"/>
      <c r="Z20" s="171">
        <v>0</v>
      </c>
      <c r="AA20" s="169"/>
      <c r="AB20" s="169">
        <f>SUM(Y20:AA20)</f>
        <v>0</v>
      </c>
      <c r="AC20" s="172"/>
      <c r="AD20"/>
    </row>
    <row r="21" spans="1:30" ht="17.100000000000001" customHeight="1" thickBot="1">
      <c r="A21" s="177"/>
      <c r="B21" s="46" t="s">
        <v>156</v>
      </c>
      <c r="C21" s="46"/>
      <c r="D21" s="46" t="s">
        <v>137</v>
      </c>
      <c r="E21" s="186"/>
      <c r="F21" s="70" t="s">
        <v>157</v>
      </c>
      <c r="G21" s="49"/>
      <c r="H21" s="190"/>
      <c r="I21" s="54" t="s">
        <v>158</v>
      </c>
      <c r="J21" s="105"/>
      <c r="K21" s="71"/>
      <c r="L21" s="191" t="s">
        <v>159</v>
      </c>
      <c r="M21" s="192"/>
      <c r="N21" s="195"/>
      <c r="O21" s="184"/>
      <c r="P21" s="96" t="s">
        <v>160</v>
      </c>
      <c r="Q21" s="72" t="s">
        <v>89</v>
      </c>
      <c r="R21" s="106"/>
      <c r="S21" s="101" t="s">
        <v>161</v>
      </c>
      <c r="T21" s="102"/>
      <c r="U21" s="54"/>
      <c r="V21" s="55" t="s">
        <v>120</v>
      </c>
      <c r="W21" s="77"/>
      <c r="X21" s="54"/>
      <c r="Y21" s="170"/>
      <c r="Z21" s="170"/>
      <c r="AA21" s="170"/>
      <c r="AB21" s="170"/>
      <c r="AC21" s="173"/>
      <c r="AD21"/>
    </row>
    <row r="22" spans="1:30" ht="17.100000000000001" customHeight="1" thickTop="1">
      <c r="A22" s="176" t="s">
        <v>162</v>
      </c>
      <c r="B22" s="33">
        <v>38920</v>
      </c>
      <c r="C22" s="78"/>
      <c r="D22" s="78" t="s">
        <v>153</v>
      </c>
      <c r="E22" s="185"/>
      <c r="F22" s="79" t="s">
        <v>163</v>
      </c>
      <c r="G22" s="37"/>
      <c r="H22" s="182"/>
      <c r="I22" s="80">
        <v>795000</v>
      </c>
      <c r="J22" s="80">
        <v>39750</v>
      </c>
      <c r="K22" s="80"/>
      <c r="L22" s="80"/>
      <c r="M22" s="80">
        <v>8610</v>
      </c>
      <c r="N22" s="169">
        <v>886785</v>
      </c>
      <c r="O22" s="183">
        <v>20000</v>
      </c>
      <c r="P22" s="81" t="s">
        <v>164</v>
      </c>
      <c r="Q22" s="82" t="s">
        <v>88</v>
      </c>
      <c r="R22" s="94"/>
      <c r="S22" s="81"/>
      <c r="T22" s="95"/>
      <c r="U22" s="42">
        <v>147000</v>
      </c>
      <c r="V22" s="43"/>
      <c r="W22" s="104"/>
      <c r="X22" s="45"/>
      <c r="Y22" s="169"/>
      <c r="Z22" s="171">
        <f>Y22*0.1</f>
        <v>0</v>
      </c>
      <c r="AA22" s="169"/>
      <c r="AB22" s="169">
        <f>SUM(Y22:AA22)</f>
        <v>0</v>
      </c>
      <c r="AC22" s="172"/>
      <c r="AD22"/>
    </row>
    <row r="23" spans="1:30" ht="17.100000000000001" customHeight="1" thickBot="1">
      <c r="A23" s="177"/>
      <c r="B23" s="46" t="s">
        <v>115</v>
      </c>
      <c r="C23" s="46"/>
      <c r="D23" s="46" t="s">
        <v>165</v>
      </c>
      <c r="E23" s="186"/>
      <c r="F23" s="70" t="s">
        <v>166</v>
      </c>
      <c r="G23" s="49"/>
      <c r="H23" s="190"/>
      <c r="I23" s="54" t="s">
        <v>167</v>
      </c>
      <c r="J23" s="54" t="s">
        <v>168</v>
      </c>
      <c r="K23" s="54"/>
      <c r="L23" s="54"/>
      <c r="M23" s="54"/>
      <c r="N23" s="170"/>
      <c r="O23" s="184"/>
      <c r="P23" s="88" t="s">
        <v>169</v>
      </c>
      <c r="Q23" s="89" t="s">
        <v>89</v>
      </c>
      <c r="R23" s="107"/>
      <c r="S23" s="74"/>
      <c r="T23" s="75"/>
      <c r="U23" s="54"/>
      <c r="V23" s="55"/>
      <c r="W23" s="90"/>
      <c r="X23" s="54"/>
      <c r="Y23" s="170"/>
      <c r="Z23" s="170"/>
      <c r="AA23" s="170"/>
      <c r="AB23" s="170"/>
      <c r="AC23" s="173"/>
      <c r="AD23"/>
    </row>
    <row r="24" spans="1:30" ht="17.100000000000001" customHeight="1" thickTop="1">
      <c r="A24" s="176" t="s">
        <v>170</v>
      </c>
      <c r="B24" s="33">
        <v>39366</v>
      </c>
      <c r="C24" s="78"/>
      <c r="D24" s="78" t="s">
        <v>122</v>
      </c>
      <c r="E24" s="185"/>
      <c r="F24" s="79" t="s">
        <v>171</v>
      </c>
      <c r="G24" s="37"/>
      <c r="H24" s="182"/>
      <c r="I24" s="108">
        <v>400000</v>
      </c>
      <c r="J24" s="108"/>
      <c r="K24" s="108"/>
      <c r="L24" s="108"/>
      <c r="M24" s="108"/>
      <c r="N24" s="169">
        <f>SUM(I24:M24)</f>
        <v>400000</v>
      </c>
      <c r="O24" s="183">
        <v>20000</v>
      </c>
      <c r="P24" s="81" t="s">
        <v>172</v>
      </c>
      <c r="Q24" s="82" t="s">
        <v>88</v>
      </c>
      <c r="R24" s="94"/>
      <c r="S24" s="81"/>
      <c r="T24" s="95"/>
      <c r="U24" s="42">
        <v>105000</v>
      </c>
      <c r="V24" s="43"/>
      <c r="W24" s="104"/>
      <c r="X24" s="45"/>
      <c r="Y24" s="169"/>
      <c r="Z24" s="171">
        <f>Y24*0.1</f>
        <v>0</v>
      </c>
      <c r="AA24" s="169"/>
      <c r="AB24" s="169">
        <f>SUM(Y24:AA24)</f>
        <v>0</v>
      </c>
      <c r="AC24" s="172"/>
      <c r="AD24"/>
    </row>
    <row r="25" spans="1:30" ht="17.100000000000001" customHeight="1" thickBot="1">
      <c r="A25" s="177"/>
      <c r="B25" s="46" t="s">
        <v>173</v>
      </c>
      <c r="C25" s="46"/>
      <c r="D25" s="46"/>
      <c r="E25" s="186"/>
      <c r="F25" s="70" t="s">
        <v>174</v>
      </c>
      <c r="G25" s="49"/>
      <c r="H25" s="190"/>
      <c r="I25" s="47"/>
      <c r="J25" s="47"/>
      <c r="K25" s="47"/>
      <c r="L25" s="47"/>
      <c r="M25" s="47"/>
      <c r="N25" s="170"/>
      <c r="O25" s="184"/>
      <c r="P25" s="88" t="s">
        <v>175</v>
      </c>
      <c r="Q25" s="89" t="s">
        <v>89</v>
      </c>
      <c r="R25" s="107"/>
      <c r="S25" s="74"/>
      <c r="T25" s="75"/>
      <c r="U25" s="54"/>
      <c r="V25" s="55" t="s">
        <v>120</v>
      </c>
      <c r="W25" s="90"/>
      <c r="X25" s="54"/>
      <c r="Y25" s="170"/>
      <c r="Z25" s="170"/>
      <c r="AA25" s="170"/>
      <c r="AB25" s="170"/>
      <c r="AC25" s="173"/>
      <c r="AD25"/>
    </row>
    <row r="26" spans="1:30" ht="17.100000000000001" customHeight="1" thickTop="1">
      <c r="A26" s="176" t="s">
        <v>176</v>
      </c>
      <c r="B26" s="33">
        <v>39576</v>
      </c>
      <c r="C26" s="78"/>
      <c r="D26" s="78" t="s">
        <v>133</v>
      </c>
      <c r="E26" s="185"/>
      <c r="F26" s="79" t="s">
        <v>177</v>
      </c>
      <c r="G26" s="37"/>
      <c r="H26" s="182"/>
      <c r="I26" s="103">
        <v>383000</v>
      </c>
      <c r="J26" s="103">
        <v>19150</v>
      </c>
      <c r="K26" s="103">
        <v>37500</v>
      </c>
      <c r="L26" s="103">
        <v>19140</v>
      </c>
      <c r="M26" s="103">
        <v>19425</v>
      </c>
      <c r="N26" s="169">
        <v>491445</v>
      </c>
      <c r="O26" s="183">
        <v>20000</v>
      </c>
      <c r="P26" s="81" t="s">
        <v>178</v>
      </c>
      <c r="Q26" s="82" t="s">
        <v>88</v>
      </c>
      <c r="R26" s="94"/>
      <c r="S26" s="81"/>
      <c r="T26" s="95"/>
      <c r="U26" s="42">
        <v>458790</v>
      </c>
      <c r="V26" s="43"/>
      <c r="W26" s="104"/>
      <c r="X26" s="45"/>
      <c r="Y26" s="169"/>
      <c r="Z26" s="171">
        <f>Y26*0.1</f>
        <v>0</v>
      </c>
      <c r="AA26" s="169"/>
      <c r="AB26" s="169">
        <f>SUM(Y26:AA26)</f>
        <v>0</v>
      </c>
      <c r="AC26" s="172"/>
      <c r="AD26"/>
    </row>
    <row r="27" spans="1:30" ht="17.100000000000001" customHeight="1" thickBot="1">
      <c r="A27" s="177"/>
      <c r="B27" s="46" t="s">
        <v>179</v>
      </c>
      <c r="C27" s="46"/>
      <c r="D27" s="46"/>
      <c r="E27" s="186"/>
      <c r="F27" s="70" t="s">
        <v>180</v>
      </c>
      <c r="G27" s="49"/>
      <c r="H27" s="190"/>
      <c r="I27" s="109" t="s">
        <v>181</v>
      </c>
      <c r="J27" s="110"/>
      <c r="K27" s="47"/>
      <c r="L27" s="47"/>
      <c r="M27" s="47"/>
      <c r="N27" s="170"/>
      <c r="O27" s="184"/>
      <c r="P27" s="96" t="s">
        <v>182</v>
      </c>
      <c r="Q27" s="72" t="s">
        <v>89</v>
      </c>
      <c r="R27" s="106"/>
      <c r="S27" s="98"/>
      <c r="T27" s="99"/>
      <c r="U27" s="54"/>
      <c r="V27" s="55" t="s">
        <v>183</v>
      </c>
      <c r="W27" s="90"/>
      <c r="X27" s="54"/>
      <c r="Y27" s="170"/>
      <c r="Z27" s="170"/>
      <c r="AA27" s="170"/>
      <c r="AB27" s="170"/>
      <c r="AC27" s="173"/>
      <c r="AD27"/>
    </row>
    <row r="28" spans="1:30" ht="17.100000000000001" customHeight="1" thickTop="1">
      <c r="A28" s="176" t="s">
        <v>184</v>
      </c>
      <c r="B28" s="33">
        <v>39872</v>
      </c>
      <c r="C28" s="78"/>
      <c r="D28" s="78" t="s">
        <v>185</v>
      </c>
      <c r="E28" s="185"/>
      <c r="F28" s="79" t="s">
        <v>186</v>
      </c>
      <c r="G28" s="37"/>
      <c r="H28" s="182"/>
      <c r="I28" s="80">
        <v>295000</v>
      </c>
      <c r="J28" s="80">
        <v>14750</v>
      </c>
      <c r="K28" s="80">
        <v>3200</v>
      </c>
      <c r="L28" s="80">
        <v>18050</v>
      </c>
      <c r="M28" s="80">
        <v>4305</v>
      </c>
      <c r="N28" s="169">
        <v>346330</v>
      </c>
      <c r="O28" s="183">
        <v>20000</v>
      </c>
      <c r="P28" s="81" t="s">
        <v>187</v>
      </c>
      <c r="Q28" s="82" t="s">
        <v>88</v>
      </c>
      <c r="R28" s="94"/>
      <c r="S28" s="81"/>
      <c r="T28" s="95"/>
      <c r="U28" s="42">
        <v>313000</v>
      </c>
      <c r="V28" s="43"/>
      <c r="W28" s="104"/>
      <c r="X28" s="45"/>
      <c r="Y28" s="169"/>
      <c r="Z28" s="171">
        <f>Y28*0.1</f>
        <v>0</v>
      </c>
      <c r="AA28" s="169"/>
      <c r="AB28" s="169">
        <f>SUM(Y28:AA28)</f>
        <v>0</v>
      </c>
      <c r="AC28" s="172"/>
      <c r="AD28"/>
    </row>
    <row r="29" spans="1:30" ht="17.100000000000001" customHeight="1" thickBot="1">
      <c r="A29" s="177"/>
      <c r="B29" s="46" t="s">
        <v>115</v>
      </c>
      <c r="C29" s="46"/>
      <c r="D29" s="46" t="s">
        <v>188</v>
      </c>
      <c r="E29" s="186"/>
      <c r="F29" s="70" t="s">
        <v>189</v>
      </c>
      <c r="G29" s="49"/>
      <c r="H29" s="190"/>
      <c r="I29" s="54" t="s">
        <v>190</v>
      </c>
      <c r="J29" s="47"/>
      <c r="K29" s="47"/>
      <c r="L29" s="47"/>
      <c r="M29" s="47"/>
      <c r="N29" s="170"/>
      <c r="O29" s="184"/>
      <c r="P29" s="88" t="s">
        <v>191</v>
      </c>
      <c r="Q29" s="89" t="s">
        <v>89</v>
      </c>
      <c r="R29" s="107"/>
      <c r="S29" s="52" t="s">
        <v>151</v>
      </c>
      <c r="T29" s="53"/>
      <c r="U29" s="54"/>
      <c r="V29" s="55" t="s">
        <v>120</v>
      </c>
      <c r="W29" s="90"/>
      <c r="X29" s="54"/>
      <c r="Y29" s="170"/>
      <c r="Z29" s="170"/>
      <c r="AA29" s="170"/>
      <c r="AB29" s="170"/>
      <c r="AC29" s="173"/>
      <c r="AD29"/>
    </row>
    <row r="30" spans="1:30" ht="17.100000000000001" customHeight="1" thickTop="1">
      <c r="A30" s="176" t="s">
        <v>192</v>
      </c>
      <c r="B30" s="57">
        <v>39963</v>
      </c>
      <c r="C30" s="58"/>
      <c r="D30" s="58" t="s">
        <v>193</v>
      </c>
      <c r="E30" s="185"/>
      <c r="F30" s="79" t="s">
        <v>194</v>
      </c>
      <c r="G30" s="37"/>
      <c r="H30" s="182"/>
      <c r="I30" s="92">
        <v>745000</v>
      </c>
      <c r="J30" s="92">
        <v>37250</v>
      </c>
      <c r="K30" s="92"/>
      <c r="L30" s="92">
        <v>19660</v>
      </c>
      <c r="M30" s="92">
        <v>4305</v>
      </c>
      <c r="N30" s="169">
        <f>SUM(I30:M30)</f>
        <v>806215</v>
      </c>
      <c r="O30" s="183">
        <v>20000</v>
      </c>
      <c r="P30" s="93" t="s">
        <v>195</v>
      </c>
      <c r="Q30" s="62" t="s">
        <v>88</v>
      </c>
      <c r="R30" s="94"/>
      <c r="S30" s="81"/>
      <c r="T30" s="95"/>
      <c r="U30" s="42"/>
      <c r="V30" s="43"/>
      <c r="W30" s="104"/>
      <c r="X30" s="45"/>
      <c r="Y30" s="169"/>
      <c r="Z30" s="171">
        <f>Y30*0.1</f>
        <v>0</v>
      </c>
      <c r="AA30" s="169"/>
      <c r="AB30" s="169">
        <f>SUM(Y30:AA30)</f>
        <v>0</v>
      </c>
      <c r="AC30" s="172"/>
      <c r="AD30"/>
    </row>
    <row r="31" spans="1:30" ht="17.100000000000001" customHeight="1" thickBot="1">
      <c r="A31" s="177"/>
      <c r="B31" s="69" t="s">
        <v>115</v>
      </c>
      <c r="C31" s="69"/>
      <c r="D31" s="69" t="s">
        <v>196</v>
      </c>
      <c r="E31" s="186"/>
      <c r="F31" s="70" t="s">
        <v>197</v>
      </c>
      <c r="G31" s="49">
        <v>50901</v>
      </c>
      <c r="H31" s="190"/>
      <c r="I31" s="47"/>
      <c r="J31" s="47"/>
      <c r="K31" s="47"/>
      <c r="L31" s="47"/>
      <c r="M31" s="47"/>
      <c r="N31" s="170"/>
      <c r="O31" s="184"/>
      <c r="P31" s="96" t="s">
        <v>198</v>
      </c>
      <c r="Q31" s="72" t="s">
        <v>89</v>
      </c>
      <c r="R31" s="111"/>
      <c r="S31" s="98"/>
      <c r="T31" s="99"/>
      <c r="U31" s="54"/>
      <c r="V31" s="55"/>
      <c r="W31" s="90"/>
      <c r="X31" s="54"/>
      <c r="Y31" s="170"/>
      <c r="Z31" s="170"/>
      <c r="AA31" s="170"/>
      <c r="AB31" s="170"/>
      <c r="AC31" s="173"/>
      <c r="AD31"/>
    </row>
    <row r="32" spans="1:30" ht="17.100000000000001" customHeight="1" thickTop="1">
      <c r="A32" s="176" t="s">
        <v>199</v>
      </c>
      <c r="B32" s="33">
        <v>40026</v>
      </c>
      <c r="C32" s="78" t="s">
        <v>200</v>
      </c>
      <c r="D32" s="78" t="s">
        <v>201</v>
      </c>
      <c r="E32" s="178"/>
      <c r="F32" s="36" t="s">
        <v>202</v>
      </c>
      <c r="G32" s="37"/>
      <c r="H32" s="182"/>
      <c r="I32" s="103">
        <v>725000</v>
      </c>
      <c r="J32" s="103">
        <v>36250</v>
      </c>
      <c r="K32" s="103"/>
      <c r="L32" s="103">
        <v>19350</v>
      </c>
      <c r="M32" s="103">
        <v>4305</v>
      </c>
      <c r="N32" s="169">
        <f>SUM(I32:M32)</f>
        <v>784905</v>
      </c>
      <c r="O32" s="174">
        <v>20000</v>
      </c>
      <c r="P32" s="81" t="s">
        <v>203</v>
      </c>
      <c r="Q32" s="38" t="s">
        <v>88</v>
      </c>
      <c r="R32" s="112"/>
      <c r="S32" s="113"/>
      <c r="T32" s="114"/>
      <c r="U32" s="42"/>
      <c r="V32" s="43"/>
      <c r="W32" s="104"/>
      <c r="X32" s="45"/>
      <c r="Y32" s="169"/>
      <c r="Z32" s="171">
        <f>Y32*0.1</f>
        <v>0</v>
      </c>
      <c r="AA32" s="169"/>
      <c r="AB32" s="169">
        <f>SUM(Y32:AA32)</f>
        <v>0</v>
      </c>
      <c r="AC32" s="172"/>
      <c r="AD32"/>
    </row>
    <row r="33" spans="1:30" ht="17.100000000000001" customHeight="1" thickBot="1">
      <c r="A33" s="177"/>
      <c r="B33" s="46" t="s">
        <v>115</v>
      </c>
      <c r="C33" s="46">
        <v>80273</v>
      </c>
      <c r="D33" s="46" t="s">
        <v>137</v>
      </c>
      <c r="E33" s="179"/>
      <c r="F33" s="48" t="s">
        <v>204</v>
      </c>
      <c r="G33" s="49">
        <v>50901</v>
      </c>
      <c r="H33" s="190"/>
      <c r="I33" s="47"/>
      <c r="J33" s="47"/>
      <c r="K33" s="47"/>
      <c r="L33" s="47"/>
      <c r="M33" s="47"/>
      <c r="N33" s="170"/>
      <c r="O33" s="175"/>
      <c r="P33" s="115" t="s">
        <v>205</v>
      </c>
      <c r="Q33" s="50" t="s">
        <v>89</v>
      </c>
      <c r="R33" s="116"/>
      <c r="S33" s="101" t="s">
        <v>206</v>
      </c>
      <c r="T33" s="102"/>
      <c r="U33" s="54"/>
      <c r="V33" s="55"/>
      <c r="W33" s="90"/>
      <c r="X33" s="54"/>
      <c r="Y33" s="170"/>
      <c r="Z33" s="170"/>
      <c r="AA33" s="170"/>
      <c r="AB33" s="170"/>
      <c r="AC33" s="173"/>
      <c r="AD33"/>
    </row>
    <row r="34" spans="1:30" ht="17.100000000000001" customHeight="1" thickTop="1">
      <c r="A34" s="176" t="s">
        <v>207</v>
      </c>
      <c r="B34" s="33">
        <v>40575</v>
      </c>
      <c r="C34" s="78" t="s">
        <v>208</v>
      </c>
      <c r="D34" s="78" t="s">
        <v>185</v>
      </c>
      <c r="E34" s="178"/>
      <c r="F34" s="36" t="s">
        <v>209</v>
      </c>
      <c r="G34" s="117"/>
      <c r="H34" s="182"/>
      <c r="I34" s="80">
        <v>842000</v>
      </c>
      <c r="J34" s="80">
        <v>42100</v>
      </c>
      <c r="K34" s="80">
        <v>3200</v>
      </c>
      <c r="L34" s="80">
        <v>16040</v>
      </c>
      <c r="M34" s="80">
        <v>19420</v>
      </c>
      <c r="N34" s="169">
        <v>923390</v>
      </c>
      <c r="O34" s="174">
        <v>70000</v>
      </c>
      <c r="P34" s="93" t="s">
        <v>210</v>
      </c>
      <c r="Q34" s="118" t="s">
        <v>88</v>
      </c>
      <c r="R34" s="112"/>
      <c r="S34" s="113"/>
      <c r="T34" s="119"/>
      <c r="U34" s="91"/>
      <c r="V34" s="43"/>
      <c r="W34" s="104"/>
      <c r="X34" s="45"/>
      <c r="Y34" s="169"/>
      <c r="Z34" s="171">
        <f>Y34*0.1</f>
        <v>0</v>
      </c>
      <c r="AA34" s="169"/>
      <c r="AB34" s="169">
        <f>SUM(Y34:AA34)</f>
        <v>0</v>
      </c>
      <c r="AC34" s="172"/>
      <c r="AD34"/>
    </row>
    <row r="35" spans="1:30" ht="17.100000000000001" customHeight="1" thickBot="1">
      <c r="A35" s="177"/>
      <c r="B35" s="46" t="s">
        <v>211</v>
      </c>
      <c r="C35" s="46">
        <v>70861</v>
      </c>
      <c r="D35" s="46" t="s">
        <v>212</v>
      </c>
      <c r="E35" s="179"/>
      <c r="F35" s="48" t="s">
        <v>213</v>
      </c>
      <c r="G35" s="49"/>
      <c r="H35" s="190"/>
      <c r="I35" s="54" t="s">
        <v>214</v>
      </c>
      <c r="J35" s="47"/>
      <c r="K35" s="47"/>
      <c r="L35" s="47"/>
      <c r="M35" s="47"/>
      <c r="N35" s="170"/>
      <c r="O35" s="175"/>
      <c r="P35" s="115" t="s">
        <v>215</v>
      </c>
      <c r="Q35" s="120" t="s">
        <v>89</v>
      </c>
      <c r="R35" s="121"/>
      <c r="S35" s="98"/>
      <c r="T35" s="99"/>
      <c r="U35" s="54"/>
      <c r="V35" s="55" t="s">
        <v>183</v>
      </c>
      <c r="W35" s="90"/>
      <c r="X35" s="54"/>
      <c r="Y35" s="170"/>
      <c r="Z35" s="170"/>
      <c r="AA35" s="170"/>
      <c r="AB35" s="170"/>
      <c r="AC35" s="173"/>
      <c r="AD35"/>
    </row>
    <row r="36" spans="1:30" ht="17.100000000000001" customHeight="1" thickTop="1">
      <c r="A36" s="176" t="s">
        <v>216</v>
      </c>
      <c r="B36" s="57">
        <v>40778</v>
      </c>
      <c r="C36" s="58" t="s">
        <v>217</v>
      </c>
      <c r="D36" s="58" t="s">
        <v>218</v>
      </c>
      <c r="E36" s="193"/>
      <c r="F36" s="36" t="s">
        <v>219</v>
      </c>
      <c r="G36" s="37"/>
      <c r="H36" s="189"/>
      <c r="I36" s="92">
        <v>1235000</v>
      </c>
      <c r="J36" s="92">
        <v>61750</v>
      </c>
      <c r="K36" s="92">
        <v>51300</v>
      </c>
      <c r="L36" s="92">
        <v>20550</v>
      </c>
      <c r="M36" s="92">
        <v>10550</v>
      </c>
      <c r="N36" s="169">
        <f>SUM(I36:M36)</f>
        <v>1379150</v>
      </c>
      <c r="O36" s="174">
        <v>100000</v>
      </c>
      <c r="P36" s="93" t="s">
        <v>220</v>
      </c>
      <c r="Q36" s="118" t="s">
        <v>88</v>
      </c>
      <c r="R36" s="122"/>
      <c r="S36" s="123"/>
      <c r="T36" s="124"/>
      <c r="U36" s="42"/>
      <c r="V36" s="43"/>
      <c r="W36" s="104"/>
      <c r="X36" s="45"/>
      <c r="Y36" s="169"/>
      <c r="Z36" s="171">
        <f>Y36*0.1</f>
        <v>0</v>
      </c>
      <c r="AA36" s="169"/>
      <c r="AB36" s="169">
        <f>SUM(Y36:AA36)</f>
        <v>0</v>
      </c>
      <c r="AC36" s="172"/>
      <c r="AD36"/>
    </row>
    <row r="37" spans="1:30" ht="17.100000000000001" customHeight="1" thickBot="1">
      <c r="A37" s="177"/>
      <c r="B37" s="69" t="s">
        <v>211</v>
      </c>
      <c r="C37" s="69">
        <v>70169</v>
      </c>
      <c r="D37" s="69" t="s">
        <v>137</v>
      </c>
      <c r="E37" s="179"/>
      <c r="F37" s="48" t="s">
        <v>221</v>
      </c>
      <c r="G37" s="49">
        <v>45564</v>
      </c>
      <c r="H37" s="190"/>
      <c r="I37" s="47"/>
      <c r="J37" s="47"/>
      <c r="K37" s="47"/>
      <c r="L37" s="47"/>
      <c r="M37" s="47"/>
      <c r="N37" s="170"/>
      <c r="O37" s="175"/>
      <c r="P37" s="96" t="s">
        <v>222</v>
      </c>
      <c r="Q37" s="120" t="s">
        <v>89</v>
      </c>
      <c r="R37" s="121"/>
      <c r="S37" s="101" t="s">
        <v>223</v>
      </c>
      <c r="T37" s="102"/>
      <c r="U37" s="54"/>
      <c r="V37" s="55"/>
      <c r="W37" s="90"/>
      <c r="X37" s="54"/>
      <c r="Y37" s="170"/>
      <c r="Z37" s="170"/>
      <c r="AA37" s="170"/>
      <c r="AB37" s="170"/>
      <c r="AC37" s="173"/>
      <c r="AD37"/>
    </row>
    <row r="38" spans="1:30" ht="17.100000000000001" customHeight="1" thickTop="1">
      <c r="A38" s="176" t="s">
        <v>224</v>
      </c>
      <c r="B38" s="33">
        <v>40854</v>
      </c>
      <c r="C38" s="78" t="s">
        <v>225</v>
      </c>
      <c r="D38" s="78" t="s">
        <v>226</v>
      </c>
      <c r="E38" s="178"/>
      <c r="F38" s="36" t="s">
        <v>227</v>
      </c>
      <c r="G38" s="37"/>
      <c r="H38" s="182"/>
      <c r="I38" s="80">
        <v>1065000</v>
      </c>
      <c r="J38" s="80">
        <v>53250</v>
      </c>
      <c r="K38" s="80"/>
      <c r="L38" s="80">
        <v>18630</v>
      </c>
      <c r="M38" s="80">
        <v>10500</v>
      </c>
      <c r="N38" s="169">
        <v>1217205</v>
      </c>
      <c r="O38" s="174">
        <v>150000</v>
      </c>
      <c r="P38" s="81" t="s">
        <v>228</v>
      </c>
      <c r="Q38" s="38" t="s">
        <v>88</v>
      </c>
      <c r="R38" s="112"/>
      <c r="S38" s="113"/>
      <c r="T38" s="114"/>
      <c r="U38" s="42"/>
      <c r="V38" s="43"/>
      <c r="W38" s="104"/>
      <c r="X38" s="45"/>
      <c r="Y38" s="169"/>
      <c r="Z38" s="171">
        <f>Y38*0.1</f>
        <v>0</v>
      </c>
      <c r="AA38" s="169"/>
      <c r="AB38" s="169">
        <f>SUM(Y38:AA38)</f>
        <v>0</v>
      </c>
      <c r="AC38" s="172"/>
      <c r="AD38"/>
    </row>
    <row r="39" spans="1:30" ht="17.100000000000001" customHeight="1" thickBot="1">
      <c r="A39" s="177"/>
      <c r="B39" s="46" t="s">
        <v>229</v>
      </c>
      <c r="C39" s="46">
        <v>70185</v>
      </c>
      <c r="D39" s="46" t="s">
        <v>230</v>
      </c>
      <c r="E39" s="179"/>
      <c r="F39" s="48" t="s">
        <v>231</v>
      </c>
      <c r="G39" s="49"/>
      <c r="H39" s="190"/>
      <c r="I39" s="191" t="s">
        <v>232</v>
      </c>
      <c r="J39" s="192"/>
      <c r="K39" s="47"/>
      <c r="L39" s="47"/>
      <c r="M39" s="47"/>
      <c r="N39" s="170"/>
      <c r="O39" s="175"/>
      <c r="P39" s="88" t="s">
        <v>233</v>
      </c>
      <c r="Q39" s="50" t="s">
        <v>89</v>
      </c>
      <c r="R39" s="125"/>
      <c r="S39" s="74"/>
      <c r="T39" s="75"/>
      <c r="U39" s="54"/>
      <c r="V39" s="55"/>
      <c r="W39" s="90"/>
      <c r="X39" s="54"/>
      <c r="Y39" s="170"/>
      <c r="Z39" s="170"/>
      <c r="AA39" s="170"/>
      <c r="AB39" s="170"/>
      <c r="AC39" s="173"/>
      <c r="AD39"/>
    </row>
    <row r="40" spans="1:30" ht="17.100000000000001" customHeight="1" thickTop="1">
      <c r="A40" s="176" t="s">
        <v>234</v>
      </c>
      <c r="B40" s="57">
        <v>40870</v>
      </c>
      <c r="C40" s="58" t="s">
        <v>235</v>
      </c>
      <c r="D40" s="58" t="s">
        <v>193</v>
      </c>
      <c r="E40" s="178"/>
      <c r="F40" s="36" t="s">
        <v>236</v>
      </c>
      <c r="G40" s="37"/>
      <c r="H40" s="182"/>
      <c r="I40" s="92">
        <v>1150000</v>
      </c>
      <c r="J40" s="92">
        <v>57500</v>
      </c>
      <c r="K40" s="92">
        <v>20400</v>
      </c>
      <c r="L40" s="92">
        <v>12600</v>
      </c>
      <c r="M40" s="92">
        <v>19240</v>
      </c>
      <c r="N40" s="169">
        <f>SUM(I40:M40)</f>
        <v>1259740</v>
      </c>
      <c r="O40" s="174">
        <v>100000</v>
      </c>
      <c r="P40" s="93" t="s">
        <v>237</v>
      </c>
      <c r="Q40" s="118" t="s">
        <v>88</v>
      </c>
      <c r="R40" s="112"/>
      <c r="S40" s="113"/>
      <c r="T40" s="114"/>
      <c r="U40" s="42"/>
      <c r="V40" s="43"/>
      <c r="W40" s="104"/>
      <c r="X40" s="45"/>
      <c r="Y40" s="169"/>
      <c r="Z40" s="171">
        <f>Y40*0.1</f>
        <v>0</v>
      </c>
      <c r="AA40" s="169"/>
      <c r="AB40" s="169">
        <f>SUM(Y40:AA40)</f>
        <v>0</v>
      </c>
      <c r="AC40" s="172"/>
      <c r="AD40"/>
    </row>
    <row r="41" spans="1:30" ht="17.100000000000001" customHeight="1" thickBot="1">
      <c r="A41" s="177"/>
      <c r="B41" s="69" t="s">
        <v>145</v>
      </c>
      <c r="C41" s="69">
        <v>30056</v>
      </c>
      <c r="D41" s="69" t="s">
        <v>137</v>
      </c>
      <c r="E41" s="179"/>
      <c r="F41" s="48" t="s">
        <v>238</v>
      </c>
      <c r="G41" s="49">
        <v>59357</v>
      </c>
      <c r="H41" s="190"/>
      <c r="I41" s="47"/>
      <c r="J41" s="47"/>
      <c r="K41" s="47"/>
      <c r="L41" s="47"/>
      <c r="M41" s="47"/>
      <c r="N41" s="170"/>
      <c r="O41" s="175"/>
      <c r="P41" s="96" t="s">
        <v>239</v>
      </c>
      <c r="Q41" s="120" t="s">
        <v>89</v>
      </c>
      <c r="R41" s="121"/>
      <c r="S41" s="101" t="s">
        <v>240</v>
      </c>
      <c r="T41" s="102"/>
      <c r="U41" s="54"/>
      <c r="V41" s="55"/>
      <c r="W41" s="90"/>
      <c r="X41" s="54"/>
      <c r="Y41" s="170"/>
      <c r="Z41" s="170"/>
      <c r="AA41" s="170"/>
      <c r="AB41" s="170"/>
      <c r="AC41" s="173"/>
      <c r="AD41"/>
    </row>
    <row r="42" spans="1:30" ht="17.100000000000001" customHeight="1" thickTop="1">
      <c r="A42" s="176" t="s">
        <v>241</v>
      </c>
      <c r="B42" s="33">
        <v>40969</v>
      </c>
      <c r="C42" s="78" t="s">
        <v>242</v>
      </c>
      <c r="D42" s="78"/>
      <c r="E42" s="178"/>
      <c r="F42" s="36" t="s">
        <v>243</v>
      </c>
      <c r="G42" s="37"/>
      <c r="H42" s="182"/>
      <c r="I42" s="103">
        <v>965000</v>
      </c>
      <c r="J42" s="103">
        <v>48250</v>
      </c>
      <c r="K42" s="103"/>
      <c r="L42" s="103">
        <v>22250</v>
      </c>
      <c r="M42" s="103">
        <v>10500</v>
      </c>
      <c r="N42" s="169">
        <v>1046630</v>
      </c>
      <c r="O42" s="174">
        <v>100000</v>
      </c>
      <c r="P42" s="81" t="s">
        <v>244</v>
      </c>
      <c r="Q42" s="38" t="s">
        <v>88</v>
      </c>
      <c r="R42" s="122"/>
      <c r="S42" s="123"/>
      <c r="T42" s="124"/>
      <c r="U42" s="42"/>
      <c r="V42" s="43"/>
      <c r="W42" s="104"/>
      <c r="X42" s="45"/>
      <c r="Y42" s="169"/>
      <c r="Z42" s="171">
        <f>Y42*0.1</f>
        <v>0</v>
      </c>
      <c r="AA42" s="169"/>
      <c r="AB42" s="169">
        <f>SUM(Y42:AA42)</f>
        <v>0</v>
      </c>
      <c r="AC42" s="172"/>
      <c r="AD42"/>
    </row>
    <row r="43" spans="1:30" ht="17.100000000000001" customHeight="1" thickBot="1">
      <c r="A43" s="177"/>
      <c r="B43" s="46" t="s">
        <v>136</v>
      </c>
      <c r="C43" s="46">
        <v>570</v>
      </c>
      <c r="D43" s="46"/>
      <c r="E43" s="179"/>
      <c r="F43" s="48" t="s">
        <v>245</v>
      </c>
      <c r="G43" s="49"/>
      <c r="H43" s="190"/>
      <c r="I43" s="54" t="s">
        <v>214</v>
      </c>
      <c r="J43" s="47"/>
      <c r="K43" s="47"/>
      <c r="L43" s="47"/>
      <c r="M43" s="47"/>
      <c r="N43" s="170"/>
      <c r="O43" s="175"/>
      <c r="P43" s="96" t="s">
        <v>246</v>
      </c>
      <c r="Q43" s="120" t="s">
        <v>89</v>
      </c>
      <c r="R43" s="116"/>
      <c r="S43" s="101" t="s">
        <v>247</v>
      </c>
      <c r="T43" s="102"/>
      <c r="U43" s="54"/>
      <c r="V43" s="55"/>
      <c r="W43" s="90"/>
      <c r="X43" s="54"/>
      <c r="Y43" s="170"/>
      <c r="Z43" s="170"/>
      <c r="AA43" s="170"/>
      <c r="AB43" s="170"/>
      <c r="AC43" s="173"/>
      <c r="AD43"/>
    </row>
    <row r="44" spans="1:30" ht="17.100000000000001" customHeight="1" thickTop="1">
      <c r="A44" s="176" t="s">
        <v>248</v>
      </c>
      <c r="B44" s="33">
        <v>41123</v>
      </c>
      <c r="C44" s="78"/>
      <c r="D44" s="126" t="s">
        <v>249</v>
      </c>
      <c r="E44" s="178" t="s">
        <v>250</v>
      </c>
      <c r="F44" s="36" t="s">
        <v>251</v>
      </c>
      <c r="G44" s="117"/>
      <c r="H44" s="182"/>
      <c r="I44" s="169">
        <v>2150000</v>
      </c>
      <c r="J44" s="169">
        <v>107500</v>
      </c>
      <c r="K44" s="169">
        <v>29700</v>
      </c>
      <c r="L44" s="169">
        <v>18510</v>
      </c>
      <c r="M44" s="169">
        <v>11550</v>
      </c>
      <c r="N44" s="169">
        <f>SUM(I44:M44)</f>
        <v>2317260</v>
      </c>
      <c r="O44" s="174"/>
      <c r="P44" s="81" t="s">
        <v>252</v>
      </c>
      <c r="Q44" s="38" t="s">
        <v>88</v>
      </c>
      <c r="R44" s="112"/>
      <c r="S44" s="113"/>
      <c r="T44" s="114"/>
      <c r="U44" s="42"/>
      <c r="V44" s="43"/>
      <c r="W44" s="104"/>
      <c r="X44" s="45"/>
      <c r="Y44" s="169"/>
      <c r="Z44" s="171">
        <f>Y44*0.1</f>
        <v>0</v>
      </c>
      <c r="AA44" s="169"/>
      <c r="AB44" s="169">
        <f>SUM(Y44:AA44)</f>
        <v>0</v>
      </c>
      <c r="AC44" s="172"/>
      <c r="AD44"/>
    </row>
    <row r="45" spans="1:30" ht="17.100000000000001" customHeight="1" thickBot="1">
      <c r="A45" s="177"/>
      <c r="B45" s="69" t="s">
        <v>229</v>
      </c>
      <c r="C45" s="69"/>
      <c r="D45" s="46" t="s">
        <v>165</v>
      </c>
      <c r="E45" s="179"/>
      <c r="F45" s="48" t="s">
        <v>253</v>
      </c>
      <c r="G45" s="127"/>
      <c r="H45" s="189"/>
      <c r="I45" s="170"/>
      <c r="J45" s="170"/>
      <c r="K45" s="170"/>
      <c r="L45" s="170"/>
      <c r="M45" s="170"/>
      <c r="N45" s="170"/>
      <c r="O45" s="188"/>
      <c r="P45" s="96" t="s">
        <v>254</v>
      </c>
      <c r="Q45" s="120" t="s">
        <v>89</v>
      </c>
      <c r="R45" s="121"/>
      <c r="S45" s="101" t="s">
        <v>255</v>
      </c>
      <c r="T45" s="102"/>
      <c r="U45" s="54"/>
      <c r="V45" s="55"/>
      <c r="W45" s="77"/>
      <c r="X45" s="54"/>
      <c r="Y45" s="171"/>
      <c r="Z45" s="170"/>
      <c r="AA45" s="171"/>
      <c r="AB45" s="171"/>
      <c r="AC45" s="187"/>
      <c r="AD45"/>
    </row>
    <row r="46" spans="1:30" ht="17.100000000000001" customHeight="1" thickTop="1">
      <c r="A46" s="176" t="s">
        <v>256</v>
      </c>
      <c r="B46" s="33">
        <v>41424</v>
      </c>
      <c r="C46" s="78" t="s">
        <v>257</v>
      </c>
      <c r="D46" s="35" t="s">
        <v>258</v>
      </c>
      <c r="E46" s="178"/>
      <c r="F46" s="128" t="s">
        <v>259</v>
      </c>
      <c r="G46" s="37"/>
      <c r="H46" s="180"/>
      <c r="I46" s="169">
        <v>688000</v>
      </c>
      <c r="J46" s="169">
        <v>34400</v>
      </c>
      <c r="K46" s="169"/>
      <c r="L46" s="169">
        <v>15890</v>
      </c>
      <c r="M46" s="169">
        <v>13125</v>
      </c>
      <c r="N46" s="169">
        <f>SUM(I46:M46)</f>
        <v>751415</v>
      </c>
      <c r="O46" s="174">
        <v>20000</v>
      </c>
      <c r="P46" s="129" t="s">
        <v>260</v>
      </c>
      <c r="Q46" s="38" t="s">
        <v>88</v>
      </c>
      <c r="R46" s="112"/>
      <c r="S46" s="113"/>
      <c r="T46" s="114"/>
      <c r="U46" s="42"/>
      <c r="V46" s="43"/>
      <c r="W46" s="104"/>
      <c r="X46" s="45"/>
      <c r="Y46" s="169"/>
      <c r="Z46" s="171">
        <f>Y46*0.1</f>
        <v>0</v>
      </c>
      <c r="AA46" s="169"/>
      <c r="AB46" s="169">
        <f>SUM(Y46:AA46)</f>
        <v>0</v>
      </c>
      <c r="AC46" s="172"/>
      <c r="AD46"/>
    </row>
    <row r="47" spans="1:30" ht="17.100000000000001" customHeight="1" thickBot="1">
      <c r="A47" s="177"/>
      <c r="B47" s="46" t="s">
        <v>261</v>
      </c>
      <c r="C47" s="46">
        <v>5002</v>
      </c>
      <c r="D47" s="47" t="s">
        <v>137</v>
      </c>
      <c r="E47" s="179"/>
      <c r="F47" s="48" t="s">
        <v>262</v>
      </c>
      <c r="G47" s="49">
        <v>58677</v>
      </c>
      <c r="H47" s="181"/>
      <c r="I47" s="170"/>
      <c r="J47" s="170"/>
      <c r="K47" s="170"/>
      <c r="L47" s="170"/>
      <c r="M47" s="170"/>
      <c r="N47" s="170"/>
      <c r="O47" s="175"/>
      <c r="P47" s="88" t="s">
        <v>263</v>
      </c>
      <c r="Q47" s="50" t="s">
        <v>89</v>
      </c>
      <c r="R47" s="130"/>
      <c r="S47" s="74"/>
      <c r="T47" s="75"/>
      <c r="U47" s="54"/>
      <c r="V47" s="55"/>
      <c r="W47" s="90"/>
      <c r="X47" s="54"/>
      <c r="Y47" s="170"/>
      <c r="Z47" s="170"/>
      <c r="AA47" s="170"/>
      <c r="AB47" s="170"/>
      <c r="AC47" s="173"/>
      <c r="AD47"/>
    </row>
    <row r="48" spans="1:30" ht="17.100000000000001" customHeight="1" thickTop="1">
      <c r="A48" s="176" t="s">
        <v>264</v>
      </c>
      <c r="B48" s="33">
        <v>41706</v>
      </c>
      <c r="C48" s="78" t="s">
        <v>265</v>
      </c>
      <c r="D48" s="35" t="s">
        <v>266</v>
      </c>
      <c r="E48" s="178"/>
      <c r="F48" s="128" t="s">
        <v>267</v>
      </c>
      <c r="G48" s="37"/>
      <c r="H48" s="180"/>
      <c r="I48" s="169">
        <v>1095000</v>
      </c>
      <c r="J48" s="169">
        <v>54750</v>
      </c>
      <c r="K48" s="169">
        <v>0</v>
      </c>
      <c r="L48" s="169">
        <v>16190</v>
      </c>
      <c r="M48" s="169">
        <v>10500</v>
      </c>
      <c r="N48" s="169">
        <f>SUM(I48:M48)</f>
        <v>1176440</v>
      </c>
      <c r="O48" s="174">
        <v>200000</v>
      </c>
      <c r="P48" s="129" t="s">
        <v>268</v>
      </c>
      <c r="Q48" s="38" t="s">
        <v>88</v>
      </c>
      <c r="R48" s="112"/>
      <c r="S48" s="113"/>
      <c r="T48" s="114"/>
      <c r="U48" s="42"/>
      <c r="V48" s="43"/>
      <c r="W48" s="104"/>
      <c r="X48" s="45"/>
      <c r="Y48" s="169"/>
      <c r="Z48" s="171">
        <f>Y48*0.1</f>
        <v>0</v>
      </c>
      <c r="AA48" s="169"/>
      <c r="AB48" s="169">
        <f>SUM(Y48:AA48)</f>
        <v>0</v>
      </c>
      <c r="AC48" s="172"/>
      <c r="AD48"/>
    </row>
    <row r="49" spans="1:30" ht="17.100000000000001" customHeight="1" thickBot="1">
      <c r="A49" s="177"/>
      <c r="B49" s="46" t="s">
        <v>115</v>
      </c>
      <c r="C49" s="46">
        <v>81186</v>
      </c>
      <c r="D49" s="47" t="s">
        <v>137</v>
      </c>
      <c r="E49" s="179"/>
      <c r="F49" s="48" t="s">
        <v>269</v>
      </c>
      <c r="G49" s="49"/>
      <c r="H49" s="181"/>
      <c r="I49" s="170"/>
      <c r="J49" s="170"/>
      <c r="K49" s="170"/>
      <c r="L49" s="170"/>
      <c r="M49" s="170"/>
      <c r="N49" s="170"/>
      <c r="O49" s="175"/>
      <c r="P49" s="88" t="s">
        <v>270</v>
      </c>
      <c r="Q49" s="50" t="s">
        <v>89</v>
      </c>
      <c r="R49" s="130"/>
      <c r="S49" s="52" t="s">
        <v>271</v>
      </c>
      <c r="T49" s="53"/>
      <c r="U49" s="54" t="s">
        <v>272</v>
      </c>
      <c r="V49" s="55"/>
      <c r="W49" s="90"/>
      <c r="X49" s="54"/>
      <c r="Y49" s="170"/>
      <c r="Z49" s="170"/>
      <c r="AA49" s="170"/>
      <c r="AB49" s="170"/>
      <c r="AC49" s="173"/>
      <c r="AD49"/>
    </row>
    <row r="50" spans="1:30" ht="17.100000000000001" customHeight="1" thickTop="1">
      <c r="A50" s="176" t="s">
        <v>273</v>
      </c>
      <c r="B50" s="33">
        <v>41787</v>
      </c>
      <c r="C50" s="78" t="s">
        <v>274</v>
      </c>
      <c r="D50" s="35" t="s">
        <v>275</v>
      </c>
      <c r="E50" s="178"/>
      <c r="F50" s="128" t="s">
        <v>267</v>
      </c>
      <c r="G50" s="37" t="s">
        <v>276</v>
      </c>
      <c r="H50" s="180"/>
      <c r="I50" s="169">
        <v>559000</v>
      </c>
      <c r="J50" s="169">
        <v>44720</v>
      </c>
      <c r="K50" s="169">
        <v>32900</v>
      </c>
      <c r="L50" s="169">
        <v>15790</v>
      </c>
      <c r="M50" s="169">
        <v>12960</v>
      </c>
      <c r="N50" s="169">
        <f>SUM(I50:M50)</f>
        <v>665370</v>
      </c>
      <c r="O50" s="174">
        <v>20000</v>
      </c>
      <c r="P50" s="129" t="s">
        <v>277</v>
      </c>
      <c r="Q50" s="38" t="s">
        <v>88</v>
      </c>
      <c r="R50" s="112"/>
      <c r="S50" s="113"/>
      <c r="T50" s="114"/>
      <c r="U50" s="42"/>
      <c r="V50" s="43"/>
      <c r="W50" s="104"/>
      <c r="X50" s="45"/>
      <c r="Y50" s="169"/>
      <c r="Z50" s="171">
        <f>Y50*0.1</f>
        <v>0</v>
      </c>
      <c r="AA50" s="169"/>
      <c r="AB50" s="169">
        <f>SUM(Y50:AA50)</f>
        <v>0</v>
      </c>
      <c r="AC50" s="172"/>
      <c r="AD50"/>
    </row>
    <row r="51" spans="1:30" ht="17.100000000000001" customHeight="1" thickBot="1">
      <c r="A51" s="177"/>
      <c r="B51" s="46" t="s">
        <v>278</v>
      </c>
      <c r="C51" s="46">
        <v>80078</v>
      </c>
      <c r="D51" s="47" t="s">
        <v>279</v>
      </c>
      <c r="E51" s="179"/>
      <c r="F51" s="48" t="s">
        <v>280</v>
      </c>
      <c r="G51" s="49">
        <v>43453</v>
      </c>
      <c r="H51" s="181"/>
      <c r="I51" s="170"/>
      <c r="J51" s="170"/>
      <c r="K51" s="170"/>
      <c r="L51" s="170"/>
      <c r="M51" s="170"/>
      <c r="N51" s="170"/>
      <c r="O51" s="175"/>
      <c r="P51" s="88" t="s">
        <v>281</v>
      </c>
      <c r="Q51" s="50" t="s">
        <v>89</v>
      </c>
      <c r="R51" s="130"/>
      <c r="S51" s="52"/>
      <c r="T51" s="53"/>
      <c r="U51" s="54"/>
      <c r="V51" s="55"/>
      <c r="W51" s="90"/>
      <c r="X51" s="54"/>
      <c r="Y51" s="170"/>
      <c r="Z51" s="170"/>
      <c r="AA51" s="170"/>
      <c r="AB51" s="170"/>
      <c r="AC51" s="173"/>
      <c r="AD51"/>
    </row>
    <row r="52" spans="1:30" ht="17.100000000000001" customHeight="1" thickTop="1">
      <c r="A52" s="176" t="s">
        <v>282</v>
      </c>
      <c r="B52" s="33">
        <v>41790</v>
      </c>
      <c r="C52" s="78" t="s">
        <v>283</v>
      </c>
      <c r="D52" s="35" t="s">
        <v>284</v>
      </c>
      <c r="E52" s="178"/>
      <c r="F52" s="128" t="s">
        <v>267</v>
      </c>
      <c r="G52" s="37"/>
      <c r="H52" s="180"/>
      <c r="I52" s="169">
        <v>1135000</v>
      </c>
      <c r="J52" s="169">
        <v>90800</v>
      </c>
      <c r="K52" s="169"/>
      <c r="L52" s="169">
        <v>16090</v>
      </c>
      <c r="M52" s="169">
        <v>10900</v>
      </c>
      <c r="N52" s="169">
        <f>SUM(I52:M52)</f>
        <v>1252790</v>
      </c>
      <c r="O52" s="174">
        <v>200000</v>
      </c>
      <c r="P52" s="129" t="s">
        <v>285</v>
      </c>
      <c r="Q52" s="38" t="s">
        <v>88</v>
      </c>
      <c r="R52" s="112"/>
      <c r="S52" s="113"/>
      <c r="T52" s="114"/>
      <c r="U52" s="42"/>
      <c r="V52" s="43"/>
      <c r="W52" s="104"/>
      <c r="X52" s="45"/>
      <c r="Y52" s="169"/>
      <c r="Z52" s="171">
        <f>Y52*0.1</f>
        <v>0</v>
      </c>
      <c r="AA52" s="169"/>
      <c r="AB52" s="169">
        <f>SUM(Y52:AA52)</f>
        <v>0</v>
      </c>
      <c r="AC52" s="172"/>
      <c r="AD52"/>
    </row>
    <row r="53" spans="1:30" ht="17.100000000000001" customHeight="1" thickBot="1">
      <c r="A53" s="177"/>
      <c r="B53" s="46" t="s">
        <v>115</v>
      </c>
      <c r="C53" s="46">
        <v>80436</v>
      </c>
      <c r="D53" s="47" t="s">
        <v>286</v>
      </c>
      <c r="E53" s="179"/>
      <c r="F53" s="48" t="s">
        <v>287</v>
      </c>
      <c r="G53" s="49">
        <v>43478</v>
      </c>
      <c r="H53" s="181"/>
      <c r="I53" s="170"/>
      <c r="J53" s="170"/>
      <c r="K53" s="170"/>
      <c r="L53" s="170"/>
      <c r="M53" s="170"/>
      <c r="N53" s="170"/>
      <c r="O53" s="175"/>
      <c r="P53" s="88" t="s">
        <v>288</v>
      </c>
      <c r="Q53" s="50" t="s">
        <v>89</v>
      </c>
      <c r="R53" s="130"/>
      <c r="S53" s="52" t="s">
        <v>271</v>
      </c>
      <c r="T53" s="53"/>
      <c r="U53" s="54"/>
      <c r="V53" s="55"/>
      <c r="W53" s="90"/>
      <c r="X53" s="54"/>
      <c r="Y53" s="170"/>
      <c r="Z53" s="170"/>
      <c r="AA53" s="170"/>
      <c r="AB53" s="170"/>
      <c r="AC53" s="173"/>
      <c r="AD53"/>
    </row>
    <row r="54" spans="1:30" ht="17.100000000000001" customHeight="1" thickTop="1">
      <c r="A54" s="176" t="s">
        <v>289</v>
      </c>
      <c r="B54" s="33">
        <v>41873</v>
      </c>
      <c r="C54" s="78" t="s">
        <v>290</v>
      </c>
      <c r="D54" s="35" t="s">
        <v>291</v>
      </c>
      <c r="E54" s="178"/>
      <c r="F54" s="128" t="s">
        <v>292</v>
      </c>
      <c r="G54" s="37"/>
      <c r="H54" s="180"/>
      <c r="I54" s="169">
        <v>365000</v>
      </c>
      <c r="J54" s="169">
        <v>29200</v>
      </c>
      <c r="K54" s="169"/>
      <c r="L54" s="169">
        <v>10520</v>
      </c>
      <c r="M54" s="169">
        <v>11880</v>
      </c>
      <c r="N54" s="169">
        <f>SUM(I54:M54)</f>
        <v>416600</v>
      </c>
      <c r="O54" s="174">
        <v>70000</v>
      </c>
      <c r="P54" s="129" t="s">
        <v>293</v>
      </c>
      <c r="Q54" s="38" t="s">
        <v>88</v>
      </c>
      <c r="R54" s="112"/>
      <c r="S54" s="113"/>
      <c r="T54" s="114"/>
      <c r="U54" s="42"/>
      <c r="V54" s="43"/>
      <c r="W54" s="104"/>
      <c r="X54" s="45"/>
      <c r="Y54" s="169"/>
      <c r="Z54" s="171">
        <f>Y54*0.1</f>
        <v>0</v>
      </c>
      <c r="AA54" s="169"/>
      <c r="AB54" s="169">
        <f>SUM(Y54:AA54)</f>
        <v>0</v>
      </c>
      <c r="AC54" s="172"/>
      <c r="AD54"/>
    </row>
    <row r="55" spans="1:30" ht="17.100000000000001" customHeight="1" thickBot="1">
      <c r="A55" s="177"/>
      <c r="B55" s="46" t="s">
        <v>294</v>
      </c>
      <c r="C55" s="46">
        <v>25030</v>
      </c>
      <c r="D55" s="47" t="s">
        <v>295</v>
      </c>
      <c r="E55" s="179"/>
      <c r="F55" s="48" t="s">
        <v>296</v>
      </c>
      <c r="G55" s="49">
        <v>49850</v>
      </c>
      <c r="H55" s="181"/>
      <c r="I55" s="170"/>
      <c r="J55" s="170"/>
      <c r="K55" s="170"/>
      <c r="L55" s="170"/>
      <c r="M55" s="170"/>
      <c r="N55" s="170"/>
      <c r="O55" s="175"/>
      <c r="P55" s="88" t="s">
        <v>297</v>
      </c>
      <c r="Q55" s="50" t="s">
        <v>89</v>
      </c>
      <c r="R55" s="130"/>
      <c r="S55" s="74"/>
      <c r="T55" s="75"/>
      <c r="U55" s="54"/>
      <c r="V55" s="55"/>
      <c r="W55" s="90"/>
      <c r="X55" s="54"/>
      <c r="Y55" s="170"/>
      <c r="Z55" s="170"/>
      <c r="AA55" s="170"/>
      <c r="AB55" s="170"/>
      <c r="AC55" s="173"/>
      <c r="AD55"/>
    </row>
    <row r="56" spans="1:30" ht="17.100000000000001" customHeight="1" thickTop="1">
      <c r="A56" s="176" t="s">
        <v>298</v>
      </c>
      <c r="B56" s="33">
        <v>41895</v>
      </c>
      <c r="C56" s="78" t="s">
        <v>299</v>
      </c>
      <c r="D56" s="35" t="s">
        <v>300</v>
      </c>
      <c r="E56" s="178"/>
      <c r="F56" s="128" t="s">
        <v>301</v>
      </c>
      <c r="G56" s="37" t="s">
        <v>302</v>
      </c>
      <c r="H56" s="180"/>
      <c r="I56" s="169">
        <v>655000</v>
      </c>
      <c r="J56" s="169">
        <v>52400</v>
      </c>
      <c r="K56" s="169">
        <v>25500</v>
      </c>
      <c r="L56" s="169">
        <v>19800</v>
      </c>
      <c r="M56" s="169">
        <v>10800</v>
      </c>
      <c r="N56" s="169">
        <f>SUM(I56:M56)</f>
        <v>763500</v>
      </c>
      <c r="O56" s="174">
        <v>100000</v>
      </c>
      <c r="P56" s="129" t="s">
        <v>303</v>
      </c>
      <c r="Q56" s="38" t="s">
        <v>88</v>
      </c>
      <c r="R56" s="112"/>
      <c r="S56" s="113"/>
      <c r="T56" s="114"/>
      <c r="U56" s="42"/>
      <c r="V56" s="43"/>
      <c r="W56" s="104"/>
      <c r="X56" s="45"/>
      <c r="Y56" s="169"/>
      <c r="Z56" s="171">
        <f>Y56*0.1</f>
        <v>0</v>
      </c>
      <c r="AA56" s="169"/>
      <c r="AB56" s="169">
        <f>SUM(Y56:AA56)</f>
        <v>0</v>
      </c>
      <c r="AC56" s="172"/>
      <c r="AD56"/>
    </row>
    <row r="57" spans="1:30" ht="17.100000000000001" customHeight="1" thickBot="1">
      <c r="A57" s="177"/>
      <c r="B57" s="46" t="s">
        <v>115</v>
      </c>
      <c r="C57" s="46">
        <v>80003</v>
      </c>
      <c r="D57" s="47" t="s">
        <v>230</v>
      </c>
      <c r="E57" s="179"/>
      <c r="F57" s="48" t="s">
        <v>304</v>
      </c>
      <c r="G57" s="49">
        <v>48520</v>
      </c>
      <c r="H57" s="181"/>
      <c r="I57" s="170"/>
      <c r="J57" s="170"/>
      <c r="K57" s="170"/>
      <c r="L57" s="170"/>
      <c r="M57" s="170"/>
      <c r="N57" s="170"/>
      <c r="O57" s="175"/>
      <c r="P57" s="88" t="s">
        <v>305</v>
      </c>
      <c r="Q57" s="50" t="s">
        <v>89</v>
      </c>
      <c r="R57" s="130"/>
      <c r="S57" s="52" t="s">
        <v>306</v>
      </c>
      <c r="T57" s="53"/>
      <c r="U57" s="54"/>
      <c r="V57" s="55" t="s">
        <v>120</v>
      </c>
      <c r="W57" s="90"/>
      <c r="X57" s="54"/>
      <c r="Y57" s="170"/>
      <c r="Z57" s="170"/>
      <c r="AA57" s="170"/>
      <c r="AB57" s="170"/>
      <c r="AC57" s="173"/>
      <c r="AD57"/>
    </row>
    <row r="58" spans="1:30" ht="17.100000000000001" customHeight="1" thickTop="1">
      <c r="A58" s="176" t="s">
        <v>307</v>
      </c>
      <c r="B58" s="33">
        <v>41979</v>
      </c>
      <c r="C58" s="78" t="s">
        <v>308</v>
      </c>
      <c r="D58" s="35" t="s">
        <v>309</v>
      </c>
      <c r="E58" s="185"/>
      <c r="F58" s="131" t="s">
        <v>310</v>
      </c>
      <c r="G58" s="37"/>
      <c r="H58" s="180"/>
      <c r="I58" s="169">
        <v>325000</v>
      </c>
      <c r="J58" s="169">
        <v>26000</v>
      </c>
      <c r="K58" s="169"/>
      <c r="L58" s="169">
        <v>5520</v>
      </c>
      <c r="M58" s="169">
        <v>9180</v>
      </c>
      <c r="N58" s="169">
        <f>SUM(I58:M58)</f>
        <v>365700</v>
      </c>
      <c r="O58" s="183">
        <v>100000</v>
      </c>
      <c r="P58" s="129" t="s">
        <v>311</v>
      </c>
      <c r="Q58" s="82" t="s">
        <v>88</v>
      </c>
      <c r="R58" s="94"/>
      <c r="S58" s="81"/>
      <c r="T58" s="95"/>
      <c r="U58" s="42"/>
      <c r="V58" s="43"/>
      <c r="W58" s="104"/>
      <c r="X58" s="45"/>
      <c r="Y58" s="169"/>
      <c r="Z58" s="171">
        <f>Y58*0.1</f>
        <v>0</v>
      </c>
      <c r="AA58" s="169"/>
      <c r="AB58" s="169">
        <f>SUM(Y58:AA58)</f>
        <v>0</v>
      </c>
      <c r="AC58" s="172"/>
      <c r="AD58"/>
    </row>
    <row r="59" spans="1:30" ht="17.100000000000001" customHeight="1" thickBot="1">
      <c r="A59" s="177"/>
      <c r="B59" s="46" t="s">
        <v>115</v>
      </c>
      <c r="C59" s="46">
        <v>33259</v>
      </c>
      <c r="D59" s="47" t="s">
        <v>312</v>
      </c>
      <c r="E59" s="186"/>
      <c r="F59" s="70" t="s">
        <v>313</v>
      </c>
      <c r="G59" s="49">
        <v>11283</v>
      </c>
      <c r="H59" s="181"/>
      <c r="I59" s="170"/>
      <c r="J59" s="170"/>
      <c r="K59" s="170"/>
      <c r="L59" s="170"/>
      <c r="M59" s="170"/>
      <c r="N59" s="170"/>
      <c r="O59" s="184"/>
      <c r="P59" s="88" t="s">
        <v>314</v>
      </c>
      <c r="Q59" s="89" t="s">
        <v>89</v>
      </c>
      <c r="R59" s="132"/>
      <c r="S59" s="74"/>
      <c r="T59" s="75"/>
      <c r="U59" s="54"/>
      <c r="V59" s="55"/>
      <c r="W59" s="90"/>
      <c r="X59" s="54"/>
      <c r="Y59" s="170"/>
      <c r="Z59" s="170"/>
      <c r="AA59" s="170"/>
      <c r="AB59" s="170"/>
      <c r="AC59" s="173"/>
      <c r="AD59"/>
    </row>
    <row r="60" spans="1:30" ht="17.100000000000001" customHeight="1" thickTop="1">
      <c r="A60" s="176" t="s">
        <v>315</v>
      </c>
      <c r="B60" s="33">
        <v>42017</v>
      </c>
      <c r="C60" s="78" t="s">
        <v>316</v>
      </c>
      <c r="D60" s="35" t="s">
        <v>317</v>
      </c>
      <c r="E60" s="178"/>
      <c r="F60" s="128" t="s">
        <v>318</v>
      </c>
      <c r="G60" s="37"/>
      <c r="H60" s="180"/>
      <c r="I60" s="169">
        <v>620000</v>
      </c>
      <c r="J60" s="169">
        <v>49600</v>
      </c>
      <c r="K60" s="169"/>
      <c r="L60" s="169">
        <v>16090</v>
      </c>
      <c r="M60" s="169">
        <v>11880</v>
      </c>
      <c r="N60" s="169">
        <f>SUM(I60:M60)</f>
        <v>697570</v>
      </c>
      <c r="O60" s="174">
        <v>20000</v>
      </c>
      <c r="P60" s="129" t="s">
        <v>319</v>
      </c>
      <c r="Q60" s="38" t="s">
        <v>88</v>
      </c>
      <c r="R60" s="112"/>
      <c r="S60" s="113"/>
      <c r="T60" s="114"/>
      <c r="U60" s="42"/>
      <c r="V60" s="43"/>
      <c r="W60" s="104"/>
      <c r="X60" s="45"/>
      <c r="Y60" s="169"/>
      <c r="Z60" s="171">
        <f>Y60*0.1</f>
        <v>0</v>
      </c>
      <c r="AA60" s="169"/>
      <c r="AB60" s="169">
        <f>SUM(Y60:AA60)</f>
        <v>0</v>
      </c>
      <c r="AC60" s="172"/>
      <c r="AD60"/>
    </row>
    <row r="61" spans="1:30" ht="17.100000000000001" customHeight="1" thickBot="1">
      <c r="A61" s="177"/>
      <c r="B61" s="46" t="s">
        <v>211</v>
      </c>
      <c r="C61" s="46">
        <v>70264</v>
      </c>
      <c r="D61" s="47" t="s">
        <v>125</v>
      </c>
      <c r="E61" s="179"/>
      <c r="F61" s="48" t="s">
        <v>320</v>
      </c>
      <c r="G61" s="49">
        <v>56245</v>
      </c>
      <c r="H61" s="181"/>
      <c r="I61" s="170"/>
      <c r="J61" s="170"/>
      <c r="K61" s="170"/>
      <c r="L61" s="170"/>
      <c r="M61" s="170"/>
      <c r="N61" s="170"/>
      <c r="O61" s="175"/>
      <c r="P61" s="88" t="s">
        <v>321</v>
      </c>
      <c r="Q61" s="50" t="s">
        <v>89</v>
      </c>
      <c r="R61" s="130"/>
      <c r="S61" s="52" t="s">
        <v>271</v>
      </c>
      <c r="T61" s="53"/>
      <c r="U61" s="54"/>
      <c r="V61" s="55"/>
      <c r="W61" s="90"/>
      <c r="X61" s="54"/>
      <c r="Y61" s="170"/>
      <c r="Z61" s="170"/>
      <c r="AA61" s="170"/>
      <c r="AB61" s="170"/>
      <c r="AC61" s="173"/>
      <c r="AD61"/>
    </row>
    <row r="62" spans="1:30" ht="17.100000000000001" customHeight="1" thickTop="1">
      <c r="A62" s="176" t="s">
        <v>322</v>
      </c>
      <c r="B62" s="33">
        <v>42059</v>
      </c>
      <c r="C62" s="78" t="s">
        <v>323</v>
      </c>
      <c r="D62" s="35" t="s">
        <v>324</v>
      </c>
      <c r="E62" s="178"/>
      <c r="F62" s="128" t="s">
        <v>325</v>
      </c>
      <c r="G62" s="37"/>
      <c r="H62" s="180"/>
      <c r="I62" s="169">
        <v>980000</v>
      </c>
      <c r="J62" s="169">
        <v>78400</v>
      </c>
      <c r="K62" s="169"/>
      <c r="L62" s="169">
        <v>23340</v>
      </c>
      <c r="M62" s="169">
        <v>11880</v>
      </c>
      <c r="N62" s="169">
        <f>SUM(I62:M62)</f>
        <v>1093620</v>
      </c>
      <c r="O62" s="174">
        <v>100000</v>
      </c>
      <c r="P62" s="129" t="s">
        <v>326</v>
      </c>
      <c r="Q62" s="38" t="s">
        <v>88</v>
      </c>
      <c r="R62" s="112"/>
      <c r="S62" s="113"/>
      <c r="T62" s="114"/>
      <c r="U62" s="42"/>
      <c r="V62" s="43"/>
      <c r="W62" s="104"/>
      <c r="X62" s="45"/>
      <c r="Y62" s="169"/>
      <c r="Z62" s="171">
        <f>Y62*0.1</f>
        <v>0</v>
      </c>
      <c r="AA62" s="169"/>
      <c r="AB62" s="169">
        <f>SUM(Y62:AA62)</f>
        <v>0</v>
      </c>
      <c r="AC62" s="172"/>
      <c r="AD62"/>
    </row>
    <row r="63" spans="1:30" ht="17.100000000000001" customHeight="1" thickBot="1">
      <c r="A63" s="177"/>
      <c r="B63" s="46" t="s">
        <v>211</v>
      </c>
      <c r="C63" s="46">
        <v>70716</v>
      </c>
      <c r="D63" s="47" t="s">
        <v>137</v>
      </c>
      <c r="E63" s="179"/>
      <c r="F63" s="48" t="s">
        <v>327</v>
      </c>
      <c r="G63" s="49">
        <v>56276</v>
      </c>
      <c r="H63" s="181"/>
      <c r="I63" s="170"/>
      <c r="J63" s="170"/>
      <c r="K63" s="170"/>
      <c r="L63" s="170"/>
      <c r="M63" s="170"/>
      <c r="N63" s="170"/>
      <c r="O63" s="175"/>
      <c r="P63" s="88" t="s">
        <v>328</v>
      </c>
      <c r="Q63" s="50" t="s">
        <v>89</v>
      </c>
      <c r="R63" s="133"/>
      <c r="S63" s="52" t="s">
        <v>329</v>
      </c>
      <c r="T63" s="53"/>
      <c r="U63" s="54"/>
      <c r="V63" s="55"/>
      <c r="W63" s="90"/>
      <c r="X63" s="54"/>
      <c r="Y63" s="170"/>
      <c r="Z63" s="170"/>
      <c r="AA63" s="170"/>
      <c r="AB63" s="170"/>
      <c r="AC63" s="173"/>
      <c r="AD63"/>
    </row>
    <row r="64" spans="1:30" ht="17.100000000000001" customHeight="1" thickTop="1">
      <c r="A64" s="176" t="s">
        <v>330</v>
      </c>
      <c r="B64" s="33">
        <v>42120</v>
      </c>
      <c r="C64" s="78" t="s">
        <v>331</v>
      </c>
      <c r="D64" s="35" t="s">
        <v>332</v>
      </c>
      <c r="E64" s="178"/>
      <c r="F64" s="128" t="s">
        <v>333</v>
      </c>
      <c r="G64" s="37"/>
      <c r="H64" s="180"/>
      <c r="I64" s="169">
        <v>520000</v>
      </c>
      <c r="J64" s="169">
        <v>41600</v>
      </c>
      <c r="K64" s="169"/>
      <c r="L64" s="169">
        <v>16420</v>
      </c>
      <c r="M64" s="169">
        <v>12960</v>
      </c>
      <c r="N64" s="169">
        <f>SUM(I64:M64)</f>
        <v>590980</v>
      </c>
      <c r="O64" s="174">
        <v>100000</v>
      </c>
      <c r="P64" s="129" t="s">
        <v>334</v>
      </c>
      <c r="Q64" s="38" t="s">
        <v>88</v>
      </c>
      <c r="R64" s="134"/>
      <c r="S64" s="135"/>
      <c r="T64" s="136"/>
      <c r="U64" s="42"/>
      <c r="V64" s="43"/>
      <c r="W64" s="104"/>
      <c r="X64" s="45"/>
      <c r="Y64" s="169"/>
      <c r="Z64" s="171">
        <f>Y64*0.1</f>
        <v>0</v>
      </c>
      <c r="AA64" s="169"/>
      <c r="AB64" s="169">
        <f>SUM(Y64:AA64)</f>
        <v>0</v>
      </c>
      <c r="AC64" s="172"/>
      <c r="AD64"/>
    </row>
    <row r="65" spans="1:30" ht="17.100000000000001" customHeight="1" thickBot="1">
      <c r="A65" s="177"/>
      <c r="B65" s="46" t="s">
        <v>335</v>
      </c>
      <c r="C65" s="46">
        <v>3712</v>
      </c>
      <c r="D65" s="47" t="s">
        <v>137</v>
      </c>
      <c r="E65" s="179"/>
      <c r="F65" s="48" t="s">
        <v>336</v>
      </c>
      <c r="G65" s="49">
        <v>45619</v>
      </c>
      <c r="H65" s="181"/>
      <c r="I65" s="170"/>
      <c r="J65" s="170"/>
      <c r="K65" s="170"/>
      <c r="L65" s="170"/>
      <c r="M65" s="170"/>
      <c r="N65" s="170"/>
      <c r="O65" s="175"/>
      <c r="P65" s="88" t="s">
        <v>337</v>
      </c>
      <c r="Q65" s="50" t="s">
        <v>89</v>
      </c>
      <c r="R65" s="133"/>
      <c r="S65" s="52" t="s">
        <v>338</v>
      </c>
      <c r="T65" s="53"/>
      <c r="U65" s="54"/>
      <c r="V65" s="55"/>
      <c r="W65" s="90"/>
      <c r="X65" s="54"/>
      <c r="Y65" s="170"/>
      <c r="Z65" s="170"/>
      <c r="AA65" s="170"/>
      <c r="AB65" s="170"/>
      <c r="AC65" s="173"/>
      <c r="AD65"/>
    </row>
    <row r="66" spans="1:30" ht="17.100000000000001" customHeight="1" thickTop="1">
      <c r="A66" s="176" t="s">
        <v>339</v>
      </c>
      <c r="B66" s="33">
        <v>42180</v>
      </c>
      <c r="C66" s="78" t="s">
        <v>340</v>
      </c>
      <c r="D66" s="35" t="s">
        <v>341</v>
      </c>
      <c r="E66" s="178"/>
      <c r="F66" s="128" t="s">
        <v>342</v>
      </c>
      <c r="G66" s="37" t="s">
        <v>343</v>
      </c>
      <c r="H66" s="180"/>
      <c r="I66" s="169">
        <v>615000</v>
      </c>
      <c r="J66" s="169">
        <v>49200</v>
      </c>
      <c r="K66" s="169">
        <v>43500</v>
      </c>
      <c r="L66" s="169">
        <v>20150</v>
      </c>
      <c r="M66" s="169">
        <v>11880</v>
      </c>
      <c r="N66" s="169">
        <f>SUM(I66:M66)</f>
        <v>739730</v>
      </c>
      <c r="O66" s="174">
        <v>200000</v>
      </c>
      <c r="P66" s="129" t="s">
        <v>344</v>
      </c>
      <c r="Q66" s="38" t="s">
        <v>88</v>
      </c>
      <c r="R66" s="134"/>
      <c r="S66" s="135"/>
      <c r="T66" s="136"/>
      <c r="U66" s="42"/>
      <c r="V66" s="43"/>
      <c r="W66" s="104"/>
      <c r="X66" s="45"/>
      <c r="Y66" s="169"/>
      <c r="Z66" s="171">
        <f>Y66*0.1</f>
        <v>0</v>
      </c>
      <c r="AA66" s="169"/>
      <c r="AB66" s="169">
        <f>SUM(Y66:AA66)</f>
        <v>0</v>
      </c>
      <c r="AC66" s="172"/>
      <c r="AD66"/>
    </row>
    <row r="67" spans="1:30" ht="17.100000000000001" customHeight="1" thickBot="1">
      <c r="A67" s="177"/>
      <c r="B67" s="46" t="s">
        <v>345</v>
      </c>
      <c r="C67" s="46">
        <v>522</v>
      </c>
      <c r="D67" s="47" t="s">
        <v>312</v>
      </c>
      <c r="E67" s="179"/>
      <c r="F67" s="48" t="s">
        <v>346</v>
      </c>
      <c r="G67" s="49">
        <v>41397</v>
      </c>
      <c r="H67" s="181"/>
      <c r="I67" s="170"/>
      <c r="J67" s="170"/>
      <c r="K67" s="170"/>
      <c r="L67" s="170"/>
      <c r="M67" s="170"/>
      <c r="N67" s="170"/>
      <c r="O67" s="175"/>
      <c r="P67" s="88" t="s">
        <v>246</v>
      </c>
      <c r="Q67" s="50" t="s">
        <v>89</v>
      </c>
      <c r="R67" s="133"/>
      <c r="S67" s="52" t="s">
        <v>347</v>
      </c>
      <c r="T67" s="53"/>
      <c r="U67" s="54"/>
      <c r="V67" s="55"/>
      <c r="W67" s="90"/>
      <c r="X67" s="54"/>
      <c r="Y67" s="170"/>
      <c r="Z67" s="170"/>
      <c r="AA67" s="170"/>
      <c r="AB67" s="170"/>
      <c r="AC67" s="173"/>
      <c r="AD67"/>
    </row>
    <row r="68" spans="1:30" ht="17.100000000000001" customHeight="1" thickTop="1">
      <c r="A68" s="176" t="s">
        <v>348</v>
      </c>
      <c r="B68" s="33">
        <v>42193</v>
      </c>
      <c r="C68" s="78" t="s">
        <v>349</v>
      </c>
      <c r="D68" s="35" t="s">
        <v>350</v>
      </c>
      <c r="E68" s="178"/>
      <c r="F68" s="128" t="s">
        <v>351</v>
      </c>
      <c r="G68" s="37" t="s">
        <v>343</v>
      </c>
      <c r="H68" s="180"/>
      <c r="I68" s="169">
        <v>2895000</v>
      </c>
      <c r="J68" s="169">
        <v>231600</v>
      </c>
      <c r="K68" s="169">
        <v>58600</v>
      </c>
      <c r="L68" s="169">
        <v>25670</v>
      </c>
      <c r="M68" s="169">
        <v>12960</v>
      </c>
      <c r="N68" s="169">
        <f>SUM(I68:M68)</f>
        <v>3223830</v>
      </c>
      <c r="O68" s="174">
        <v>100000</v>
      </c>
      <c r="P68" s="129" t="s">
        <v>352</v>
      </c>
      <c r="Q68" s="38" t="s">
        <v>88</v>
      </c>
      <c r="R68" s="134"/>
      <c r="S68" s="135"/>
      <c r="T68" s="136"/>
      <c r="U68" s="42"/>
      <c r="V68" s="43"/>
      <c r="W68" s="104"/>
      <c r="X68" s="45"/>
      <c r="Y68" s="169"/>
      <c r="Z68" s="171">
        <f>Y68*0.1</f>
        <v>0</v>
      </c>
      <c r="AA68" s="169"/>
      <c r="AB68" s="169">
        <f>SUM(Y68:AA68)</f>
        <v>0</v>
      </c>
      <c r="AC68" s="172"/>
      <c r="AD68"/>
    </row>
    <row r="69" spans="1:30" ht="17.100000000000001" customHeight="1" thickBot="1">
      <c r="A69" s="177"/>
      <c r="B69" s="46" t="s">
        <v>353</v>
      </c>
      <c r="C69" s="46">
        <v>4021</v>
      </c>
      <c r="D69" s="47" t="s">
        <v>137</v>
      </c>
      <c r="E69" s="179"/>
      <c r="F69" s="48" t="s">
        <v>354</v>
      </c>
      <c r="G69" s="49">
        <v>33407</v>
      </c>
      <c r="H69" s="181"/>
      <c r="I69" s="170"/>
      <c r="J69" s="170"/>
      <c r="K69" s="170"/>
      <c r="L69" s="170"/>
      <c r="M69" s="170"/>
      <c r="N69" s="170"/>
      <c r="O69" s="175"/>
      <c r="P69" s="88" t="s">
        <v>355</v>
      </c>
      <c r="Q69" s="50" t="s">
        <v>89</v>
      </c>
      <c r="R69" s="133"/>
      <c r="S69" s="52" t="s">
        <v>271</v>
      </c>
      <c r="T69" s="53"/>
      <c r="U69" s="54"/>
      <c r="V69" s="55" t="s">
        <v>120</v>
      </c>
      <c r="W69" s="90"/>
      <c r="X69" s="54"/>
      <c r="Y69" s="170"/>
      <c r="Z69" s="170"/>
      <c r="AA69" s="170"/>
      <c r="AB69" s="170"/>
      <c r="AC69" s="173"/>
      <c r="AD69"/>
    </row>
    <row r="70" spans="1:30" ht="17.100000000000001" customHeight="1" thickTop="1">
      <c r="A70" s="176" t="s">
        <v>356</v>
      </c>
      <c r="B70" s="33">
        <v>42234</v>
      </c>
      <c r="C70" s="78" t="s">
        <v>357</v>
      </c>
      <c r="D70" s="35" t="s">
        <v>358</v>
      </c>
      <c r="E70" s="178"/>
      <c r="F70" s="128" t="s">
        <v>359</v>
      </c>
      <c r="G70" s="37" t="s">
        <v>360</v>
      </c>
      <c r="H70" s="180"/>
      <c r="I70" s="169">
        <v>1695000</v>
      </c>
      <c r="J70" s="169">
        <v>135600</v>
      </c>
      <c r="K70" s="169">
        <v>26200</v>
      </c>
      <c r="L70" s="169">
        <v>21580</v>
      </c>
      <c r="M70" s="169">
        <v>12960</v>
      </c>
      <c r="N70" s="169">
        <f>SUM(I70:M70)</f>
        <v>1891340</v>
      </c>
      <c r="O70" s="174">
        <v>100000</v>
      </c>
      <c r="P70" s="129" t="s">
        <v>361</v>
      </c>
      <c r="Q70" s="38" t="s">
        <v>88</v>
      </c>
      <c r="R70" s="134"/>
      <c r="S70" s="135"/>
      <c r="T70" s="136"/>
      <c r="U70" s="42"/>
      <c r="V70" s="43"/>
      <c r="W70" s="104"/>
      <c r="X70" s="45"/>
      <c r="Y70" s="169"/>
      <c r="Z70" s="171">
        <f>Y70*0.1</f>
        <v>0</v>
      </c>
      <c r="AA70" s="169"/>
      <c r="AB70" s="169">
        <f>SUM(Y70:AA70)</f>
        <v>0</v>
      </c>
      <c r="AC70" s="172"/>
      <c r="AD70"/>
    </row>
    <row r="71" spans="1:30" ht="17.100000000000001" customHeight="1" thickBot="1">
      <c r="A71" s="177"/>
      <c r="B71" s="46" t="s">
        <v>211</v>
      </c>
      <c r="C71" s="46">
        <v>75018</v>
      </c>
      <c r="D71" s="47" t="s">
        <v>362</v>
      </c>
      <c r="E71" s="179"/>
      <c r="F71" s="48" t="s">
        <v>363</v>
      </c>
      <c r="G71" s="49">
        <v>36328</v>
      </c>
      <c r="H71" s="181"/>
      <c r="I71" s="170"/>
      <c r="J71" s="170"/>
      <c r="K71" s="170"/>
      <c r="L71" s="170"/>
      <c r="M71" s="170"/>
      <c r="N71" s="170"/>
      <c r="O71" s="175"/>
      <c r="P71" s="88" t="s">
        <v>364</v>
      </c>
      <c r="Q71" s="50" t="s">
        <v>89</v>
      </c>
      <c r="R71" s="133"/>
      <c r="S71" s="52" t="s">
        <v>365</v>
      </c>
      <c r="T71" s="53"/>
      <c r="U71" s="54"/>
      <c r="V71" s="55" t="s">
        <v>120</v>
      </c>
      <c r="W71" s="90"/>
      <c r="X71" s="54"/>
      <c r="Y71" s="170"/>
      <c r="Z71" s="170"/>
      <c r="AA71" s="170"/>
      <c r="AB71" s="170"/>
      <c r="AC71" s="173"/>
      <c r="AD71"/>
    </row>
    <row r="72" spans="1:30" ht="17.100000000000001" customHeight="1" thickTop="1">
      <c r="A72" s="176" t="s">
        <v>366</v>
      </c>
      <c r="B72" s="33">
        <v>42461</v>
      </c>
      <c r="C72" s="137"/>
      <c r="D72" s="35" t="s">
        <v>367</v>
      </c>
      <c r="E72" s="178" t="s">
        <v>250</v>
      </c>
      <c r="F72" s="128" t="s">
        <v>368</v>
      </c>
      <c r="G72" s="138" t="s">
        <v>369</v>
      </c>
      <c r="H72" s="180"/>
      <c r="I72" s="169">
        <v>6000000</v>
      </c>
      <c r="J72" s="169"/>
      <c r="K72" s="169"/>
      <c r="L72" s="169"/>
      <c r="M72" s="169"/>
      <c r="N72" s="169">
        <f>SUM(I72:M73)</f>
        <v>6000000</v>
      </c>
      <c r="O72" s="174"/>
      <c r="P72" s="139" t="s">
        <v>370</v>
      </c>
      <c r="Q72" s="38" t="s">
        <v>88</v>
      </c>
      <c r="R72" s="134"/>
      <c r="S72" s="135"/>
      <c r="T72" s="135"/>
      <c r="U72" s="81"/>
      <c r="V72" s="43" t="s">
        <v>371</v>
      </c>
      <c r="W72" s="104"/>
      <c r="X72" s="45"/>
      <c r="Y72" s="169"/>
      <c r="Z72" s="171">
        <f>Y72*0.1</f>
        <v>0</v>
      </c>
      <c r="AA72" s="169"/>
      <c r="AB72" s="169">
        <f>SUM(Y72:AA72)</f>
        <v>0</v>
      </c>
      <c r="AC72" s="172"/>
      <c r="AD72"/>
    </row>
    <row r="73" spans="1:30" ht="17.100000000000001" customHeight="1" thickBot="1">
      <c r="A73" s="177"/>
      <c r="B73" s="46" t="s">
        <v>372</v>
      </c>
      <c r="C73" s="46"/>
      <c r="D73" s="47" t="s">
        <v>373</v>
      </c>
      <c r="E73" s="179"/>
      <c r="F73" s="48" t="s">
        <v>374</v>
      </c>
      <c r="G73" s="127"/>
      <c r="H73" s="181"/>
      <c r="I73" s="170"/>
      <c r="J73" s="170"/>
      <c r="K73" s="170"/>
      <c r="L73" s="170"/>
      <c r="M73" s="170"/>
      <c r="N73" s="170"/>
      <c r="O73" s="175"/>
      <c r="P73" s="46" t="s">
        <v>375</v>
      </c>
      <c r="Q73" s="50" t="s">
        <v>89</v>
      </c>
      <c r="R73" s="133"/>
      <c r="S73" s="52"/>
      <c r="T73" s="140"/>
      <c r="U73" s="88"/>
      <c r="V73" s="141"/>
      <c r="W73" s="90"/>
      <c r="X73" s="46"/>
      <c r="Y73" s="170"/>
      <c r="Z73" s="170"/>
      <c r="AA73" s="170"/>
      <c r="AB73" s="170"/>
      <c r="AC73" s="173"/>
      <c r="AD73"/>
    </row>
    <row r="74" spans="1:30" ht="17.100000000000001" customHeight="1" thickTop="1">
      <c r="A74" s="176" t="s">
        <v>376</v>
      </c>
      <c r="B74" s="33">
        <v>42411</v>
      </c>
      <c r="C74" s="78" t="s">
        <v>377</v>
      </c>
      <c r="D74" s="35" t="s">
        <v>378</v>
      </c>
      <c r="E74" s="178"/>
      <c r="F74" s="128" t="s">
        <v>379</v>
      </c>
      <c r="G74" s="37"/>
      <c r="H74" s="180"/>
      <c r="I74" s="169">
        <v>597000</v>
      </c>
      <c r="J74" s="169">
        <v>47760</v>
      </c>
      <c r="K74" s="169"/>
      <c r="L74" s="169">
        <v>16090</v>
      </c>
      <c r="M74" s="169">
        <v>4320</v>
      </c>
      <c r="N74" s="169">
        <f>SUM(I74:M74)</f>
        <v>665170</v>
      </c>
      <c r="O74" s="174">
        <v>200000</v>
      </c>
      <c r="P74" s="129" t="s">
        <v>380</v>
      </c>
      <c r="Q74" s="38" t="s">
        <v>88</v>
      </c>
      <c r="R74" s="134"/>
      <c r="S74" s="135"/>
      <c r="T74" s="136"/>
      <c r="U74" s="42"/>
      <c r="V74" s="43"/>
      <c r="W74" s="104"/>
      <c r="X74" s="45"/>
      <c r="Y74" s="169"/>
      <c r="Z74" s="171">
        <f>Y74*0.1</f>
        <v>0</v>
      </c>
      <c r="AA74" s="169"/>
      <c r="AB74" s="169">
        <f>SUM(Y74:AA74)</f>
        <v>0</v>
      </c>
      <c r="AC74" s="172"/>
      <c r="AD74"/>
    </row>
    <row r="75" spans="1:30" ht="17.100000000000001" customHeight="1" thickBot="1">
      <c r="A75" s="177"/>
      <c r="B75" s="46" t="s">
        <v>381</v>
      </c>
      <c r="C75" s="46">
        <v>30016</v>
      </c>
      <c r="D75" s="47" t="s">
        <v>312</v>
      </c>
      <c r="E75" s="179"/>
      <c r="F75" s="48" t="s">
        <v>382</v>
      </c>
      <c r="G75" s="49">
        <v>86558</v>
      </c>
      <c r="H75" s="181"/>
      <c r="I75" s="170"/>
      <c r="J75" s="170"/>
      <c r="K75" s="170"/>
      <c r="L75" s="170"/>
      <c r="M75" s="170"/>
      <c r="N75" s="170"/>
      <c r="O75" s="175"/>
      <c r="P75" s="88" t="s">
        <v>383</v>
      </c>
      <c r="Q75" s="50" t="s">
        <v>89</v>
      </c>
      <c r="R75" s="133"/>
      <c r="S75" s="52" t="s">
        <v>384</v>
      </c>
      <c r="T75" s="53"/>
      <c r="U75" s="54"/>
      <c r="V75" s="55"/>
      <c r="W75" s="90"/>
      <c r="X75" s="54"/>
      <c r="Y75" s="170"/>
      <c r="Z75" s="170"/>
      <c r="AA75" s="170"/>
      <c r="AB75" s="170"/>
      <c r="AC75" s="173"/>
      <c r="AD75"/>
    </row>
    <row r="76" spans="1:30" ht="17.100000000000001" customHeight="1" thickTop="1">
      <c r="A76" s="176" t="s">
        <v>385</v>
      </c>
      <c r="B76" s="33">
        <v>42429</v>
      </c>
      <c r="C76" s="78" t="s">
        <v>386</v>
      </c>
      <c r="D76" s="35" t="s">
        <v>387</v>
      </c>
      <c r="E76" s="178"/>
      <c r="F76" s="128" t="s">
        <v>388</v>
      </c>
      <c r="G76" s="37"/>
      <c r="H76" s="180"/>
      <c r="I76" s="169">
        <v>1715000</v>
      </c>
      <c r="J76" s="169">
        <v>137200</v>
      </c>
      <c r="K76" s="169"/>
      <c r="L76" s="169">
        <v>18770</v>
      </c>
      <c r="M76" s="169">
        <v>10800</v>
      </c>
      <c r="N76" s="169">
        <f>SUM(I76:M76)</f>
        <v>1881770</v>
      </c>
      <c r="O76" s="174">
        <v>500000</v>
      </c>
      <c r="P76" s="129" t="s">
        <v>389</v>
      </c>
      <c r="Q76" s="38" t="s">
        <v>88</v>
      </c>
      <c r="R76" s="142"/>
      <c r="S76" s="143" t="s">
        <v>390</v>
      </c>
      <c r="T76" s="144"/>
      <c r="U76" s="42"/>
      <c r="V76" s="43"/>
      <c r="W76" s="104"/>
      <c r="X76" s="45"/>
      <c r="Y76" s="169"/>
      <c r="Z76" s="171">
        <f>Y76*0.1</f>
        <v>0</v>
      </c>
      <c r="AA76" s="169"/>
      <c r="AB76" s="169">
        <f>SUM(Y76:AA76)</f>
        <v>0</v>
      </c>
      <c r="AC76" s="172"/>
      <c r="AD76"/>
    </row>
    <row r="77" spans="1:30" ht="17.100000000000001" customHeight="1" thickBot="1">
      <c r="A77" s="177"/>
      <c r="B77" s="46" t="s">
        <v>156</v>
      </c>
      <c r="C77" s="46">
        <v>35518</v>
      </c>
      <c r="D77" s="47" t="s">
        <v>50</v>
      </c>
      <c r="E77" s="179"/>
      <c r="F77" s="48" t="s">
        <v>391</v>
      </c>
      <c r="G77" s="49">
        <v>31008</v>
      </c>
      <c r="H77" s="181"/>
      <c r="I77" s="170"/>
      <c r="J77" s="170"/>
      <c r="K77" s="170"/>
      <c r="L77" s="170"/>
      <c r="M77" s="170"/>
      <c r="N77" s="170"/>
      <c r="O77" s="175"/>
      <c r="P77" s="88" t="s">
        <v>392</v>
      </c>
      <c r="Q77" s="50" t="s">
        <v>89</v>
      </c>
      <c r="R77" s="133"/>
      <c r="S77" s="52" t="s">
        <v>384</v>
      </c>
      <c r="T77" s="53"/>
      <c r="U77" s="54"/>
      <c r="V77" s="55"/>
      <c r="W77" s="90"/>
      <c r="X77" s="54"/>
      <c r="Y77" s="170"/>
      <c r="Z77" s="170"/>
      <c r="AA77" s="170"/>
      <c r="AB77" s="170"/>
      <c r="AC77" s="173"/>
      <c r="AD77"/>
    </row>
    <row r="78" spans="1:30" ht="17.100000000000001" customHeight="1" thickTop="1">
      <c r="A78" s="176" t="s">
        <v>393</v>
      </c>
      <c r="B78" s="33">
        <v>42453</v>
      </c>
      <c r="C78" s="78" t="s">
        <v>394</v>
      </c>
      <c r="D78" s="35" t="s">
        <v>395</v>
      </c>
      <c r="E78" s="178"/>
      <c r="F78" s="128" t="s">
        <v>396</v>
      </c>
      <c r="G78" s="37"/>
      <c r="H78" s="180"/>
      <c r="I78" s="169">
        <v>820000</v>
      </c>
      <c r="J78" s="169">
        <v>65600</v>
      </c>
      <c r="K78" s="169"/>
      <c r="L78" s="169">
        <v>16190</v>
      </c>
      <c r="M78" s="169">
        <v>12960</v>
      </c>
      <c r="N78" s="169">
        <f>SUM(I78:M78)</f>
        <v>914750</v>
      </c>
      <c r="O78" s="174">
        <v>200000</v>
      </c>
      <c r="P78" s="129" t="s">
        <v>397</v>
      </c>
      <c r="Q78" s="38" t="s">
        <v>88</v>
      </c>
      <c r="R78" s="134"/>
      <c r="S78" s="135"/>
      <c r="T78" s="136"/>
      <c r="U78" s="42"/>
      <c r="V78" s="43"/>
      <c r="W78" s="104"/>
      <c r="X78" s="45"/>
      <c r="Y78" s="169"/>
      <c r="Z78" s="171">
        <f>Y78*0.1</f>
        <v>0</v>
      </c>
      <c r="AA78" s="169"/>
      <c r="AB78" s="169">
        <f>SUM(Y78:AA78)</f>
        <v>0</v>
      </c>
      <c r="AC78" s="172"/>
      <c r="AD78"/>
    </row>
    <row r="79" spans="1:30" ht="17.100000000000001" customHeight="1" thickBot="1">
      <c r="A79" s="177"/>
      <c r="B79" s="46" t="s">
        <v>229</v>
      </c>
      <c r="C79" s="46">
        <v>70730</v>
      </c>
      <c r="D79" s="47" t="s">
        <v>295</v>
      </c>
      <c r="E79" s="179"/>
      <c r="F79" s="48" t="s">
        <v>398</v>
      </c>
      <c r="G79" s="49">
        <v>46600</v>
      </c>
      <c r="H79" s="181"/>
      <c r="I79" s="170"/>
      <c r="J79" s="170"/>
      <c r="K79" s="170"/>
      <c r="L79" s="170"/>
      <c r="M79" s="170"/>
      <c r="N79" s="170"/>
      <c r="O79" s="175"/>
      <c r="P79" s="88" t="s">
        <v>399</v>
      </c>
      <c r="Q79" s="50" t="s">
        <v>89</v>
      </c>
      <c r="R79" s="133"/>
      <c r="S79" s="52" t="s">
        <v>384</v>
      </c>
      <c r="T79" s="53"/>
      <c r="U79" s="54"/>
      <c r="V79" s="55"/>
      <c r="W79" s="90"/>
      <c r="X79" s="54"/>
      <c r="Y79" s="170"/>
      <c r="Z79" s="170"/>
      <c r="AA79" s="170"/>
      <c r="AB79" s="170"/>
      <c r="AC79" s="173"/>
      <c r="AD79"/>
    </row>
    <row r="80" spans="1:30" ht="17.100000000000001" customHeight="1" thickTop="1">
      <c r="A80" s="176" t="s">
        <v>400</v>
      </c>
      <c r="B80" s="33">
        <v>42516</v>
      </c>
      <c r="C80" s="78" t="s">
        <v>401</v>
      </c>
      <c r="D80" s="35" t="s">
        <v>402</v>
      </c>
      <c r="E80" s="178"/>
      <c r="F80" s="128" t="s">
        <v>403</v>
      </c>
      <c r="G80" s="37"/>
      <c r="H80" s="180"/>
      <c r="I80" s="169">
        <v>1705000</v>
      </c>
      <c r="J80" s="169">
        <v>136400</v>
      </c>
      <c r="K80" s="169"/>
      <c r="L80" s="169">
        <v>19810</v>
      </c>
      <c r="M80" s="169">
        <v>12960</v>
      </c>
      <c r="N80" s="169">
        <f>SUM(I80:M80)</f>
        <v>1874170</v>
      </c>
      <c r="O80" s="174">
        <v>200000</v>
      </c>
      <c r="P80" s="129" t="s">
        <v>404</v>
      </c>
      <c r="Q80" s="38" t="s">
        <v>88</v>
      </c>
      <c r="R80" s="134"/>
      <c r="S80" s="135"/>
      <c r="T80" s="136"/>
      <c r="U80" s="42"/>
      <c r="V80" s="43"/>
      <c r="W80" s="104"/>
      <c r="X80" s="45"/>
      <c r="Y80" s="169"/>
      <c r="Z80" s="171">
        <f>Y80*0.1</f>
        <v>0</v>
      </c>
      <c r="AA80" s="169"/>
      <c r="AB80" s="169">
        <f>SUM(Y80:AA80)</f>
        <v>0</v>
      </c>
      <c r="AC80" s="172"/>
      <c r="AD80"/>
    </row>
    <row r="81" spans="1:30" ht="17.100000000000001" customHeight="1" thickBot="1">
      <c r="A81" s="177"/>
      <c r="B81" s="46" t="s">
        <v>345</v>
      </c>
      <c r="C81" s="46">
        <v>3</v>
      </c>
      <c r="D81" s="47" t="s">
        <v>405</v>
      </c>
      <c r="E81" s="179"/>
      <c r="F81" s="48" t="s">
        <v>406</v>
      </c>
      <c r="G81" s="49">
        <v>49995</v>
      </c>
      <c r="H81" s="181"/>
      <c r="I81" s="170"/>
      <c r="J81" s="170"/>
      <c r="K81" s="170"/>
      <c r="L81" s="170"/>
      <c r="M81" s="170"/>
      <c r="N81" s="170"/>
      <c r="O81" s="175"/>
      <c r="P81" s="88" t="s">
        <v>246</v>
      </c>
      <c r="Q81" s="50" t="s">
        <v>89</v>
      </c>
      <c r="R81" s="133"/>
      <c r="S81" s="52" t="s">
        <v>407</v>
      </c>
      <c r="T81" s="53"/>
      <c r="U81" s="54"/>
      <c r="V81" s="55"/>
      <c r="W81" s="90"/>
      <c r="X81" s="54"/>
      <c r="Y81" s="170"/>
      <c r="Z81" s="170"/>
      <c r="AA81" s="170"/>
      <c r="AB81" s="170"/>
      <c r="AC81" s="173"/>
      <c r="AD81"/>
    </row>
    <row r="82" spans="1:30" ht="17.100000000000001" customHeight="1" thickTop="1">
      <c r="A82" s="176" t="s">
        <v>408</v>
      </c>
      <c r="B82" s="33">
        <v>42524</v>
      </c>
      <c r="C82" s="78" t="s">
        <v>409</v>
      </c>
      <c r="D82" s="35" t="s">
        <v>410</v>
      </c>
      <c r="E82" s="178"/>
      <c r="F82" s="128" t="s">
        <v>411</v>
      </c>
      <c r="G82" s="37" t="s">
        <v>412</v>
      </c>
      <c r="H82" s="180"/>
      <c r="I82" s="169">
        <v>958000</v>
      </c>
      <c r="J82" s="169">
        <v>76640</v>
      </c>
      <c r="K82" s="169">
        <v>29600</v>
      </c>
      <c r="L82" s="169">
        <v>18990</v>
      </c>
      <c r="M82" s="169">
        <v>12960</v>
      </c>
      <c r="N82" s="169">
        <f>SUM(I82:M82)</f>
        <v>1096190</v>
      </c>
      <c r="O82" s="174">
        <v>250000</v>
      </c>
      <c r="P82" s="129" t="s">
        <v>413</v>
      </c>
      <c r="Q82" s="38" t="s">
        <v>88</v>
      </c>
      <c r="R82" s="134"/>
      <c r="S82" s="135"/>
      <c r="T82" s="136"/>
      <c r="U82" s="42"/>
      <c r="V82" s="43"/>
      <c r="W82" s="104"/>
      <c r="X82" s="45"/>
      <c r="Y82" s="169"/>
      <c r="Z82" s="171">
        <f>Y82*0.1</f>
        <v>0</v>
      </c>
      <c r="AA82" s="169"/>
      <c r="AB82" s="169">
        <f>SUM(Y82:AA82)</f>
        <v>0</v>
      </c>
      <c r="AC82" s="172"/>
      <c r="AD82"/>
    </row>
    <row r="83" spans="1:30" ht="17.100000000000001" customHeight="1" thickBot="1">
      <c r="A83" s="177"/>
      <c r="B83" s="46" t="s">
        <v>294</v>
      </c>
      <c r="C83" s="46">
        <v>20851</v>
      </c>
      <c r="D83" s="47" t="s">
        <v>137</v>
      </c>
      <c r="E83" s="179"/>
      <c r="F83" s="48" t="s">
        <v>414</v>
      </c>
      <c r="G83" s="49">
        <v>58387</v>
      </c>
      <c r="H83" s="181"/>
      <c r="I83" s="170"/>
      <c r="J83" s="170"/>
      <c r="K83" s="170"/>
      <c r="L83" s="170"/>
      <c r="M83" s="170"/>
      <c r="N83" s="170"/>
      <c r="O83" s="175"/>
      <c r="P83" s="88" t="s">
        <v>415</v>
      </c>
      <c r="Q83" s="50" t="s">
        <v>89</v>
      </c>
      <c r="R83" s="133"/>
      <c r="S83" s="52"/>
      <c r="T83" s="53"/>
      <c r="U83" s="54"/>
      <c r="V83" s="55" t="s">
        <v>120</v>
      </c>
      <c r="W83" s="90"/>
      <c r="X83" s="54"/>
      <c r="Y83" s="170"/>
      <c r="Z83" s="170"/>
      <c r="AA83" s="170"/>
      <c r="AB83" s="170"/>
      <c r="AC83" s="173"/>
      <c r="AD83"/>
    </row>
    <row r="84" spans="1:30" ht="17.100000000000001" customHeight="1" thickTop="1">
      <c r="A84" s="176" t="s">
        <v>416</v>
      </c>
      <c r="B84" s="33">
        <v>42532</v>
      </c>
      <c r="C84" s="78" t="s">
        <v>417</v>
      </c>
      <c r="D84" s="35" t="s">
        <v>332</v>
      </c>
      <c r="E84" s="178"/>
      <c r="F84" s="128" t="s">
        <v>418</v>
      </c>
      <c r="G84" s="37" t="s">
        <v>419</v>
      </c>
      <c r="H84" s="180"/>
      <c r="I84" s="169">
        <v>174000</v>
      </c>
      <c r="J84" s="169">
        <v>13920</v>
      </c>
      <c r="K84" s="169">
        <v>49800</v>
      </c>
      <c r="L84" s="169">
        <v>15590</v>
      </c>
      <c r="M84" s="169">
        <v>11880</v>
      </c>
      <c r="N84" s="169">
        <f>SUM(I84:M84)</f>
        <v>265190</v>
      </c>
      <c r="O84" s="174"/>
      <c r="P84" s="129" t="s">
        <v>420</v>
      </c>
      <c r="Q84" s="38" t="s">
        <v>88</v>
      </c>
      <c r="R84" s="134"/>
      <c r="S84" s="135"/>
      <c r="T84" s="136"/>
      <c r="U84" s="42"/>
      <c r="V84" s="43"/>
      <c r="W84" s="104"/>
      <c r="X84" s="45"/>
      <c r="Y84" s="169"/>
      <c r="Z84" s="171">
        <f>Y84*0.1</f>
        <v>0</v>
      </c>
      <c r="AA84" s="169"/>
      <c r="AB84" s="169">
        <f>SUM(Y84:AA84)</f>
        <v>0</v>
      </c>
      <c r="AC84" s="172"/>
      <c r="AD84"/>
    </row>
    <row r="85" spans="1:30" ht="17.100000000000001" customHeight="1" thickBot="1">
      <c r="A85" s="177"/>
      <c r="B85" s="46" t="s">
        <v>115</v>
      </c>
      <c r="C85" s="46">
        <v>10284</v>
      </c>
      <c r="D85" s="47" t="s">
        <v>137</v>
      </c>
      <c r="E85" s="179"/>
      <c r="F85" s="48" t="s">
        <v>421</v>
      </c>
      <c r="G85" s="49">
        <v>67839</v>
      </c>
      <c r="H85" s="181"/>
      <c r="I85" s="170"/>
      <c r="J85" s="170"/>
      <c r="K85" s="170"/>
      <c r="L85" s="170"/>
      <c r="M85" s="170"/>
      <c r="N85" s="170"/>
      <c r="O85" s="175"/>
      <c r="P85" s="88" t="s">
        <v>422</v>
      </c>
      <c r="Q85" s="50" t="s">
        <v>89</v>
      </c>
      <c r="R85" s="133"/>
      <c r="S85" s="52" t="s">
        <v>384</v>
      </c>
      <c r="T85" s="53"/>
      <c r="U85" s="54"/>
      <c r="V85" s="55" t="s">
        <v>120</v>
      </c>
      <c r="W85" s="90"/>
      <c r="X85" s="54"/>
      <c r="Y85" s="170"/>
      <c r="Z85" s="170"/>
      <c r="AA85" s="170"/>
      <c r="AB85" s="170"/>
      <c r="AC85" s="173"/>
      <c r="AD85"/>
    </row>
    <row r="86" spans="1:30" ht="17.100000000000001" customHeight="1" thickTop="1">
      <c r="A86" s="176" t="s">
        <v>423</v>
      </c>
      <c r="B86" s="33">
        <v>42578</v>
      </c>
      <c r="C86" s="78" t="s">
        <v>424</v>
      </c>
      <c r="D86" s="35" t="s">
        <v>425</v>
      </c>
      <c r="E86" s="178"/>
      <c r="F86" s="128" t="s">
        <v>426</v>
      </c>
      <c r="G86" s="37" t="s">
        <v>427</v>
      </c>
      <c r="H86" s="180"/>
      <c r="I86" s="169">
        <v>1643000</v>
      </c>
      <c r="J86" s="169">
        <v>131440</v>
      </c>
      <c r="K86" s="169">
        <v>26300</v>
      </c>
      <c r="L86" s="169">
        <v>18870</v>
      </c>
      <c r="M86" s="169">
        <v>13500</v>
      </c>
      <c r="N86" s="169">
        <f>SUM(I86:M86)</f>
        <v>1833110</v>
      </c>
      <c r="O86" s="174">
        <v>500000</v>
      </c>
      <c r="P86" s="129" t="s">
        <v>428</v>
      </c>
      <c r="Q86" s="38" t="s">
        <v>88</v>
      </c>
      <c r="R86" s="134"/>
      <c r="S86" s="135"/>
      <c r="T86" s="136"/>
      <c r="U86" s="42"/>
      <c r="V86" s="43"/>
      <c r="W86" s="104"/>
      <c r="X86" s="45"/>
      <c r="Y86" s="169"/>
      <c r="Z86" s="171">
        <f>Y86*0.1</f>
        <v>0</v>
      </c>
      <c r="AA86" s="169"/>
      <c r="AB86" s="169">
        <f>SUM(Y86:AA86)</f>
        <v>0</v>
      </c>
      <c r="AC86" s="172"/>
      <c r="AD86"/>
    </row>
    <row r="87" spans="1:30" ht="17.100000000000001" customHeight="1" thickBot="1">
      <c r="A87" s="177"/>
      <c r="B87" s="46" t="s">
        <v>429</v>
      </c>
      <c r="C87" s="46">
        <v>7175</v>
      </c>
      <c r="D87" s="47" t="s">
        <v>430</v>
      </c>
      <c r="E87" s="179"/>
      <c r="F87" s="48" t="s">
        <v>431</v>
      </c>
      <c r="G87" s="49">
        <v>46424</v>
      </c>
      <c r="H87" s="181"/>
      <c r="I87" s="170"/>
      <c r="J87" s="170"/>
      <c r="K87" s="170"/>
      <c r="L87" s="170"/>
      <c r="M87" s="170"/>
      <c r="N87" s="170"/>
      <c r="O87" s="175"/>
      <c r="P87" s="88" t="s">
        <v>432</v>
      </c>
      <c r="Q87" s="50" t="s">
        <v>89</v>
      </c>
      <c r="R87" s="133"/>
      <c r="S87" s="52" t="s">
        <v>271</v>
      </c>
      <c r="T87" s="53"/>
      <c r="U87" s="54"/>
      <c r="V87" s="55"/>
      <c r="W87" s="90"/>
      <c r="X87" s="54"/>
      <c r="Y87" s="170"/>
      <c r="Z87" s="170"/>
      <c r="AA87" s="170"/>
      <c r="AB87" s="170"/>
      <c r="AC87" s="173"/>
      <c r="AD87"/>
    </row>
    <row r="88" spans="1:30" ht="17.100000000000001" customHeight="1" thickTop="1">
      <c r="A88" s="176" t="s">
        <v>433</v>
      </c>
      <c r="B88" s="33">
        <v>42581</v>
      </c>
      <c r="C88" s="78" t="s">
        <v>434</v>
      </c>
      <c r="D88" s="35" t="s">
        <v>435</v>
      </c>
      <c r="E88" s="178"/>
      <c r="F88" s="128" t="s">
        <v>379</v>
      </c>
      <c r="G88" s="37" t="s">
        <v>436</v>
      </c>
      <c r="H88" s="180"/>
      <c r="I88" s="169">
        <v>460000</v>
      </c>
      <c r="J88" s="169">
        <v>36800</v>
      </c>
      <c r="K88" s="169">
        <v>26300</v>
      </c>
      <c r="L88" s="169">
        <v>15890</v>
      </c>
      <c r="M88" s="169">
        <v>23760</v>
      </c>
      <c r="N88" s="169">
        <f>SUM(I88:M88)</f>
        <v>562750</v>
      </c>
      <c r="O88" s="174">
        <v>50000</v>
      </c>
      <c r="P88" s="129" t="s">
        <v>437</v>
      </c>
      <c r="Q88" s="38" t="s">
        <v>88</v>
      </c>
      <c r="R88" s="134"/>
      <c r="S88" s="135"/>
      <c r="T88" s="136"/>
      <c r="U88" s="42"/>
      <c r="V88" s="43"/>
      <c r="W88" s="104"/>
      <c r="X88" s="45"/>
      <c r="Y88" s="169"/>
      <c r="Z88" s="171">
        <f>Y88*0.1</f>
        <v>0</v>
      </c>
      <c r="AA88" s="169"/>
      <c r="AB88" s="169">
        <f>SUM(Y88:AA88)</f>
        <v>0</v>
      </c>
      <c r="AC88" s="172"/>
      <c r="AD88"/>
    </row>
    <row r="89" spans="1:30" ht="17.100000000000001" customHeight="1" thickBot="1">
      <c r="A89" s="177"/>
      <c r="B89" s="46" t="s">
        <v>438</v>
      </c>
      <c r="C89" s="46">
        <v>5506</v>
      </c>
      <c r="D89" s="47" t="s">
        <v>137</v>
      </c>
      <c r="E89" s="179"/>
      <c r="F89" s="48" t="s">
        <v>439</v>
      </c>
      <c r="G89" s="49">
        <v>47436</v>
      </c>
      <c r="H89" s="181"/>
      <c r="I89" s="170"/>
      <c r="J89" s="170"/>
      <c r="K89" s="170"/>
      <c r="L89" s="170"/>
      <c r="M89" s="170"/>
      <c r="N89" s="170"/>
      <c r="O89" s="175"/>
      <c r="P89" s="88" t="s">
        <v>440</v>
      </c>
      <c r="Q89" s="50" t="s">
        <v>89</v>
      </c>
      <c r="R89" s="133"/>
      <c r="S89" s="52" t="s">
        <v>384</v>
      </c>
      <c r="T89" s="53"/>
      <c r="U89" s="54"/>
      <c r="V89" s="55"/>
      <c r="W89" s="90"/>
      <c r="X89" s="54"/>
      <c r="Y89" s="170"/>
      <c r="Z89" s="170"/>
      <c r="AA89" s="170"/>
      <c r="AB89" s="170"/>
      <c r="AC89" s="173"/>
      <c r="AD89"/>
    </row>
    <row r="90" spans="1:30" ht="17.100000000000001" customHeight="1" thickTop="1">
      <c r="A90" s="176" t="s">
        <v>441</v>
      </c>
      <c r="B90" s="33">
        <v>42619</v>
      </c>
      <c r="C90" s="78" t="s">
        <v>442</v>
      </c>
      <c r="D90" s="35" t="s">
        <v>443</v>
      </c>
      <c r="E90" s="185"/>
      <c r="F90" s="131" t="s">
        <v>444</v>
      </c>
      <c r="G90" s="37"/>
      <c r="H90" s="180"/>
      <c r="I90" s="169">
        <v>987000</v>
      </c>
      <c r="J90" s="169">
        <v>78960</v>
      </c>
      <c r="K90" s="169"/>
      <c r="L90" s="169">
        <v>23900</v>
      </c>
      <c r="M90" s="169">
        <v>9720</v>
      </c>
      <c r="N90" s="169">
        <f>SUM(I90:M90)</f>
        <v>1099580</v>
      </c>
      <c r="O90" s="183">
        <v>500000</v>
      </c>
      <c r="P90" s="129" t="s">
        <v>445</v>
      </c>
      <c r="Q90" s="82" t="s">
        <v>88</v>
      </c>
      <c r="R90" s="83"/>
      <c r="S90" s="84"/>
      <c r="T90" s="85"/>
      <c r="U90" s="42"/>
      <c r="V90" s="43"/>
      <c r="W90" s="104"/>
      <c r="X90" s="45"/>
      <c r="Y90" s="169"/>
      <c r="Z90" s="171">
        <f>Y90*0.1</f>
        <v>0</v>
      </c>
      <c r="AA90" s="169"/>
      <c r="AB90" s="169">
        <f>SUM(Y90:AA90)</f>
        <v>0</v>
      </c>
      <c r="AC90" s="172"/>
      <c r="AD90"/>
    </row>
    <row r="91" spans="1:30" ht="17.100000000000001" customHeight="1" thickBot="1">
      <c r="A91" s="177"/>
      <c r="B91" s="46" t="s">
        <v>446</v>
      </c>
      <c r="C91" s="46">
        <v>5005</v>
      </c>
      <c r="D91" s="47" t="s">
        <v>137</v>
      </c>
      <c r="E91" s="186"/>
      <c r="F91" s="70" t="s">
        <v>447</v>
      </c>
      <c r="G91" s="49">
        <v>36892</v>
      </c>
      <c r="H91" s="181"/>
      <c r="I91" s="170"/>
      <c r="J91" s="170"/>
      <c r="K91" s="170"/>
      <c r="L91" s="170"/>
      <c r="M91" s="170"/>
      <c r="N91" s="170"/>
      <c r="O91" s="184"/>
      <c r="P91" s="88" t="s">
        <v>448</v>
      </c>
      <c r="Q91" s="89" t="s">
        <v>89</v>
      </c>
      <c r="R91" s="145"/>
      <c r="S91" s="52"/>
      <c r="T91" s="53"/>
      <c r="U91" s="54"/>
      <c r="V91" s="55"/>
      <c r="W91" s="90"/>
      <c r="X91" s="54"/>
      <c r="Y91" s="170"/>
      <c r="Z91" s="170"/>
      <c r="AA91" s="170"/>
      <c r="AB91" s="170"/>
      <c r="AC91" s="173"/>
      <c r="AD91"/>
    </row>
    <row r="92" spans="1:30" ht="17.100000000000001" customHeight="1" thickTop="1">
      <c r="A92" s="176" t="s">
        <v>449</v>
      </c>
      <c r="B92" s="33">
        <v>42621</v>
      </c>
      <c r="C92" s="78"/>
      <c r="D92" s="35" t="s">
        <v>450</v>
      </c>
      <c r="E92" s="178"/>
      <c r="F92" s="128" t="s">
        <v>451</v>
      </c>
      <c r="G92" s="37" t="s">
        <v>419</v>
      </c>
      <c r="H92" s="180"/>
      <c r="I92" s="169">
        <v>2230000</v>
      </c>
      <c r="J92" s="169"/>
      <c r="K92" s="169"/>
      <c r="L92" s="169"/>
      <c r="M92" s="169">
        <v>648</v>
      </c>
      <c r="N92" s="169">
        <f>SUM(I92:M92)</f>
        <v>2230648</v>
      </c>
      <c r="O92" s="174">
        <v>500000</v>
      </c>
      <c r="P92" s="129" t="s">
        <v>452</v>
      </c>
      <c r="Q92" s="38" t="s">
        <v>88</v>
      </c>
      <c r="R92" s="134"/>
      <c r="S92" s="135"/>
      <c r="T92" s="136"/>
      <c r="U92" s="42"/>
      <c r="V92" s="43"/>
      <c r="W92" s="104"/>
      <c r="X92" s="45"/>
      <c r="Y92" s="169"/>
      <c r="Z92" s="171">
        <f>Y92*0.1</f>
        <v>0</v>
      </c>
      <c r="AA92" s="169"/>
      <c r="AB92" s="169">
        <f>SUM(Y92:AA92)</f>
        <v>0</v>
      </c>
      <c r="AC92" s="172"/>
      <c r="AD92"/>
    </row>
    <row r="93" spans="1:30" ht="17.100000000000001" customHeight="1" thickBot="1">
      <c r="A93" s="177"/>
      <c r="B93" s="46" t="s">
        <v>453</v>
      </c>
      <c r="C93" s="46"/>
      <c r="D93" s="47" t="s">
        <v>454</v>
      </c>
      <c r="E93" s="179"/>
      <c r="F93" s="48">
        <v>227012252</v>
      </c>
      <c r="G93" s="49"/>
      <c r="H93" s="181"/>
      <c r="I93" s="170"/>
      <c r="J93" s="170"/>
      <c r="K93" s="170"/>
      <c r="L93" s="170"/>
      <c r="M93" s="170"/>
      <c r="N93" s="170"/>
      <c r="O93" s="175"/>
      <c r="P93" s="88" t="s">
        <v>455</v>
      </c>
      <c r="Q93" s="50" t="s">
        <v>89</v>
      </c>
      <c r="R93" s="133"/>
      <c r="S93" s="52"/>
      <c r="T93" s="53"/>
      <c r="U93" s="54"/>
      <c r="V93" s="55" t="s">
        <v>120</v>
      </c>
      <c r="W93" s="90"/>
      <c r="X93" s="54"/>
      <c r="Y93" s="170"/>
      <c r="Z93" s="170"/>
      <c r="AA93" s="170"/>
      <c r="AB93" s="170"/>
      <c r="AC93" s="173"/>
      <c r="AD93"/>
    </row>
    <row r="94" spans="1:30" ht="17.100000000000001" customHeight="1" thickTop="1">
      <c r="A94" s="176" t="s">
        <v>456</v>
      </c>
      <c r="B94" s="33">
        <v>42637</v>
      </c>
      <c r="C94" s="78" t="s">
        <v>457</v>
      </c>
      <c r="D94" s="35" t="s">
        <v>458</v>
      </c>
      <c r="E94" s="185"/>
      <c r="F94" s="131" t="s">
        <v>459</v>
      </c>
      <c r="G94" s="37"/>
      <c r="H94" s="180"/>
      <c r="I94" s="169">
        <v>472000</v>
      </c>
      <c r="J94" s="169">
        <v>37760</v>
      </c>
      <c r="K94" s="169"/>
      <c r="L94" s="169">
        <v>15590</v>
      </c>
      <c r="M94" s="169">
        <v>14580</v>
      </c>
      <c r="N94" s="169">
        <f>SUM(I94:M94)</f>
        <v>539930</v>
      </c>
      <c r="O94" s="183">
        <v>300000</v>
      </c>
      <c r="P94" s="129" t="s">
        <v>460</v>
      </c>
      <c r="Q94" s="82" t="s">
        <v>88</v>
      </c>
      <c r="R94" s="142"/>
      <c r="S94" s="143"/>
      <c r="T94" s="144"/>
      <c r="U94" s="42"/>
      <c r="V94" s="43"/>
      <c r="W94" s="104"/>
      <c r="X94" s="45"/>
      <c r="Y94" s="169"/>
      <c r="Z94" s="171">
        <f>Y94*0.1</f>
        <v>0</v>
      </c>
      <c r="AA94" s="169"/>
      <c r="AB94" s="169">
        <f>SUM(Y94:AA94)</f>
        <v>0</v>
      </c>
      <c r="AC94" s="172"/>
      <c r="AD94"/>
    </row>
    <row r="95" spans="1:30" ht="17.100000000000001" customHeight="1" thickBot="1">
      <c r="A95" s="177"/>
      <c r="B95" s="46" t="s">
        <v>461</v>
      </c>
      <c r="C95" s="46">
        <v>5049</v>
      </c>
      <c r="D95" s="47" t="s">
        <v>137</v>
      </c>
      <c r="E95" s="186"/>
      <c r="F95" s="70" t="s">
        <v>462</v>
      </c>
      <c r="G95" s="49">
        <v>30492</v>
      </c>
      <c r="H95" s="181"/>
      <c r="I95" s="170"/>
      <c r="J95" s="170"/>
      <c r="K95" s="170"/>
      <c r="L95" s="170"/>
      <c r="M95" s="170"/>
      <c r="N95" s="170"/>
      <c r="O95" s="184"/>
      <c r="P95" s="88" t="s">
        <v>463</v>
      </c>
      <c r="Q95" s="89" t="s">
        <v>89</v>
      </c>
      <c r="R95" s="146"/>
      <c r="S95" s="52"/>
      <c r="T95" s="53"/>
      <c r="U95" s="54"/>
      <c r="V95" s="55"/>
      <c r="W95" s="90"/>
      <c r="X95" s="54"/>
      <c r="Y95" s="170"/>
      <c r="Z95" s="170"/>
      <c r="AA95" s="170"/>
      <c r="AB95" s="170"/>
      <c r="AC95" s="173"/>
      <c r="AD95"/>
    </row>
    <row r="96" spans="1:30" ht="17.100000000000001" customHeight="1" thickTop="1">
      <c r="A96" s="176" t="s">
        <v>464</v>
      </c>
      <c r="B96" s="33">
        <v>42650</v>
      </c>
      <c r="C96" s="78" t="s">
        <v>465</v>
      </c>
      <c r="D96" s="35" t="s">
        <v>466</v>
      </c>
      <c r="E96" s="185"/>
      <c r="F96" s="131" t="s">
        <v>467</v>
      </c>
      <c r="G96" s="37" t="s">
        <v>468</v>
      </c>
      <c r="H96" s="180"/>
      <c r="I96" s="169">
        <v>560000</v>
      </c>
      <c r="J96" s="169">
        <v>44800</v>
      </c>
      <c r="K96" s="169">
        <v>18900</v>
      </c>
      <c r="L96" s="169">
        <v>10890</v>
      </c>
      <c r="M96" s="169">
        <v>12960</v>
      </c>
      <c r="N96" s="169">
        <f>SUM(I96:M96)</f>
        <v>647550</v>
      </c>
      <c r="O96" s="183">
        <v>200000</v>
      </c>
      <c r="P96" s="129" t="s">
        <v>469</v>
      </c>
      <c r="Q96" s="82" t="s">
        <v>88</v>
      </c>
      <c r="R96" s="142"/>
      <c r="S96" s="143"/>
      <c r="T96" s="144"/>
      <c r="U96" s="42"/>
      <c r="V96" s="43"/>
      <c r="W96" s="104"/>
      <c r="X96" s="45"/>
      <c r="Y96" s="169"/>
      <c r="Z96" s="171">
        <f>Y96*0.1</f>
        <v>0</v>
      </c>
      <c r="AA96" s="169"/>
      <c r="AB96" s="169">
        <f>SUM(Y96:AA96)</f>
        <v>0</v>
      </c>
      <c r="AC96" s="172"/>
      <c r="AD96"/>
    </row>
    <row r="97" spans="1:30" ht="17.100000000000001" customHeight="1" thickBot="1">
      <c r="A97" s="177"/>
      <c r="B97" s="46" t="s">
        <v>294</v>
      </c>
      <c r="C97" s="46">
        <v>58027</v>
      </c>
      <c r="D97" s="47" t="s">
        <v>165</v>
      </c>
      <c r="E97" s="186"/>
      <c r="F97" s="70" t="s">
        <v>470</v>
      </c>
      <c r="G97" s="49">
        <v>78705</v>
      </c>
      <c r="H97" s="181"/>
      <c r="I97" s="170"/>
      <c r="J97" s="170"/>
      <c r="K97" s="170"/>
      <c r="L97" s="170"/>
      <c r="M97" s="170"/>
      <c r="N97" s="170"/>
      <c r="O97" s="184"/>
      <c r="P97" s="88" t="s">
        <v>471</v>
      </c>
      <c r="Q97" s="89" t="s">
        <v>89</v>
      </c>
      <c r="R97" s="146"/>
      <c r="S97" s="52" t="s">
        <v>472</v>
      </c>
      <c r="T97" s="53"/>
      <c r="U97" s="54"/>
      <c r="V97" s="55" t="s">
        <v>120</v>
      </c>
      <c r="W97" s="90"/>
      <c r="X97" s="54"/>
      <c r="Y97" s="170"/>
      <c r="Z97" s="170"/>
      <c r="AA97" s="170"/>
      <c r="AB97" s="170"/>
      <c r="AC97" s="173"/>
      <c r="AD97"/>
    </row>
    <row r="98" spans="1:30" ht="17.100000000000001" customHeight="1" thickTop="1">
      <c r="A98" s="176" t="s">
        <v>473</v>
      </c>
      <c r="B98" s="33">
        <v>42672</v>
      </c>
      <c r="C98" s="78" t="s">
        <v>474</v>
      </c>
      <c r="D98" s="35" t="s">
        <v>475</v>
      </c>
      <c r="E98" s="185"/>
      <c r="F98" s="131" t="s">
        <v>476</v>
      </c>
      <c r="G98" s="37" t="s">
        <v>419</v>
      </c>
      <c r="H98" s="180"/>
      <c r="I98" s="169">
        <v>645000</v>
      </c>
      <c r="J98" s="169">
        <v>51600</v>
      </c>
      <c r="K98" s="169">
        <v>15000</v>
      </c>
      <c r="L98" s="169">
        <v>5070</v>
      </c>
      <c r="M98" s="169">
        <v>9720</v>
      </c>
      <c r="N98" s="169">
        <f>SUM(I98:M98)</f>
        <v>726390</v>
      </c>
      <c r="O98" s="183">
        <v>350000</v>
      </c>
      <c r="P98" s="129" t="s">
        <v>477</v>
      </c>
      <c r="Q98" s="82" t="s">
        <v>88</v>
      </c>
      <c r="R98" s="142"/>
      <c r="S98" s="143"/>
      <c r="T98" s="144"/>
      <c r="U98" s="42"/>
      <c r="V98" s="43"/>
      <c r="W98" s="104"/>
      <c r="X98" s="45"/>
      <c r="Y98" s="169"/>
      <c r="Z98" s="171">
        <f>Y98*0.1</f>
        <v>0</v>
      </c>
      <c r="AA98" s="169"/>
      <c r="AB98" s="169">
        <f>SUM(Y98:AA98)</f>
        <v>0</v>
      </c>
      <c r="AC98" s="172"/>
      <c r="AD98"/>
    </row>
    <row r="99" spans="1:30" ht="17.100000000000001" customHeight="1" thickBot="1">
      <c r="A99" s="177"/>
      <c r="B99" s="46" t="s">
        <v>115</v>
      </c>
      <c r="C99" s="46">
        <v>33081</v>
      </c>
      <c r="D99" s="47" t="s">
        <v>312</v>
      </c>
      <c r="E99" s="186"/>
      <c r="F99" s="70" t="s">
        <v>478</v>
      </c>
      <c r="G99" s="49">
        <v>45980</v>
      </c>
      <c r="H99" s="181"/>
      <c r="I99" s="170"/>
      <c r="J99" s="170"/>
      <c r="K99" s="170"/>
      <c r="L99" s="170"/>
      <c r="M99" s="170"/>
      <c r="N99" s="170"/>
      <c r="O99" s="184"/>
      <c r="P99" s="88" t="s">
        <v>479</v>
      </c>
      <c r="Q99" s="89" t="s">
        <v>89</v>
      </c>
      <c r="R99" s="146"/>
      <c r="S99" s="52" t="s">
        <v>271</v>
      </c>
      <c r="T99" s="53"/>
      <c r="U99" s="54"/>
      <c r="V99" s="55"/>
      <c r="W99" s="90"/>
      <c r="X99" s="54"/>
      <c r="Y99" s="170"/>
      <c r="Z99" s="170"/>
      <c r="AA99" s="170"/>
      <c r="AB99" s="170"/>
      <c r="AC99" s="173"/>
      <c r="AD99"/>
    </row>
    <row r="100" spans="1:30" ht="17.100000000000001" customHeight="1" thickTop="1">
      <c r="A100" s="176" t="s">
        <v>480</v>
      </c>
      <c r="B100" s="33">
        <v>42693</v>
      </c>
      <c r="C100" s="78" t="s">
        <v>481</v>
      </c>
      <c r="D100" s="35" t="s">
        <v>482</v>
      </c>
      <c r="E100" s="185"/>
      <c r="F100" s="131" t="s">
        <v>483</v>
      </c>
      <c r="G100" s="37"/>
      <c r="H100" s="180"/>
      <c r="I100" s="169">
        <v>230000</v>
      </c>
      <c r="J100" s="169">
        <v>18400</v>
      </c>
      <c r="K100" s="169"/>
      <c r="L100" s="169">
        <v>8400</v>
      </c>
      <c r="M100" s="169">
        <v>9720</v>
      </c>
      <c r="N100" s="169">
        <f>SUM(I100:M100)</f>
        <v>266520</v>
      </c>
      <c r="O100" s="183">
        <v>40000</v>
      </c>
      <c r="P100" s="129" t="s">
        <v>484</v>
      </c>
      <c r="Q100" s="82" t="s">
        <v>88</v>
      </c>
      <c r="R100" s="142"/>
      <c r="S100" s="143"/>
      <c r="T100" s="144"/>
      <c r="U100" s="42" t="s">
        <v>485</v>
      </c>
      <c r="V100" s="43"/>
      <c r="W100" s="104"/>
      <c r="X100" s="45"/>
      <c r="Y100" s="169"/>
      <c r="Z100" s="171">
        <f>Y100*0.1</f>
        <v>0</v>
      </c>
      <c r="AA100" s="169"/>
      <c r="AB100" s="169">
        <f>SUM(Y100:AA100)</f>
        <v>0</v>
      </c>
      <c r="AC100" s="172"/>
      <c r="AD100"/>
    </row>
    <row r="101" spans="1:30" ht="17.100000000000001" customHeight="1" thickBot="1">
      <c r="A101" s="177"/>
      <c r="B101" s="46" t="s">
        <v>115</v>
      </c>
      <c r="C101" s="46">
        <v>33131</v>
      </c>
      <c r="D101" s="47" t="s">
        <v>486</v>
      </c>
      <c r="E101" s="186"/>
      <c r="F101" s="70" t="s">
        <v>487</v>
      </c>
      <c r="G101" s="49">
        <v>31808</v>
      </c>
      <c r="H101" s="181"/>
      <c r="I101" s="170"/>
      <c r="J101" s="170"/>
      <c r="K101" s="170"/>
      <c r="L101" s="170"/>
      <c r="M101" s="170"/>
      <c r="N101" s="170"/>
      <c r="O101" s="184"/>
      <c r="P101" s="88" t="s">
        <v>488</v>
      </c>
      <c r="Q101" s="89" t="s">
        <v>89</v>
      </c>
      <c r="R101" s="146"/>
      <c r="S101" s="52"/>
      <c r="T101" s="53"/>
      <c r="U101" s="54"/>
      <c r="V101" s="55"/>
      <c r="W101" s="90"/>
      <c r="X101" s="54"/>
      <c r="Y101" s="170"/>
      <c r="Z101" s="170"/>
      <c r="AA101" s="170"/>
      <c r="AB101" s="170"/>
      <c r="AC101" s="173"/>
      <c r="AD101"/>
    </row>
    <row r="102" spans="1:30" ht="17.100000000000001" customHeight="1" thickTop="1">
      <c r="A102" s="176" t="s">
        <v>489</v>
      </c>
      <c r="B102" s="33">
        <v>42693</v>
      </c>
      <c r="C102" s="78" t="s">
        <v>481</v>
      </c>
      <c r="D102" s="35" t="s">
        <v>490</v>
      </c>
      <c r="E102" s="185"/>
      <c r="F102" s="131" t="s">
        <v>491</v>
      </c>
      <c r="G102" s="37" t="s">
        <v>492</v>
      </c>
      <c r="H102" s="180"/>
      <c r="I102" s="169">
        <v>605000</v>
      </c>
      <c r="J102" s="169">
        <v>48400</v>
      </c>
      <c r="K102" s="169">
        <v>15000</v>
      </c>
      <c r="L102" s="169">
        <v>10270</v>
      </c>
      <c r="M102" s="169">
        <v>15120</v>
      </c>
      <c r="N102" s="169">
        <f>SUM(I102:M102)</f>
        <v>693790</v>
      </c>
      <c r="O102" s="183">
        <v>200000</v>
      </c>
      <c r="P102" s="129" t="s">
        <v>493</v>
      </c>
      <c r="Q102" s="82" t="s">
        <v>88</v>
      </c>
      <c r="R102" s="142"/>
      <c r="S102" s="143"/>
      <c r="T102" s="144"/>
      <c r="U102" s="42"/>
      <c r="V102" s="43"/>
      <c r="W102" s="104">
        <v>45997</v>
      </c>
      <c r="X102" s="45">
        <v>1279</v>
      </c>
      <c r="Y102" s="169">
        <v>225000</v>
      </c>
      <c r="Z102" s="171">
        <f>Y102*0.1</f>
        <v>22500</v>
      </c>
      <c r="AA102" s="169">
        <v>10270</v>
      </c>
      <c r="AB102" s="169">
        <f>SUM(Y102:AA102)</f>
        <v>257770</v>
      </c>
      <c r="AC102" s="172">
        <v>46000</v>
      </c>
      <c r="AD102"/>
    </row>
    <row r="103" spans="1:30" ht="17.100000000000001" customHeight="1" thickBot="1">
      <c r="A103" s="177"/>
      <c r="B103" s="46" t="s">
        <v>115</v>
      </c>
      <c r="C103" s="46">
        <v>38042</v>
      </c>
      <c r="D103" s="47" t="s">
        <v>405</v>
      </c>
      <c r="E103" s="186"/>
      <c r="F103" s="70" t="s">
        <v>494</v>
      </c>
      <c r="G103" s="49">
        <v>53845</v>
      </c>
      <c r="H103" s="181"/>
      <c r="I103" s="170"/>
      <c r="J103" s="170"/>
      <c r="K103" s="170"/>
      <c r="L103" s="170"/>
      <c r="M103" s="170"/>
      <c r="N103" s="170"/>
      <c r="O103" s="184"/>
      <c r="P103" s="88" t="s">
        <v>495</v>
      </c>
      <c r="Q103" s="89" t="s">
        <v>89</v>
      </c>
      <c r="R103" s="146"/>
      <c r="S103" s="52" t="s">
        <v>496</v>
      </c>
      <c r="T103" s="53"/>
      <c r="U103" s="54"/>
      <c r="V103" s="55"/>
      <c r="W103" s="90" t="s">
        <v>90</v>
      </c>
      <c r="X103" s="54">
        <v>65164</v>
      </c>
      <c r="Y103" s="170"/>
      <c r="Z103" s="170"/>
      <c r="AA103" s="170"/>
      <c r="AB103" s="170"/>
      <c r="AC103" s="173"/>
      <c r="AD103"/>
    </row>
    <row r="104" spans="1:30" ht="17.100000000000001" customHeight="1" thickTop="1">
      <c r="A104" s="176" t="s">
        <v>497</v>
      </c>
      <c r="B104" s="147">
        <v>42768</v>
      </c>
      <c r="C104" s="148"/>
      <c r="D104" s="149" t="s">
        <v>498</v>
      </c>
      <c r="E104" s="185" t="s">
        <v>250</v>
      </c>
      <c r="F104" s="150" t="s">
        <v>499</v>
      </c>
      <c r="G104" s="151" t="s">
        <v>500</v>
      </c>
      <c r="H104" s="180"/>
      <c r="I104" s="169">
        <v>10600000</v>
      </c>
      <c r="J104" s="169"/>
      <c r="K104" s="169"/>
      <c r="L104" s="169"/>
      <c r="M104" s="169"/>
      <c r="N104" s="169">
        <f>SUM(I104:M105)</f>
        <v>10600000</v>
      </c>
      <c r="O104" s="183"/>
      <c r="P104" s="139" t="s">
        <v>501</v>
      </c>
      <c r="Q104" s="82" t="s">
        <v>88</v>
      </c>
      <c r="R104" s="142"/>
      <c r="S104" s="143"/>
      <c r="T104" s="144"/>
      <c r="U104" s="81" t="s">
        <v>502</v>
      </c>
      <c r="V104" s="43" t="s">
        <v>503</v>
      </c>
      <c r="W104" s="104"/>
      <c r="X104" s="45"/>
      <c r="Y104" s="169"/>
      <c r="Z104" s="171">
        <f>Y104*0.1</f>
        <v>0</v>
      </c>
      <c r="AA104" s="169"/>
      <c r="AB104" s="169">
        <f>SUM(Y104:AA104)</f>
        <v>0</v>
      </c>
      <c r="AC104" s="172"/>
      <c r="AD104"/>
    </row>
    <row r="105" spans="1:30" ht="17.100000000000001" customHeight="1" thickBot="1">
      <c r="A105" s="177"/>
      <c r="B105" s="152" t="s">
        <v>504</v>
      </c>
      <c r="C105" s="152"/>
      <c r="D105" s="152" t="s">
        <v>312</v>
      </c>
      <c r="E105" s="186"/>
      <c r="F105" s="153" t="s">
        <v>505</v>
      </c>
      <c r="G105" s="154"/>
      <c r="H105" s="181"/>
      <c r="I105" s="170"/>
      <c r="J105" s="170"/>
      <c r="K105" s="170"/>
      <c r="L105" s="170"/>
      <c r="M105" s="170"/>
      <c r="N105" s="170"/>
      <c r="O105" s="184"/>
      <c r="P105" s="152" t="s">
        <v>506</v>
      </c>
      <c r="Q105" s="89" t="s">
        <v>89</v>
      </c>
      <c r="R105" s="146"/>
      <c r="S105" s="52"/>
      <c r="T105" s="53"/>
      <c r="U105" s="88"/>
      <c r="V105" s="141"/>
      <c r="W105" s="90"/>
      <c r="X105" s="46"/>
      <c r="Y105" s="170"/>
      <c r="Z105" s="170"/>
      <c r="AA105" s="170"/>
      <c r="AB105" s="170"/>
      <c r="AC105" s="173"/>
      <c r="AD105"/>
    </row>
    <row r="106" spans="1:30" ht="17.100000000000001" customHeight="1" thickTop="1">
      <c r="A106" s="176" t="s">
        <v>507</v>
      </c>
      <c r="B106" s="33">
        <v>42775</v>
      </c>
      <c r="C106" s="78" t="s">
        <v>508</v>
      </c>
      <c r="D106" s="35" t="s">
        <v>509</v>
      </c>
      <c r="E106" s="185"/>
      <c r="F106" s="131" t="s">
        <v>510</v>
      </c>
      <c r="G106" s="37" t="s">
        <v>492</v>
      </c>
      <c r="H106" s="180"/>
      <c r="I106" s="169">
        <v>515000</v>
      </c>
      <c r="J106" s="169">
        <v>41200</v>
      </c>
      <c r="K106" s="169">
        <v>5500</v>
      </c>
      <c r="L106" s="169">
        <v>15590</v>
      </c>
      <c r="M106" s="169">
        <v>12960</v>
      </c>
      <c r="N106" s="169">
        <f>SUM(I106:M106)</f>
        <v>590250</v>
      </c>
      <c r="O106" s="183">
        <v>300000</v>
      </c>
      <c r="P106" s="129" t="s">
        <v>511</v>
      </c>
      <c r="Q106" s="82" t="s">
        <v>88</v>
      </c>
      <c r="R106" s="142"/>
      <c r="S106" s="143"/>
      <c r="T106" s="144"/>
      <c r="U106" s="42"/>
      <c r="V106" s="43"/>
      <c r="W106" s="104"/>
      <c r="X106" s="45"/>
      <c r="Y106" s="169"/>
      <c r="Z106" s="171">
        <f>Y106*0.1</f>
        <v>0</v>
      </c>
      <c r="AA106" s="169"/>
      <c r="AB106" s="169">
        <f>SUM(Y106:AA106)</f>
        <v>0</v>
      </c>
      <c r="AC106" s="172"/>
      <c r="AD106"/>
    </row>
    <row r="107" spans="1:30" ht="17.100000000000001" customHeight="1" thickBot="1">
      <c r="A107" s="177"/>
      <c r="B107" s="46" t="s">
        <v>229</v>
      </c>
      <c r="C107" s="46">
        <v>75182</v>
      </c>
      <c r="D107" s="47" t="s">
        <v>137</v>
      </c>
      <c r="E107" s="186"/>
      <c r="F107" s="70" t="s">
        <v>512</v>
      </c>
      <c r="G107" s="49">
        <v>52324</v>
      </c>
      <c r="H107" s="181"/>
      <c r="I107" s="170"/>
      <c r="J107" s="170"/>
      <c r="K107" s="170"/>
      <c r="L107" s="170"/>
      <c r="M107" s="170"/>
      <c r="N107" s="170"/>
      <c r="O107" s="184"/>
      <c r="P107" s="88" t="s">
        <v>513</v>
      </c>
      <c r="Q107" s="89" t="s">
        <v>89</v>
      </c>
      <c r="R107" s="146"/>
      <c r="S107" s="52" t="s">
        <v>514</v>
      </c>
      <c r="T107" s="53"/>
      <c r="U107" s="54"/>
      <c r="V107" s="55" t="s">
        <v>120</v>
      </c>
      <c r="W107" s="90"/>
      <c r="X107" s="54"/>
      <c r="Y107" s="170"/>
      <c r="Z107" s="170"/>
      <c r="AA107" s="170"/>
      <c r="AB107" s="170"/>
      <c r="AC107" s="173"/>
      <c r="AD107"/>
    </row>
    <row r="108" spans="1:30" ht="17.100000000000001" customHeight="1" thickTop="1">
      <c r="A108" s="176" t="s">
        <v>515</v>
      </c>
      <c r="B108" s="33">
        <v>42777</v>
      </c>
      <c r="C108" s="78" t="s">
        <v>424</v>
      </c>
      <c r="D108" s="35" t="s">
        <v>516</v>
      </c>
      <c r="E108" s="185"/>
      <c r="F108" s="131" t="s">
        <v>510</v>
      </c>
      <c r="G108" s="37" t="s">
        <v>517</v>
      </c>
      <c r="H108" s="180"/>
      <c r="I108" s="169">
        <v>365000</v>
      </c>
      <c r="J108" s="169">
        <v>29200</v>
      </c>
      <c r="K108" s="169">
        <v>5500</v>
      </c>
      <c r="L108" s="169">
        <v>15590</v>
      </c>
      <c r="M108" s="169">
        <v>11880</v>
      </c>
      <c r="N108" s="169">
        <f>SUM(I108:M108)</f>
        <v>427170</v>
      </c>
      <c r="O108" s="183">
        <v>400000</v>
      </c>
      <c r="P108" s="129" t="s">
        <v>518</v>
      </c>
      <c r="Q108" s="82" t="s">
        <v>88</v>
      </c>
      <c r="R108" s="142"/>
      <c r="S108" s="143"/>
      <c r="T108" s="144"/>
      <c r="U108" s="42"/>
      <c r="V108" s="43"/>
      <c r="W108" s="104"/>
      <c r="X108" s="45"/>
      <c r="Y108" s="169"/>
      <c r="Z108" s="171">
        <f>Y108*0.1</f>
        <v>0</v>
      </c>
      <c r="AA108" s="169"/>
      <c r="AB108" s="169">
        <f>SUM(Y108:AA108)</f>
        <v>0</v>
      </c>
      <c r="AC108" s="172"/>
      <c r="AD108"/>
    </row>
    <row r="109" spans="1:30" ht="17.100000000000001" customHeight="1" thickBot="1">
      <c r="A109" s="177"/>
      <c r="B109" s="46" t="s">
        <v>115</v>
      </c>
      <c r="C109" s="46">
        <v>84076</v>
      </c>
      <c r="D109" s="47" t="s">
        <v>137</v>
      </c>
      <c r="E109" s="186"/>
      <c r="F109" s="70" t="s">
        <v>519</v>
      </c>
      <c r="G109" s="49">
        <v>60616</v>
      </c>
      <c r="H109" s="181"/>
      <c r="I109" s="170"/>
      <c r="J109" s="170"/>
      <c r="K109" s="170"/>
      <c r="L109" s="170"/>
      <c r="M109" s="170"/>
      <c r="N109" s="170"/>
      <c r="O109" s="184"/>
      <c r="P109" s="88" t="s">
        <v>520</v>
      </c>
      <c r="Q109" s="89" t="s">
        <v>89</v>
      </c>
      <c r="R109" s="146"/>
      <c r="S109" s="52" t="s">
        <v>521</v>
      </c>
      <c r="T109" s="53"/>
      <c r="U109" s="54"/>
      <c r="V109" s="55" t="s">
        <v>120</v>
      </c>
      <c r="W109" s="90"/>
      <c r="X109" s="54"/>
      <c r="Y109" s="170"/>
      <c r="Z109" s="170"/>
      <c r="AA109" s="170"/>
      <c r="AB109" s="170"/>
      <c r="AC109" s="173"/>
      <c r="AD109"/>
    </row>
    <row r="110" spans="1:30" ht="17.100000000000001" customHeight="1" thickTop="1">
      <c r="A110" s="176" t="s">
        <v>522</v>
      </c>
      <c r="B110" s="33">
        <v>42796</v>
      </c>
      <c r="C110" s="78" t="s">
        <v>523</v>
      </c>
      <c r="D110" s="35" t="s">
        <v>524</v>
      </c>
      <c r="E110" s="185"/>
      <c r="F110" s="131" t="s">
        <v>525</v>
      </c>
      <c r="G110" s="37"/>
      <c r="H110" s="180"/>
      <c r="I110" s="169">
        <v>1206000</v>
      </c>
      <c r="J110" s="169">
        <v>96480</v>
      </c>
      <c r="K110" s="169"/>
      <c r="L110" s="169">
        <v>15600</v>
      </c>
      <c r="M110" s="169">
        <v>14040</v>
      </c>
      <c r="N110" s="169">
        <f>SUM(I110:M110)</f>
        <v>1332120</v>
      </c>
      <c r="O110" s="183">
        <v>600000</v>
      </c>
      <c r="P110" s="129" t="s">
        <v>526</v>
      </c>
      <c r="Q110" s="82" t="s">
        <v>88</v>
      </c>
      <c r="R110" s="142"/>
      <c r="S110" s="143"/>
      <c r="T110" s="144"/>
      <c r="U110" s="42"/>
      <c r="V110" s="43"/>
      <c r="W110" s="104"/>
      <c r="X110" s="45"/>
      <c r="Y110" s="169"/>
      <c r="Z110" s="171">
        <f>Y110*0.1</f>
        <v>0</v>
      </c>
      <c r="AA110" s="169"/>
      <c r="AB110" s="169">
        <f>SUM(Y110:AA110)</f>
        <v>0</v>
      </c>
      <c r="AC110" s="172"/>
      <c r="AD110"/>
    </row>
    <row r="111" spans="1:30" ht="17.100000000000001" customHeight="1" thickBot="1">
      <c r="A111" s="177"/>
      <c r="B111" s="46" t="s">
        <v>335</v>
      </c>
      <c r="C111" s="46">
        <v>80110</v>
      </c>
      <c r="D111" s="47" t="s">
        <v>279</v>
      </c>
      <c r="E111" s="186"/>
      <c r="F111" s="70" t="s">
        <v>527</v>
      </c>
      <c r="G111" s="49">
        <v>46500</v>
      </c>
      <c r="H111" s="181"/>
      <c r="I111" s="170"/>
      <c r="J111" s="170"/>
      <c r="K111" s="170"/>
      <c r="L111" s="170"/>
      <c r="M111" s="170"/>
      <c r="N111" s="170"/>
      <c r="O111" s="184"/>
      <c r="P111" s="88" t="s">
        <v>528</v>
      </c>
      <c r="Q111" s="89" t="s">
        <v>89</v>
      </c>
      <c r="R111" s="146"/>
      <c r="S111" s="52" t="s">
        <v>271</v>
      </c>
      <c r="T111" s="53"/>
      <c r="U111" s="54"/>
      <c r="V111" s="55"/>
      <c r="W111" s="90"/>
      <c r="X111" s="54"/>
      <c r="Y111" s="170"/>
      <c r="Z111" s="170"/>
      <c r="AA111" s="170"/>
      <c r="AB111" s="170"/>
      <c r="AC111" s="173"/>
      <c r="AD111"/>
    </row>
    <row r="112" spans="1:30" ht="17.100000000000001" customHeight="1" thickTop="1">
      <c r="A112" s="176" t="s">
        <v>529</v>
      </c>
      <c r="B112" s="33">
        <v>42804</v>
      </c>
      <c r="C112" s="78" t="s">
        <v>530</v>
      </c>
      <c r="D112" s="35" t="s">
        <v>531</v>
      </c>
      <c r="E112" s="185"/>
      <c r="F112" s="131" t="s">
        <v>532</v>
      </c>
      <c r="G112" s="37"/>
      <c r="H112" s="180"/>
      <c r="I112" s="169">
        <v>1245000</v>
      </c>
      <c r="J112" s="169">
        <v>99600</v>
      </c>
      <c r="K112" s="169"/>
      <c r="L112" s="169">
        <v>18990</v>
      </c>
      <c r="M112" s="169">
        <v>12960</v>
      </c>
      <c r="N112" s="169">
        <f>SUM(I112:M112)</f>
        <v>1376550</v>
      </c>
      <c r="O112" s="183">
        <v>400000</v>
      </c>
      <c r="P112" s="129" t="s">
        <v>533</v>
      </c>
      <c r="Q112" s="82" t="s">
        <v>88</v>
      </c>
      <c r="R112" s="142"/>
      <c r="S112" s="143"/>
      <c r="T112" s="144"/>
      <c r="U112" s="42"/>
      <c r="V112" s="43"/>
      <c r="W112" s="104"/>
      <c r="X112" s="45"/>
      <c r="Y112" s="169"/>
      <c r="Z112" s="171">
        <f>Y112*0.1</f>
        <v>0</v>
      </c>
      <c r="AA112" s="169"/>
      <c r="AB112" s="169">
        <f>SUM(Y112:AA112)</f>
        <v>0</v>
      </c>
      <c r="AC112" s="172"/>
      <c r="AD112"/>
    </row>
    <row r="113" spans="1:30" ht="17.100000000000001" customHeight="1" thickBot="1">
      <c r="A113" s="177"/>
      <c r="B113" s="46" t="s">
        <v>294</v>
      </c>
      <c r="C113" s="46">
        <v>58328</v>
      </c>
      <c r="D113" s="47" t="s">
        <v>137</v>
      </c>
      <c r="E113" s="186"/>
      <c r="F113" s="70" t="s">
        <v>534</v>
      </c>
      <c r="G113" s="49">
        <v>49734</v>
      </c>
      <c r="H113" s="181"/>
      <c r="I113" s="170"/>
      <c r="J113" s="170"/>
      <c r="K113" s="170"/>
      <c r="L113" s="170"/>
      <c r="M113" s="170"/>
      <c r="N113" s="170"/>
      <c r="O113" s="184"/>
      <c r="P113" s="88" t="s">
        <v>535</v>
      </c>
      <c r="Q113" s="89" t="s">
        <v>89</v>
      </c>
      <c r="R113" s="146"/>
      <c r="S113" s="52" t="s">
        <v>536</v>
      </c>
      <c r="T113" s="53"/>
      <c r="U113" s="54"/>
      <c r="V113" s="55"/>
      <c r="W113" s="90"/>
      <c r="X113" s="54"/>
      <c r="Y113" s="170"/>
      <c r="Z113" s="170"/>
      <c r="AA113" s="170"/>
      <c r="AB113" s="170"/>
      <c r="AC113" s="173"/>
      <c r="AD113"/>
    </row>
    <row r="114" spans="1:30" ht="17.100000000000001" customHeight="1" thickTop="1">
      <c r="A114" s="176" t="s">
        <v>537</v>
      </c>
      <c r="B114" s="33">
        <v>42817</v>
      </c>
      <c r="C114" s="137" t="s">
        <v>538</v>
      </c>
      <c r="D114" s="35" t="s">
        <v>300</v>
      </c>
      <c r="E114" s="185"/>
      <c r="F114" s="79" t="s">
        <v>539</v>
      </c>
      <c r="G114" s="37"/>
      <c r="H114" s="180"/>
      <c r="I114" s="169">
        <v>353000</v>
      </c>
      <c r="J114" s="169">
        <v>28240</v>
      </c>
      <c r="K114" s="169"/>
      <c r="L114" s="169">
        <v>16040</v>
      </c>
      <c r="M114" s="169">
        <v>15120</v>
      </c>
      <c r="N114" s="169">
        <f>SUM(I114:M114)</f>
        <v>412400</v>
      </c>
      <c r="O114" s="183">
        <v>100000</v>
      </c>
      <c r="P114" s="129" t="s">
        <v>540</v>
      </c>
      <c r="Q114" s="82" t="s">
        <v>88</v>
      </c>
      <c r="R114" s="142"/>
      <c r="S114" s="143"/>
      <c r="T114" s="144"/>
      <c r="U114" s="42"/>
      <c r="V114" s="43"/>
      <c r="W114" s="104"/>
      <c r="X114" s="45"/>
      <c r="Y114" s="169"/>
      <c r="Z114" s="171">
        <f>Y114*0.1</f>
        <v>0</v>
      </c>
      <c r="AA114" s="169"/>
      <c r="AB114" s="169">
        <f>SUM(Y114:AA114)</f>
        <v>0</v>
      </c>
      <c r="AC114" s="172"/>
      <c r="AD114"/>
    </row>
    <row r="115" spans="1:30" ht="17.100000000000001" customHeight="1" thickBot="1">
      <c r="A115" s="177"/>
      <c r="B115" s="46" t="s">
        <v>335</v>
      </c>
      <c r="C115" s="46">
        <v>80094</v>
      </c>
      <c r="D115" s="47" t="s">
        <v>541</v>
      </c>
      <c r="E115" s="186"/>
      <c r="F115" s="70" t="s">
        <v>542</v>
      </c>
      <c r="G115" s="49">
        <v>40859</v>
      </c>
      <c r="H115" s="181"/>
      <c r="I115" s="170"/>
      <c r="J115" s="170"/>
      <c r="K115" s="170"/>
      <c r="L115" s="170"/>
      <c r="M115" s="170"/>
      <c r="N115" s="170"/>
      <c r="O115" s="184"/>
      <c r="P115" s="88" t="s">
        <v>543</v>
      </c>
      <c r="Q115" s="89" t="s">
        <v>89</v>
      </c>
      <c r="R115" s="146"/>
      <c r="S115" s="52" t="s">
        <v>384</v>
      </c>
      <c r="T115" s="53"/>
      <c r="U115" s="54"/>
      <c r="V115" s="55"/>
      <c r="W115" s="90"/>
      <c r="X115" s="54"/>
      <c r="Y115" s="170"/>
      <c r="Z115" s="170"/>
      <c r="AA115" s="170"/>
      <c r="AB115" s="170"/>
      <c r="AC115" s="173"/>
      <c r="AD115"/>
    </row>
    <row r="116" spans="1:30" ht="17.100000000000001" customHeight="1" thickTop="1">
      <c r="A116" s="176" t="s">
        <v>544</v>
      </c>
      <c r="B116" s="33">
        <v>42865</v>
      </c>
      <c r="C116" s="78" t="s">
        <v>545</v>
      </c>
      <c r="D116" s="35" t="s">
        <v>546</v>
      </c>
      <c r="E116" s="185"/>
      <c r="F116" s="79" t="s">
        <v>547</v>
      </c>
      <c r="G116" s="37" t="s">
        <v>548</v>
      </c>
      <c r="H116" s="180">
        <v>3</v>
      </c>
      <c r="I116" s="169">
        <v>516000</v>
      </c>
      <c r="J116" s="169">
        <v>41280</v>
      </c>
      <c r="K116" s="169">
        <v>28000</v>
      </c>
      <c r="L116" s="169">
        <v>4450</v>
      </c>
      <c r="M116" s="169">
        <v>10800</v>
      </c>
      <c r="N116" s="169">
        <f>SUM(I116:M116)</f>
        <v>600530</v>
      </c>
      <c r="O116" s="183">
        <v>300000</v>
      </c>
      <c r="P116" s="129" t="s">
        <v>549</v>
      </c>
      <c r="Q116" s="82" t="s">
        <v>88</v>
      </c>
      <c r="R116" s="142"/>
      <c r="S116" s="143"/>
      <c r="T116" s="144"/>
      <c r="U116" s="42"/>
      <c r="V116" s="43"/>
      <c r="W116" s="104"/>
      <c r="X116" s="45"/>
      <c r="Y116" s="169"/>
      <c r="Z116" s="171">
        <f>Y116*0.1</f>
        <v>0</v>
      </c>
      <c r="AA116" s="169"/>
      <c r="AB116" s="169">
        <f>SUM(Y116:AA116)</f>
        <v>0</v>
      </c>
      <c r="AC116" s="172"/>
      <c r="AD116"/>
    </row>
    <row r="117" spans="1:30" ht="17.100000000000001" customHeight="1" thickBot="1">
      <c r="A117" s="177"/>
      <c r="B117" s="46" t="s">
        <v>550</v>
      </c>
      <c r="C117" s="46">
        <v>7257</v>
      </c>
      <c r="D117" s="47" t="s">
        <v>188</v>
      </c>
      <c r="E117" s="186"/>
      <c r="F117" s="70" t="s">
        <v>551</v>
      </c>
      <c r="G117" s="49">
        <v>37973</v>
      </c>
      <c r="H117" s="181"/>
      <c r="I117" s="170"/>
      <c r="J117" s="170"/>
      <c r="K117" s="170"/>
      <c r="L117" s="170"/>
      <c r="M117" s="170"/>
      <c r="N117" s="170"/>
      <c r="O117" s="184"/>
      <c r="P117" s="88" t="s">
        <v>552</v>
      </c>
      <c r="Q117" s="89" t="s">
        <v>89</v>
      </c>
      <c r="R117" s="155"/>
      <c r="S117" s="52" t="s">
        <v>553</v>
      </c>
      <c r="T117" s="53"/>
      <c r="U117" s="54"/>
      <c r="V117" s="55"/>
      <c r="W117" s="90"/>
      <c r="X117" s="54"/>
      <c r="Y117" s="170"/>
      <c r="Z117" s="170"/>
      <c r="AA117" s="170"/>
      <c r="AB117" s="170"/>
      <c r="AC117" s="173"/>
      <c r="AD117"/>
    </row>
    <row r="118" spans="1:30" ht="17.100000000000001" customHeight="1" thickTop="1">
      <c r="A118" s="176" t="s">
        <v>554</v>
      </c>
      <c r="B118" s="33">
        <v>42875</v>
      </c>
      <c r="C118" s="78" t="s">
        <v>555</v>
      </c>
      <c r="D118" s="35" t="s">
        <v>556</v>
      </c>
      <c r="E118" s="185"/>
      <c r="F118" s="131" t="s">
        <v>267</v>
      </c>
      <c r="G118" s="37" t="s">
        <v>557</v>
      </c>
      <c r="H118" s="180">
        <v>4</v>
      </c>
      <c r="I118" s="169">
        <v>505000</v>
      </c>
      <c r="J118" s="169">
        <v>40400</v>
      </c>
      <c r="K118" s="169">
        <v>32900</v>
      </c>
      <c r="L118" s="169">
        <v>16190</v>
      </c>
      <c r="M118" s="169">
        <v>13500</v>
      </c>
      <c r="N118" s="169">
        <f>SUM(I118:M118)</f>
        <v>607990</v>
      </c>
      <c r="O118" s="183">
        <v>200000</v>
      </c>
      <c r="P118" s="129" t="s">
        <v>558</v>
      </c>
      <c r="Q118" s="82" t="s">
        <v>88</v>
      </c>
      <c r="R118" s="142"/>
      <c r="S118" s="143"/>
      <c r="T118" s="144"/>
      <c r="U118" s="42"/>
      <c r="V118" s="43"/>
      <c r="W118" s="104"/>
      <c r="X118" s="45"/>
      <c r="Y118" s="169"/>
      <c r="Z118" s="171">
        <f>Y118*0.1</f>
        <v>0</v>
      </c>
      <c r="AA118" s="169"/>
      <c r="AB118" s="169">
        <f>SUM(Y118:AA118)</f>
        <v>0</v>
      </c>
      <c r="AC118" s="172"/>
      <c r="AD118"/>
    </row>
    <row r="119" spans="1:30" ht="17.100000000000001" customHeight="1" thickBot="1">
      <c r="A119" s="177"/>
      <c r="B119" s="46" t="s">
        <v>115</v>
      </c>
      <c r="C119" s="46">
        <v>80034</v>
      </c>
      <c r="D119" s="47" t="s">
        <v>559</v>
      </c>
      <c r="E119" s="186"/>
      <c r="F119" s="70" t="s">
        <v>560</v>
      </c>
      <c r="G119" s="49">
        <v>57640</v>
      </c>
      <c r="H119" s="181"/>
      <c r="I119" s="170"/>
      <c r="J119" s="170"/>
      <c r="K119" s="170"/>
      <c r="L119" s="170"/>
      <c r="M119" s="170"/>
      <c r="N119" s="170"/>
      <c r="O119" s="184"/>
      <c r="P119" s="88" t="s">
        <v>561</v>
      </c>
      <c r="Q119" s="89" t="s">
        <v>89</v>
      </c>
      <c r="R119" s="155"/>
      <c r="S119" s="52" t="s">
        <v>562</v>
      </c>
      <c r="T119" s="53"/>
      <c r="U119" s="54"/>
      <c r="V119" s="55"/>
      <c r="W119" s="90"/>
      <c r="X119" s="54"/>
      <c r="Y119" s="170"/>
      <c r="Z119" s="170"/>
      <c r="AA119" s="170"/>
      <c r="AB119" s="170"/>
      <c r="AC119" s="173"/>
      <c r="AD119"/>
    </row>
    <row r="120" spans="1:30" ht="17.100000000000001" customHeight="1" thickTop="1">
      <c r="A120" s="176" t="s">
        <v>563</v>
      </c>
      <c r="B120" s="33">
        <v>42889</v>
      </c>
      <c r="C120" s="78" t="s">
        <v>564</v>
      </c>
      <c r="D120" s="35" t="s">
        <v>565</v>
      </c>
      <c r="E120" s="185"/>
      <c r="F120" s="131" t="s">
        <v>566</v>
      </c>
      <c r="G120" s="37"/>
      <c r="H120" s="180">
        <v>4</v>
      </c>
      <c r="I120" s="169">
        <v>2680000</v>
      </c>
      <c r="J120" s="169">
        <v>214400</v>
      </c>
      <c r="K120" s="169"/>
      <c r="L120" s="169">
        <v>24810</v>
      </c>
      <c r="M120" s="169">
        <v>10800</v>
      </c>
      <c r="N120" s="169">
        <f>SUM(I120:M120)</f>
        <v>2930010</v>
      </c>
      <c r="O120" s="183">
        <v>1500000</v>
      </c>
      <c r="P120" s="129" t="s">
        <v>567</v>
      </c>
      <c r="Q120" s="82" t="s">
        <v>88</v>
      </c>
      <c r="R120" s="142"/>
      <c r="S120" s="143"/>
      <c r="T120" s="144"/>
      <c r="U120" s="42"/>
      <c r="V120" s="43"/>
      <c r="W120" s="104"/>
      <c r="X120" s="45"/>
      <c r="Y120" s="169"/>
      <c r="Z120" s="171">
        <f>Y120*0.1</f>
        <v>0</v>
      </c>
      <c r="AA120" s="169"/>
      <c r="AB120" s="169">
        <f>SUM(Y120:AA120)</f>
        <v>0</v>
      </c>
      <c r="AC120" s="172"/>
      <c r="AD120"/>
    </row>
    <row r="121" spans="1:30" ht="17.100000000000001" customHeight="1" thickBot="1">
      <c r="A121" s="177"/>
      <c r="B121" s="46" t="s">
        <v>115</v>
      </c>
      <c r="C121" s="46">
        <v>80392</v>
      </c>
      <c r="D121" s="47" t="s">
        <v>568</v>
      </c>
      <c r="E121" s="186"/>
      <c r="F121" s="70" t="s">
        <v>569</v>
      </c>
      <c r="G121" s="49">
        <v>53004</v>
      </c>
      <c r="H121" s="181"/>
      <c r="I121" s="170"/>
      <c r="J121" s="170"/>
      <c r="K121" s="170"/>
      <c r="L121" s="170"/>
      <c r="M121" s="170"/>
      <c r="N121" s="170"/>
      <c r="O121" s="184"/>
      <c r="P121" s="88" t="s">
        <v>570</v>
      </c>
      <c r="Q121" s="89" t="s">
        <v>89</v>
      </c>
      <c r="R121" s="155"/>
      <c r="S121" s="52" t="s">
        <v>571</v>
      </c>
      <c r="T121" s="53"/>
      <c r="U121" s="54"/>
      <c r="V121" s="55"/>
      <c r="W121" s="90"/>
      <c r="X121" s="54"/>
      <c r="Y121" s="170"/>
      <c r="Z121" s="170"/>
      <c r="AA121" s="170"/>
      <c r="AB121" s="170"/>
      <c r="AC121" s="173"/>
      <c r="AD121"/>
    </row>
    <row r="122" spans="1:30" ht="17.100000000000001" customHeight="1" thickTop="1">
      <c r="A122" s="176" t="s">
        <v>572</v>
      </c>
      <c r="B122" s="33">
        <v>42901</v>
      </c>
      <c r="C122" s="78" t="s">
        <v>573</v>
      </c>
      <c r="D122" s="35" t="s">
        <v>574</v>
      </c>
      <c r="E122" s="185"/>
      <c r="F122" s="131" t="s">
        <v>575</v>
      </c>
      <c r="G122" s="37"/>
      <c r="H122" s="180">
        <v>4</v>
      </c>
      <c r="I122" s="169">
        <v>400000</v>
      </c>
      <c r="J122" s="169">
        <v>32000</v>
      </c>
      <c r="K122" s="169"/>
      <c r="L122" s="169">
        <v>15210</v>
      </c>
      <c r="M122" s="169">
        <v>12960</v>
      </c>
      <c r="N122" s="169">
        <f>SUM(I122:M122)</f>
        <v>460170</v>
      </c>
      <c r="O122" s="183">
        <v>150000</v>
      </c>
      <c r="P122" s="129" t="s">
        <v>576</v>
      </c>
      <c r="Q122" s="82" t="s">
        <v>88</v>
      </c>
      <c r="R122" s="142"/>
      <c r="S122" s="143"/>
      <c r="T122" s="144"/>
      <c r="U122" s="42"/>
      <c r="V122" s="43"/>
      <c r="W122" s="104"/>
      <c r="X122" s="45"/>
      <c r="Y122" s="169"/>
      <c r="Z122" s="171">
        <f>Y122*0.1</f>
        <v>0</v>
      </c>
      <c r="AA122" s="169"/>
      <c r="AB122" s="169">
        <f>SUM(Y122:AA122)</f>
        <v>0</v>
      </c>
      <c r="AC122" s="172"/>
      <c r="AD122"/>
    </row>
    <row r="123" spans="1:30" ht="17.100000000000001" customHeight="1" thickBot="1">
      <c r="A123" s="177"/>
      <c r="B123" s="46" t="s">
        <v>229</v>
      </c>
      <c r="C123" s="46">
        <v>70054</v>
      </c>
      <c r="D123" s="47" t="s">
        <v>312</v>
      </c>
      <c r="E123" s="186"/>
      <c r="F123" s="70" t="s">
        <v>577</v>
      </c>
      <c r="G123" s="49">
        <v>51510</v>
      </c>
      <c r="H123" s="181"/>
      <c r="I123" s="170"/>
      <c r="J123" s="170"/>
      <c r="K123" s="170"/>
      <c r="L123" s="170"/>
      <c r="M123" s="170"/>
      <c r="N123" s="170"/>
      <c r="O123" s="184"/>
      <c r="P123" s="88" t="s">
        <v>578</v>
      </c>
      <c r="Q123" s="89" t="s">
        <v>89</v>
      </c>
      <c r="R123" s="155"/>
      <c r="S123" s="52" t="s">
        <v>579</v>
      </c>
      <c r="T123" s="53"/>
      <c r="U123" s="54"/>
      <c r="V123" s="55"/>
      <c r="W123" s="90"/>
      <c r="X123" s="54"/>
      <c r="Y123" s="170"/>
      <c r="Z123" s="170"/>
      <c r="AA123" s="170"/>
      <c r="AB123" s="170"/>
      <c r="AC123" s="173"/>
      <c r="AD123"/>
    </row>
    <row r="124" spans="1:30" ht="17.100000000000001" customHeight="1" thickTop="1">
      <c r="A124" s="176" t="s">
        <v>580</v>
      </c>
      <c r="B124" s="33">
        <v>42927</v>
      </c>
      <c r="C124" s="78" t="s">
        <v>581</v>
      </c>
      <c r="D124" s="35" t="s">
        <v>582</v>
      </c>
      <c r="E124" s="185"/>
      <c r="F124" s="131" t="s">
        <v>583</v>
      </c>
      <c r="G124" s="37" t="s">
        <v>548</v>
      </c>
      <c r="H124" s="180">
        <v>3.5</v>
      </c>
      <c r="I124" s="169">
        <v>875000</v>
      </c>
      <c r="J124" s="169">
        <v>70000</v>
      </c>
      <c r="K124" s="169">
        <v>22600</v>
      </c>
      <c r="L124" s="169">
        <v>4790</v>
      </c>
      <c r="M124" s="169">
        <v>12960</v>
      </c>
      <c r="N124" s="169">
        <f>SUM(I124:M124)</f>
        <v>985350</v>
      </c>
      <c r="O124" s="183">
        <v>600000</v>
      </c>
      <c r="P124" s="129" t="s">
        <v>584</v>
      </c>
      <c r="Q124" s="82" t="s">
        <v>88</v>
      </c>
      <c r="R124" s="142"/>
      <c r="S124" s="143"/>
      <c r="T124" s="144"/>
      <c r="U124" s="42"/>
      <c r="V124" s="43"/>
      <c r="W124" s="104"/>
      <c r="X124" s="45"/>
      <c r="Y124" s="169"/>
      <c r="Z124" s="171">
        <f>Y124*0.1</f>
        <v>0</v>
      </c>
      <c r="AA124" s="169"/>
      <c r="AB124" s="169">
        <f>SUM(Y124:AA124)</f>
        <v>0</v>
      </c>
      <c r="AC124" s="172"/>
      <c r="AD124"/>
    </row>
    <row r="125" spans="1:30" ht="17.100000000000001" customHeight="1" thickBot="1">
      <c r="A125" s="177"/>
      <c r="B125" s="46" t="s">
        <v>211</v>
      </c>
      <c r="C125" s="46">
        <v>30225</v>
      </c>
      <c r="D125" s="47" t="s">
        <v>585</v>
      </c>
      <c r="E125" s="186"/>
      <c r="F125" s="70" t="s">
        <v>586</v>
      </c>
      <c r="G125" s="49">
        <v>58625</v>
      </c>
      <c r="H125" s="181"/>
      <c r="I125" s="170"/>
      <c r="J125" s="170"/>
      <c r="K125" s="170"/>
      <c r="L125" s="170"/>
      <c r="M125" s="170"/>
      <c r="N125" s="170"/>
      <c r="O125" s="184"/>
      <c r="P125" s="88" t="s">
        <v>587</v>
      </c>
      <c r="Q125" s="89" t="s">
        <v>89</v>
      </c>
      <c r="R125" s="155"/>
      <c r="S125" s="52" t="s">
        <v>588</v>
      </c>
      <c r="T125" s="53"/>
      <c r="U125" s="54"/>
      <c r="V125" s="55"/>
      <c r="W125" s="90"/>
      <c r="X125" s="54"/>
      <c r="Y125" s="170"/>
      <c r="Z125" s="170"/>
      <c r="AA125" s="170"/>
      <c r="AB125" s="170"/>
      <c r="AC125" s="173"/>
      <c r="AD125"/>
    </row>
    <row r="126" spans="1:30" ht="17.100000000000001" customHeight="1" thickTop="1">
      <c r="A126" s="176" t="s">
        <v>589</v>
      </c>
      <c r="B126" s="33">
        <v>42991</v>
      </c>
      <c r="C126" s="78" t="s">
        <v>590</v>
      </c>
      <c r="D126" s="35" t="s">
        <v>591</v>
      </c>
      <c r="E126" s="185"/>
      <c r="F126" s="131" t="s">
        <v>592</v>
      </c>
      <c r="G126" s="37"/>
      <c r="H126" s="180">
        <v>3</v>
      </c>
      <c r="I126" s="169">
        <v>615000</v>
      </c>
      <c r="J126" s="169">
        <v>49200</v>
      </c>
      <c r="K126" s="169"/>
      <c r="L126" s="169"/>
      <c r="M126" s="169">
        <v>12960</v>
      </c>
      <c r="N126" s="169">
        <f>SUM(I126:M126)</f>
        <v>677160</v>
      </c>
      <c r="O126" s="183">
        <v>350000</v>
      </c>
      <c r="P126" s="129" t="s">
        <v>593</v>
      </c>
      <c r="Q126" s="82" t="s">
        <v>88</v>
      </c>
      <c r="R126" s="83"/>
      <c r="S126" s="84"/>
      <c r="T126" s="85"/>
      <c r="U126" s="42"/>
      <c r="V126" s="43"/>
      <c r="W126" s="104"/>
      <c r="X126" s="45"/>
      <c r="Y126" s="169"/>
      <c r="Z126" s="171">
        <f>Y126*0.1</f>
        <v>0</v>
      </c>
      <c r="AA126" s="169"/>
      <c r="AB126" s="169">
        <f>SUM(Y126:AA126)</f>
        <v>0</v>
      </c>
      <c r="AC126" s="172"/>
      <c r="AD126"/>
    </row>
    <row r="127" spans="1:30" ht="17.100000000000001" customHeight="1" thickBot="1">
      <c r="A127" s="177"/>
      <c r="B127" s="46" t="s">
        <v>353</v>
      </c>
      <c r="C127" s="46">
        <v>6067</v>
      </c>
      <c r="D127" s="47" t="s">
        <v>295</v>
      </c>
      <c r="E127" s="186"/>
      <c r="F127" s="70" t="s">
        <v>594</v>
      </c>
      <c r="G127" s="49">
        <v>50187</v>
      </c>
      <c r="H127" s="181"/>
      <c r="I127" s="170"/>
      <c r="J127" s="170"/>
      <c r="K127" s="170"/>
      <c r="L127" s="170"/>
      <c r="M127" s="170"/>
      <c r="N127" s="170"/>
      <c r="O127" s="184"/>
      <c r="P127" s="88" t="s">
        <v>595</v>
      </c>
      <c r="Q127" s="89" t="s">
        <v>89</v>
      </c>
      <c r="R127" s="145" t="s">
        <v>596</v>
      </c>
      <c r="S127" s="52"/>
      <c r="T127" s="53"/>
      <c r="U127" s="54"/>
      <c r="V127" s="55"/>
      <c r="W127" s="90"/>
      <c r="X127" s="54"/>
      <c r="Y127" s="170"/>
      <c r="Z127" s="170"/>
      <c r="AA127" s="170"/>
      <c r="AB127" s="170"/>
      <c r="AC127" s="173"/>
      <c r="AD127"/>
    </row>
    <row r="128" spans="1:30" ht="17.100000000000001" customHeight="1" thickTop="1">
      <c r="A128" s="176" t="s">
        <v>597</v>
      </c>
      <c r="B128" s="33">
        <v>43007</v>
      </c>
      <c r="C128" s="78" t="s">
        <v>598</v>
      </c>
      <c r="D128" s="35" t="s">
        <v>599</v>
      </c>
      <c r="E128" s="185"/>
      <c r="F128" s="131" t="s">
        <v>600</v>
      </c>
      <c r="G128" s="37"/>
      <c r="H128" s="180">
        <v>4</v>
      </c>
      <c r="I128" s="169">
        <v>405000</v>
      </c>
      <c r="J128" s="169">
        <v>32400</v>
      </c>
      <c r="K128" s="169"/>
      <c r="L128" s="169">
        <v>16090</v>
      </c>
      <c r="M128" s="169">
        <v>12960</v>
      </c>
      <c r="N128" s="169">
        <f>SUM(I128:M128)</f>
        <v>466450</v>
      </c>
      <c r="O128" s="183">
        <v>150000</v>
      </c>
      <c r="P128" s="129" t="s">
        <v>601</v>
      </c>
      <c r="Q128" s="82" t="s">
        <v>88</v>
      </c>
      <c r="R128" s="83"/>
      <c r="S128" s="84"/>
      <c r="T128" s="85"/>
      <c r="U128" s="42"/>
      <c r="V128" s="43"/>
      <c r="W128" s="104"/>
      <c r="X128" s="45"/>
      <c r="Y128" s="169"/>
      <c r="Z128" s="171">
        <f>Y128*0.1</f>
        <v>0</v>
      </c>
      <c r="AA128" s="169"/>
      <c r="AB128" s="169">
        <f>SUM(Y128:AA128)</f>
        <v>0</v>
      </c>
      <c r="AC128" s="172"/>
      <c r="AD128"/>
    </row>
    <row r="129" spans="1:30" ht="17.100000000000001" customHeight="1" thickBot="1">
      <c r="A129" s="177"/>
      <c r="B129" s="46" t="s">
        <v>294</v>
      </c>
      <c r="C129" s="46">
        <v>20164</v>
      </c>
      <c r="D129" s="47" t="s">
        <v>602</v>
      </c>
      <c r="E129" s="186"/>
      <c r="F129" s="70" t="s">
        <v>603</v>
      </c>
      <c r="G129" s="49">
        <v>67118</v>
      </c>
      <c r="H129" s="181"/>
      <c r="I129" s="170"/>
      <c r="J129" s="170"/>
      <c r="K129" s="170"/>
      <c r="L129" s="170"/>
      <c r="M129" s="170"/>
      <c r="N129" s="170"/>
      <c r="O129" s="184"/>
      <c r="P129" s="88" t="s">
        <v>604</v>
      </c>
      <c r="Q129" s="89" t="s">
        <v>89</v>
      </c>
      <c r="R129" s="145" t="s">
        <v>605</v>
      </c>
      <c r="S129" s="52"/>
      <c r="T129" s="53"/>
      <c r="U129" s="54"/>
      <c r="V129" s="55"/>
      <c r="W129" s="90"/>
      <c r="X129" s="54"/>
      <c r="Y129" s="170"/>
      <c r="Z129" s="170"/>
      <c r="AA129" s="170"/>
      <c r="AB129" s="170"/>
      <c r="AC129" s="173"/>
      <c r="AD129"/>
    </row>
    <row r="130" spans="1:30" ht="17.100000000000001" customHeight="1" thickTop="1">
      <c r="A130" s="176" t="s">
        <v>606</v>
      </c>
      <c r="B130" s="33">
        <v>43022</v>
      </c>
      <c r="C130" s="78" t="s">
        <v>607</v>
      </c>
      <c r="D130" s="35" t="s">
        <v>608</v>
      </c>
      <c r="E130" s="185"/>
      <c r="F130" s="131" t="s">
        <v>267</v>
      </c>
      <c r="G130" s="37" t="s">
        <v>557</v>
      </c>
      <c r="H130" s="180">
        <v>4.5</v>
      </c>
      <c r="I130" s="169">
        <v>2150000</v>
      </c>
      <c r="J130" s="169">
        <v>172000</v>
      </c>
      <c r="K130" s="169">
        <v>16400</v>
      </c>
      <c r="L130" s="169">
        <v>18960</v>
      </c>
      <c r="M130" s="169">
        <v>11880</v>
      </c>
      <c r="N130" s="169">
        <f>SUM(I130:M130)</f>
        <v>2369240</v>
      </c>
      <c r="O130" s="183">
        <v>1400000</v>
      </c>
      <c r="P130" s="129" t="s">
        <v>609</v>
      </c>
      <c r="Q130" s="82" t="s">
        <v>88</v>
      </c>
      <c r="R130" s="83"/>
      <c r="S130" s="84" t="s">
        <v>610</v>
      </c>
      <c r="T130" s="85"/>
      <c r="U130" s="42"/>
      <c r="V130" s="43"/>
      <c r="W130" s="104"/>
      <c r="X130" s="45"/>
      <c r="Y130" s="169"/>
      <c r="Z130" s="171">
        <f>Y130*0.1</f>
        <v>0</v>
      </c>
      <c r="AA130" s="169"/>
      <c r="AB130" s="169">
        <f>SUM(Y130:AA130)</f>
        <v>0</v>
      </c>
      <c r="AC130" s="172"/>
      <c r="AD130"/>
    </row>
    <row r="131" spans="1:30" ht="17.100000000000001" customHeight="1" thickBot="1">
      <c r="A131" s="177"/>
      <c r="B131" s="46" t="s">
        <v>115</v>
      </c>
      <c r="C131" s="46">
        <v>85345</v>
      </c>
      <c r="D131" s="47" t="s">
        <v>611</v>
      </c>
      <c r="E131" s="186"/>
      <c r="F131" s="70" t="s">
        <v>612</v>
      </c>
      <c r="G131" s="49">
        <v>24867</v>
      </c>
      <c r="H131" s="181"/>
      <c r="I131" s="170"/>
      <c r="J131" s="170"/>
      <c r="K131" s="170"/>
      <c r="L131" s="170"/>
      <c r="M131" s="170"/>
      <c r="N131" s="170"/>
      <c r="O131" s="184"/>
      <c r="P131" s="88" t="s">
        <v>613</v>
      </c>
      <c r="Q131" s="89" t="s">
        <v>89</v>
      </c>
      <c r="R131" s="145" t="s">
        <v>614</v>
      </c>
      <c r="S131" s="52" t="s">
        <v>615</v>
      </c>
      <c r="T131" s="53"/>
      <c r="U131" s="54"/>
      <c r="V131" s="55"/>
      <c r="W131" s="90"/>
      <c r="X131" s="54"/>
      <c r="Y131" s="170"/>
      <c r="Z131" s="170"/>
      <c r="AA131" s="170"/>
      <c r="AB131" s="170"/>
      <c r="AC131" s="173"/>
      <c r="AD131"/>
    </row>
    <row r="132" spans="1:30" ht="17.100000000000001" customHeight="1" thickTop="1">
      <c r="A132" s="176" t="s">
        <v>616</v>
      </c>
      <c r="B132" s="33">
        <v>43027</v>
      </c>
      <c r="C132" s="78" t="s">
        <v>617</v>
      </c>
      <c r="D132" s="35" t="s">
        <v>618</v>
      </c>
      <c r="E132" s="185"/>
      <c r="F132" s="131" t="s">
        <v>619</v>
      </c>
      <c r="G132" s="37" t="s">
        <v>468</v>
      </c>
      <c r="H132" s="180">
        <v>4</v>
      </c>
      <c r="I132" s="169">
        <v>505000</v>
      </c>
      <c r="J132" s="169">
        <v>40400</v>
      </c>
      <c r="K132" s="169">
        <v>18700</v>
      </c>
      <c r="L132" s="169">
        <v>16320</v>
      </c>
      <c r="M132" s="169">
        <v>12960</v>
      </c>
      <c r="N132" s="169">
        <f>SUM(I132:M132)</f>
        <v>593380</v>
      </c>
      <c r="O132" s="183">
        <v>200000</v>
      </c>
      <c r="P132" s="129" t="s">
        <v>620</v>
      </c>
      <c r="Q132" s="82" t="s">
        <v>88</v>
      </c>
      <c r="R132" s="83"/>
      <c r="S132" s="84" t="s">
        <v>621</v>
      </c>
      <c r="T132" s="85"/>
      <c r="U132" s="42" t="s">
        <v>622</v>
      </c>
      <c r="V132" s="43"/>
      <c r="W132" s="104"/>
      <c r="X132" s="45"/>
      <c r="Y132" s="169"/>
      <c r="Z132" s="171">
        <f>Y132*0.1</f>
        <v>0</v>
      </c>
      <c r="AA132" s="169"/>
      <c r="AB132" s="169">
        <f>SUM(Y132:AA132)</f>
        <v>0</v>
      </c>
      <c r="AC132" s="172"/>
      <c r="AD132"/>
    </row>
    <row r="133" spans="1:30" ht="17.100000000000001" customHeight="1" thickBot="1">
      <c r="A133" s="177"/>
      <c r="B133" s="46" t="s">
        <v>345</v>
      </c>
      <c r="C133" s="46">
        <v>126</v>
      </c>
      <c r="D133" s="47" t="s">
        <v>137</v>
      </c>
      <c r="E133" s="186"/>
      <c r="F133" s="70" t="s">
        <v>623</v>
      </c>
      <c r="G133" s="49">
        <v>50633</v>
      </c>
      <c r="H133" s="181"/>
      <c r="I133" s="170"/>
      <c r="J133" s="170"/>
      <c r="K133" s="170"/>
      <c r="L133" s="170"/>
      <c r="M133" s="170"/>
      <c r="N133" s="170"/>
      <c r="O133" s="184"/>
      <c r="P133" s="88" t="s">
        <v>624</v>
      </c>
      <c r="Q133" s="89" t="s">
        <v>89</v>
      </c>
      <c r="R133" s="145" t="s">
        <v>625</v>
      </c>
      <c r="S133" s="52" t="s">
        <v>626</v>
      </c>
      <c r="T133" s="53"/>
      <c r="U133" s="54"/>
      <c r="V133" s="55" t="s">
        <v>120</v>
      </c>
      <c r="W133" s="90"/>
      <c r="X133" s="54"/>
      <c r="Y133" s="170"/>
      <c r="Z133" s="170"/>
      <c r="AA133" s="170"/>
      <c r="AB133" s="170"/>
      <c r="AC133" s="173"/>
      <c r="AD133"/>
    </row>
    <row r="134" spans="1:30" ht="17.100000000000001" customHeight="1" thickTop="1">
      <c r="A134" s="176" t="s">
        <v>627</v>
      </c>
      <c r="B134" s="33">
        <v>43035</v>
      </c>
      <c r="C134" s="78" t="s">
        <v>628</v>
      </c>
      <c r="D134" s="35" t="s">
        <v>629</v>
      </c>
      <c r="E134" s="185" t="s">
        <v>250</v>
      </c>
      <c r="F134" s="131" t="s">
        <v>267</v>
      </c>
      <c r="G134" s="156" t="s">
        <v>427</v>
      </c>
      <c r="H134" s="180">
        <v>5</v>
      </c>
      <c r="I134" s="169">
        <v>1920000</v>
      </c>
      <c r="J134" s="169">
        <v>153600</v>
      </c>
      <c r="K134" s="169">
        <v>16400</v>
      </c>
      <c r="L134" s="169">
        <v>18960</v>
      </c>
      <c r="M134" s="169">
        <v>12960</v>
      </c>
      <c r="N134" s="169">
        <f>SUM(I134:M134)</f>
        <v>2121920</v>
      </c>
      <c r="O134" s="183"/>
      <c r="P134" s="139" t="s">
        <v>630</v>
      </c>
      <c r="Q134" s="82" t="s">
        <v>88</v>
      </c>
      <c r="R134" s="83"/>
      <c r="S134" s="84" t="s">
        <v>631</v>
      </c>
      <c r="T134" s="85"/>
      <c r="U134" s="81" t="s">
        <v>632</v>
      </c>
      <c r="V134" s="157"/>
      <c r="W134" s="104"/>
      <c r="X134" s="45"/>
      <c r="Y134" s="169"/>
      <c r="Z134" s="171">
        <f>Y134*0.1</f>
        <v>0</v>
      </c>
      <c r="AA134" s="169"/>
      <c r="AB134" s="169">
        <f>SUM(Y134:AA134)</f>
        <v>0</v>
      </c>
      <c r="AC134" s="172"/>
      <c r="AD134"/>
    </row>
    <row r="135" spans="1:30" ht="17.100000000000001" customHeight="1" thickBot="1">
      <c r="A135" s="177"/>
      <c r="B135" s="46" t="s">
        <v>294</v>
      </c>
      <c r="C135" s="46">
        <v>58183</v>
      </c>
      <c r="D135" s="47" t="s">
        <v>430</v>
      </c>
      <c r="E135" s="186"/>
      <c r="F135" s="70" t="s">
        <v>633</v>
      </c>
      <c r="G135" s="127">
        <v>36757</v>
      </c>
      <c r="H135" s="181"/>
      <c r="I135" s="170"/>
      <c r="J135" s="170"/>
      <c r="K135" s="170"/>
      <c r="L135" s="170"/>
      <c r="M135" s="170"/>
      <c r="N135" s="170"/>
      <c r="O135" s="184"/>
      <c r="P135" s="46" t="s">
        <v>634</v>
      </c>
      <c r="Q135" s="89" t="s">
        <v>89</v>
      </c>
      <c r="R135" s="145" t="s">
        <v>635</v>
      </c>
      <c r="S135" s="52" t="s">
        <v>636</v>
      </c>
      <c r="T135" s="53"/>
      <c r="U135" s="88"/>
      <c r="V135" s="158" t="s">
        <v>637</v>
      </c>
      <c r="W135" s="90"/>
      <c r="X135" s="46"/>
      <c r="Y135" s="170"/>
      <c r="Z135" s="170"/>
      <c r="AA135" s="170"/>
      <c r="AB135" s="170"/>
      <c r="AC135" s="173"/>
      <c r="AD135"/>
    </row>
    <row r="136" spans="1:30" ht="17.100000000000001" customHeight="1" thickTop="1">
      <c r="A136" s="176" t="s">
        <v>638</v>
      </c>
      <c r="B136" s="33">
        <v>43041</v>
      </c>
      <c r="C136" s="78" t="s">
        <v>639</v>
      </c>
      <c r="D136" s="35" t="s">
        <v>640</v>
      </c>
      <c r="E136" s="185"/>
      <c r="F136" s="131" t="s">
        <v>267</v>
      </c>
      <c r="G136" s="37"/>
      <c r="H136" s="180">
        <v>4</v>
      </c>
      <c r="I136" s="169">
        <v>2010000</v>
      </c>
      <c r="J136" s="169">
        <v>160800</v>
      </c>
      <c r="K136" s="169">
        <v>0</v>
      </c>
      <c r="L136" s="169">
        <v>18960</v>
      </c>
      <c r="M136" s="169">
        <v>12960</v>
      </c>
      <c r="N136" s="169">
        <f>SUM(I136:M136)</f>
        <v>2202720</v>
      </c>
      <c r="O136" s="183">
        <v>1300000</v>
      </c>
      <c r="P136" s="129" t="s">
        <v>641</v>
      </c>
      <c r="Q136" s="82" t="s">
        <v>88</v>
      </c>
      <c r="R136" s="83"/>
      <c r="S136" s="84" t="s">
        <v>642</v>
      </c>
      <c r="T136" s="85"/>
      <c r="U136" s="42"/>
      <c r="V136" s="157"/>
      <c r="W136" s="104"/>
      <c r="X136" s="45"/>
      <c r="Y136" s="169"/>
      <c r="Z136" s="171">
        <f>Y136*0.1</f>
        <v>0</v>
      </c>
      <c r="AA136" s="169"/>
      <c r="AB136" s="169">
        <f>SUM(Y136:AA136)</f>
        <v>0</v>
      </c>
      <c r="AC136" s="172"/>
      <c r="AD136"/>
    </row>
    <row r="137" spans="1:30" ht="17.100000000000001" customHeight="1" thickBot="1">
      <c r="A137" s="177"/>
      <c r="B137" s="46" t="s">
        <v>229</v>
      </c>
      <c r="C137" s="46">
        <v>75584</v>
      </c>
      <c r="D137" s="47" t="s">
        <v>362</v>
      </c>
      <c r="E137" s="186"/>
      <c r="F137" s="70" t="s">
        <v>643</v>
      </c>
      <c r="G137" s="49">
        <v>17730</v>
      </c>
      <c r="H137" s="181"/>
      <c r="I137" s="170"/>
      <c r="J137" s="170"/>
      <c r="K137" s="170"/>
      <c r="L137" s="170"/>
      <c r="M137" s="170"/>
      <c r="N137" s="170"/>
      <c r="O137" s="184"/>
      <c r="P137" s="88" t="s">
        <v>644</v>
      </c>
      <c r="Q137" s="89" t="s">
        <v>89</v>
      </c>
      <c r="R137" s="145" t="s">
        <v>645</v>
      </c>
      <c r="S137" s="52" t="s">
        <v>646</v>
      </c>
      <c r="T137" s="53"/>
      <c r="U137" s="54"/>
      <c r="V137" s="55"/>
      <c r="W137" s="90"/>
      <c r="X137" s="54"/>
      <c r="Y137" s="170"/>
      <c r="Z137" s="170"/>
      <c r="AA137" s="170"/>
      <c r="AB137" s="170"/>
      <c r="AC137" s="173"/>
      <c r="AD137"/>
    </row>
    <row r="138" spans="1:30" ht="17.100000000000001" customHeight="1" thickTop="1">
      <c r="A138" s="176" t="s">
        <v>647</v>
      </c>
      <c r="B138" s="33">
        <v>43082</v>
      </c>
      <c r="C138" s="78" t="s">
        <v>648</v>
      </c>
      <c r="D138" s="35" t="s">
        <v>360</v>
      </c>
      <c r="E138" s="185" t="s">
        <v>250</v>
      </c>
      <c r="F138" s="131" t="s">
        <v>649</v>
      </c>
      <c r="G138" s="156" t="s">
        <v>650</v>
      </c>
      <c r="H138" s="180">
        <v>5</v>
      </c>
      <c r="I138" s="169">
        <v>1925000</v>
      </c>
      <c r="J138" s="169">
        <v>154000</v>
      </c>
      <c r="K138" s="169">
        <v>9800</v>
      </c>
      <c r="L138" s="169">
        <v>17700</v>
      </c>
      <c r="M138" s="169">
        <v>12960</v>
      </c>
      <c r="N138" s="169">
        <f>SUM(I138:M138)</f>
        <v>2119460</v>
      </c>
      <c r="O138" s="183"/>
      <c r="P138" s="139" t="s">
        <v>651</v>
      </c>
      <c r="Q138" s="82" t="s">
        <v>88</v>
      </c>
      <c r="R138" s="83"/>
      <c r="S138" s="84" t="s">
        <v>652</v>
      </c>
      <c r="T138" s="85"/>
      <c r="U138" s="81" t="s">
        <v>653</v>
      </c>
      <c r="V138" s="157"/>
      <c r="W138" s="104"/>
      <c r="X138" s="45"/>
      <c r="Y138" s="169"/>
      <c r="Z138" s="171">
        <f>Y138*0.1</f>
        <v>0</v>
      </c>
      <c r="AA138" s="169"/>
      <c r="AB138" s="169">
        <f>SUM(Y138:AA138)</f>
        <v>0</v>
      </c>
      <c r="AC138" s="172"/>
      <c r="AD138"/>
    </row>
    <row r="139" spans="1:30" ht="17.100000000000001" customHeight="1" thickBot="1">
      <c r="A139" s="177"/>
      <c r="B139" s="46" t="s">
        <v>654</v>
      </c>
      <c r="C139" s="46">
        <v>70039</v>
      </c>
      <c r="D139" s="47" t="s">
        <v>655</v>
      </c>
      <c r="E139" s="186"/>
      <c r="F139" s="70" t="s">
        <v>656</v>
      </c>
      <c r="G139" s="127">
        <v>24113</v>
      </c>
      <c r="H139" s="181"/>
      <c r="I139" s="170"/>
      <c r="J139" s="170"/>
      <c r="K139" s="170"/>
      <c r="L139" s="170"/>
      <c r="M139" s="170"/>
      <c r="N139" s="170"/>
      <c r="O139" s="184"/>
      <c r="P139" s="46" t="s">
        <v>613</v>
      </c>
      <c r="Q139" s="89" t="s">
        <v>89</v>
      </c>
      <c r="R139" s="145" t="s">
        <v>657</v>
      </c>
      <c r="S139" s="52" t="s">
        <v>636</v>
      </c>
      <c r="T139" s="53"/>
      <c r="U139" s="88"/>
      <c r="V139" s="158" t="s">
        <v>658</v>
      </c>
      <c r="W139" s="90"/>
      <c r="X139" s="46"/>
      <c r="Y139" s="170"/>
      <c r="Z139" s="170"/>
      <c r="AA139" s="170"/>
      <c r="AB139" s="170"/>
      <c r="AC139" s="173"/>
      <c r="AD139"/>
    </row>
    <row r="140" spans="1:30" ht="17.100000000000001" customHeight="1" thickTop="1">
      <c r="A140" s="176" t="s">
        <v>659</v>
      </c>
      <c r="B140" s="33">
        <v>43083</v>
      </c>
      <c r="C140" s="78" t="s">
        <v>660</v>
      </c>
      <c r="D140" s="35" t="s">
        <v>661</v>
      </c>
      <c r="E140" s="185"/>
      <c r="F140" s="131" t="s">
        <v>662</v>
      </c>
      <c r="G140" s="37" t="s">
        <v>650</v>
      </c>
      <c r="H140" s="180">
        <v>4</v>
      </c>
      <c r="I140" s="169">
        <v>1695000</v>
      </c>
      <c r="J140" s="169">
        <v>135600</v>
      </c>
      <c r="K140" s="169">
        <v>9800</v>
      </c>
      <c r="L140" s="169">
        <v>24290</v>
      </c>
      <c r="M140" s="169">
        <v>12960</v>
      </c>
      <c r="N140" s="169">
        <f>SUM(I140:M140)</f>
        <v>1877650</v>
      </c>
      <c r="O140" s="183">
        <v>650000</v>
      </c>
      <c r="P140" s="129" t="s">
        <v>663</v>
      </c>
      <c r="Q140" s="82" t="s">
        <v>88</v>
      </c>
      <c r="R140" s="83"/>
      <c r="S140" s="84" t="s">
        <v>664</v>
      </c>
      <c r="T140" s="85"/>
      <c r="U140" s="42"/>
      <c r="V140" s="43"/>
      <c r="W140" s="104"/>
      <c r="X140" s="45"/>
      <c r="Y140" s="169"/>
      <c r="Z140" s="171">
        <f>Y140*0.1</f>
        <v>0</v>
      </c>
      <c r="AA140" s="169"/>
      <c r="AB140" s="169">
        <f>SUM(Y140:AA140)</f>
        <v>0</v>
      </c>
      <c r="AC140" s="172"/>
      <c r="AD140"/>
    </row>
    <row r="141" spans="1:30" ht="17.100000000000001" customHeight="1" thickBot="1">
      <c r="A141" s="177"/>
      <c r="B141" s="46" t="s">
        <v>345</v>
      </c>
      <c r="C141" s="46">
        <v>602</v>
      </c>
      <c r="D141" s="47" t="s">
        <v>568</v>
      </c>
      <c r="E141" s="186"/>
      <c r="F141" s="70" t="s">
        <v>665</v>
      </c>
      <c r="G141" s="49">
        <v>34309</v>
      </c>
      <c r="H141" s="181"/>
      <c r="I141" s="170"/>
      <c r="J141" s="170"/>
      <c r="K141" s="170"/>
      <c r="L141" s="170"/>
      <c r="M141" s="170"/>
      <c r="N141" s="170"/>
      <c r="O141" s="184"/>
      <c r="P141" s="88" t="s">
        <v>666</v>
      </c>
      <c r="Q141" s="89" t="s">
        <v>89</v>
      </c>
      <c r="R141" s="145" t="s">
        <v>667</v>
      </c>
      <c r="S141" s="52" t="s">
        <v>615</v>
      </c>
      <c r="T141" s="53"/>
      <c r="U141" s="54"/>
      <c r="V141" s="55" t="s">
        <v>120</v>
      </c>
      <c r="W141" s="90"/>
      <c r="X141" s="54"/>
      <c r="Y141" s="170"/>
      <c r="Z141" s="170"/>
      <c r="AA141" s="170"/>
      <c r="AB141" s="170"/>
      <c r="AC141" s="173"/>
      <c r="AD141"/>
    </row>
    <row r="142" spans="1:30" ht="17.100000000000001" customHeight="1" thickTop="1">
      <c r="A142" s="176" t="s">
        <v>668</v>
      </c>
      <c r="B142" s="33">
        <v>43090</v>
      </c>
      <c r="C142" s="78" t="s">
        <v>669</v>
      </c>
      <c r="D142" s="35" t="s">
        <v>670</v>
      </c>
      <c r="E142" s="185"/>
      <c r="F142" s="131" t="s">
        <v>671</v>
      </c>
      <c r="G142" s="37"/>
      <c r="H142" s="180">
        <v>4</v>
      </c>
      <c r="I142" s="169">
        <v>955000</v>
      </c>
      <c r="J142" s="169">
        <v>76400</v>
      </c>
      <c r="K142" s="169">
        <v>0</v>
      </c>
      <c r="L142" s="169">
        <v>19820</v>
      </c>
      <c r="M142" s="169">
        <v>12960</v>
      </c>
      <c r="N142" s="169">
        <f>SUM(I142:M142)</f>
        <v>1064180</v>
      </c>
      <c r="O142" s="183">
        <v>200000</v>
      </c>
      <c r="P142" s="129" t="s">
        <v>672</v>
      </c>
      <c r="Q142" s="82" t="s">
        <v>88</v>
      </c>
      <c r="R142" s="83"/>
      <c r="S142" s="84" t="s">
        <v>673</v>
      </c>
      <c r="T142" s="85"/>
      <c r="U142" s="42"/>
      <c r="V142" s="43"/>
      <c r="W142" s="104"/>
      <c r="X142" s="45"/>
      <c r="Y142" s="169"/>
      <c r="Z142" s="171">
        <f>Y142*0.1</f>
        <v>0</v>
      </c>
      <c r="AA142" s="169"/>
      <c r="AB142" s="169">
        <f>SUM(Y142:AA142)</f>
        <v>0</v>
      </c>
      <c r="AC142" s="172"/>
      <c r="AD142"/>
    </row>
    <row r="143" spans="1:30" ht="17.100000000000001" customHeight="1" thickBot="1">
      <c r="A143" s="177"/>
      <c r="B143" s="46" t="s">
        <v>229</v>
      </c>
      <c r="C143" s="46">
        <v>75666</v>
      </c>
      <c r="D143" s="47" t="s">
        <v>674</v>
      </c>
      <c r="E143" s="186"/>
      <c r="F143" s="70" t="s">
        <v>675</v>
      </c>
      <c r="G143" s="49">
        <v>58895</v>
      </c>
      <c r="H143" s="181"/>
      <c r="I143" s="170"/>
      <c r="J143" s="170"/>
      <c r="K143" s="170"/>
      <c r="L143" s="170"/>
      <c r="M143" s="170"/>
      <c r="N143" s="170"/>
      <c r="O143" s="184"/>
      <c r="P143" s="88" t="s">
        <v>676</v>
      </c>
      <c r="Q143" s="89" t="s">
        <v>89</v>
      </c>
      <c r="R143" s="145" t="s">
        <v>677</v>
      </c>
      <c r="S143" s="52" t="s">
        <v>678</v>
      </c>
      <c r="T143" s="53"/>
      <c r="U143" s="54"/>
      <c r="V143" s="55"/>
      <c r="W143" s="90"/>
      <c r="X143" s="54"/>
      <c r="Y143" s="170"/>
      <c r="Z143" s="170"/>
      <c r="AA143" s="170"/>
      <c r="AB143" s="170"/>
      <c r="AC143" s="173"/>
      <c r="AD143"/>
    </row>
    <row r="144" spans="1:30" ht="17.100000000000001" customHeight="1" thickTop="1">
      <c r="A144" s="176" t="s">
        <v>679</v>
      </c>
      <c r="B144" s="33">
        <v>43111</v>
      </c>
      <c r="C144" s="78" t="s">
        <v>680</v>
      </c>
      <c r="D144" s="35" t="s">
        <v>681</v>
      </c>
      <c r="E144" s="185"/>
      <c r="F144" s="79" t="s">
        <v>682</v>
      </c>
      <c r="G144" s="37"/>
      <c r="H144" s="180">
        <v>4.5</v>
      </c>
      <c r="I144" s="169">
        <v>1008000</v>
      </c>
      <c r="J144" s="169">
        <v>80640</v>
      </c>
      <c r="K144" s="169">
        <v>0</v>
      </c>
      <c r="L144" s="169">
        <v>16890</v>
      </c>
      <c r="M144" s="169">
        <v>10800</v>
      </c>
      <c r="N144" s="169">
        <f>SUM(I144:M144)</f>
        <v>1116330</v>
      </c>
      <c r="O144" s="183">
        <v>500000</v>
      </c>
      <c r="P144" s="129" t="s">
        <v>683</v>
      </c>
      <c r="Q144" s="82" t="s">
        <v>88</v>
      </c>
      <c r="R144" s="83"/>
      <c r="S144" s="84" t="s">
        <v>684</v>
      </c>
      <c r="T144" s="85"/>
      <c r="U144" s="42"/>
      <c r="V144" s="43"/>
      <c r="W144" s="104"/>
      <c r="X144" s="45"/>
      <c r="Y144" s="169"/>
      <c r="Z144" s="171">
        <f>Y144*0.1</f>
        <v>0</v>
      </c>
      <c r="AA144" s="169"/>
      <c r="AB144" s="169">
        <f>SUM(Y144:AA144)</f>
        <v>0</v>
      </c>
      <c r="AC144" s="172"/>
      <c r="AD144"/>
    </row>
    <row r="145" spans="1:30" ht="17.100000000000001" customHeight="1" thickBot="1">
      <c r="A145" s="177"/>
      <c r="B145" s="46" t="s">
        <v>685</v>
      </c>
      <c r="C145" s="46">
        <v>80041</v>
      </c>
      <c r="D145" s="47" t="s">
        <v>686</v>
      </c>
      <c r="E145" s="186"/>
      <c r="F145" s="70" t="s">
        <v>687</v>
      </c>
      <c r="G145" s="49">
        <v>50900</v>
      </c>
      <c r="H145" s="181"/>
      <c r="I145" s="170"/>
      <c r="J145" s="170"/>
      <c r="K145" s="170"/>
      <c r="L145" s="170"/>
      <c r="M145" s="170"/>
      <c r="N145" s="170"/>
      <c r="O145" s="184"/>
      <c r="P145" s="88" t="s">
        <v>688</v>
      </c>
      <c r="Q145" s="89" t="s">
        <v>89</v>
      </c>
      <c r="R145" s="145" t="s">
        <v>689</v>
      </c>
      <c r="S145" s="52" t="s">
        <v>690</v>
      </c>
      <c r="T145" s="53"/>
      <c r="U145" s="54"/>
      <c r="V145" s="55"/>
      <c r="W145" s="90"/>
      <c r="X145" s="54"/>
      <c r="Y145" s="170"/>
      <c r="Z145" s="170"/>
      <c r="AA145" s="170"/>
      <c r="AB145" s="170"/>
      <c r="AC145" s="173"/>
      <c r="AD145"/>
    </row>
    <row r="146" spans="1:30" ht="17.100000000000001" customHeight="1" thickTop="1">
      <c r="A146" s="176" t="s">
        <v>691</v>
      </c>
      <c r="B146" s="33">
        <v>43132</v>
      </c>
      <c r="C146" s="78" t="s">
        <v>692</v>
      </c>
      <c r="D146" s="35" t="s">
        <v>498</v>
      </c>
      <c r="E146" s="185"/>
      <c r="F146" s="131" t="s">
        <v>693</v>
      </c>
      <c r="G146" s="37" t="s">
        <v>694</v>
      </c>
      <c r="H146" s="180">
        <v>5</v>
      </c>
      <c r="I146" s="169">
        <v>1895000</v>
      </c>
      <c r="J146" s="169">
        <v>151600</v>
      </c>
      <c r="K146" s="169">
        <v>4200</v>
      </c>
      <c r="L146" s="169">
        <v>18360</v>
      </c>
      <c r="M146" s="169">
        <v>12960</v>
      </c>
      <c r="N146" s="169">
        <f>SUM(I146:M146)</f>
        <v>2082120</v>
      </c>
      <c r="O146" s="183">
        <v>1100000</v>
      </c>
      <c r="P146" s="129" t="s">
        <v>695</v>
      </c>
      <c r="Q146" s="82" t="s">
        <v>88</v>
      </c>
      <c r="R146" s="83"/>
      <c r="S146" s="84" t="s">
        <v>696</v>
      </c>
      <c r="T146" s="85"/>
      <c r="U146" s="42"/>
      <c r="V146" s="43"/>
      <c r="W146" s="104"/>
      <c r="X146" s="45"/>
      <c r="Y146" s="169"/>
      <c r="Z146" s="171">
        <f>Y146*0.1</f>
        <v>0</v>
      </c>
      <c r="AA146" s="169"/>
      <c r="AB146" s="169">
        <f>SUM(Y146:AA146)</f>
        <v>0</v>
      </c>
      <c r="AC146" s="172"/>
      <c r="AD146"/>
    </row>
    <row r="147" spans="1:30" ht="17.100000000000001" customHeight="1" thickBot="1">
      <c r="A147" s="177"/>
      <c r="B147" s="46" t="s">
        <v>229</v>
      </c>
      <c r="C147" s="46">
        <v>75222</v>
      </c>
      <c r="D147" s="47" t="s">
        <v>312</v>
      </c>
      <c r="E147" s="186"/>
      <c r="F147" s="70" t="s">
        <v>697</v>
      </c>
      <c r="G147" s="49">
        <v>39282</v>
      </c>
      <c r="H147" s="181"/>
      <c r="I147" s="170"/>
      <c r="J147" s="170"/>
      <c r="K147" s="170"/>
      <c r="L147" s="170"/>
      <c r="M147" s="170"/>
      <c r="N147" s="170"/>
      <c r="O147" s="184"/>
      <c r="P147" s="88" t="s">
        <v>698</v>
      </c>
      <c r="Q147" s="89" t="s">
        <v>89</v>
      </c>
      <c r="R147" s="145" t="s">
        <v>699</v>
      </c>
      <c r="S147" s="52" t="s">
        <v>700</v>
      </c>
      <c r="T147" s="53"/>
      <c r="U147" s="54"/>
      <c r="V147" s="55" t="s">
        <v>120</v>
      </c>
      <c r="W147" s="90"/>
      <c r="X147" s="54"/>
      <c r="Y147" s="170"/>
      <c r="Z147" s="170"/>
      <c r="AA147" s="170"/>
      <c r="AB147" s="170"/>
      <c r="AC147" s="173"/>
      <c r="AD147"/>
    </row>
    <row r="148" spans="1:30" ht="17.100000000000001" customHeight="1" thickTop="1">
      <c r="A148" s="176" t="s">
        <v>701</v>
      </c>
      <c r="B148" s="33">
        <v>43176</v>
      </c>
      <c r="C148" s="78" t="s">
        <v>702</v>
      </c>
      <c r="D148" s="35" t="s">
        <v>582</v>
      </c>
      <c r="E148" s="185"/>
      <c r="F148" s="131" t="s">
        <v>703</v>
      </c>
      <c r="G148" s="37" t="s">
        <v>704</v>
      </c>
      <c r="H148" s="180">
        <v>4</v>
      </c>
      <c r="I148" s="169">
        <v>905000</v>
      </c>
      <c r="J148" s="169">
        <v>72400</v>
      </c>
      <c r="K148" s="169">
        <v>33900</v>
      </c>
      <c r="L148" s="169">
        <v>4790</v>
      </c>
      <c r="M148" s="169">
        <v>11880</v>
      </c>
      <c r="N148" s="169">
        <f>SUM(I148:M148)</f>
        <v>1027970</v>
      </c>
      <c r="O148" s="183">
        <v>600000</v>
      </c>
      <c r="P148" s="129" t="s">
        <v>705</v>
      </c>
      <c r="Q148" s="82" t="s">
        <v>88</v>
      </c>
      <c r="R148" s="83"/>
      <c r="S148" s="84" t="s">
        <v>706</v>
      </c>
      <c r="T148" s="85"/>
      <c r="U148" s="42"/>
      <c r="V148" s="43"/>
      <c r="W148" s="104">
        <v>46085</v>
      </c>
      <c r="X148" s="45">
        <v>1007</v>
      </c>
      <c r="Y148" s="169">
        <v>355000</v>
      </c>
      <c r="Z148" s="171">
        <f>Y148*0.1</f>
        <v>35500</v>
      </c>
      <c r="AA148" s="169">
        <v>4790</v>
      </c>
      <c r="AB148" s="169">
        <f>SUM(Y148:AA148)</f>
        <v>395290</v>
      </c>
      <c r="AC148" s="172">
        <v>46090</v>
      </c>
      <c r="AD148"/>
    </row>
    <row r="149" spans="1:30" ht="17.100000000000001" customHeight="1" thickBot="1">
      <c r="A149" s="177"/>
      <c r="B149" s="46" t="s">
        <v>115</v>
      </c>
      <c r="C149" s="46">
        <v>30068</v>
      </c>
      <c r="D149" s="47" t="s">
        <v>707</v>
      </c>
      <c r="E149" s="186"/>
      <c r="F149" s="70" t="s">
        <v>708</v>
      </c>
      <c r="G149" s="49">
        <v>44694</v>
      </c>
      <c r="H149" s="181"/>
      <c r="I149" s="170"/>
      <c r="J149" s="170"/>
      <c r="K149" s="170"/>
      <c r="L149" s="170"/>
      <c r="M149" s="170"/>
      <c r="N149" s="170"/>
      <c r="O149" s="184"/>
      <c r="P149" s="88" t="s">
        <v>709</v>
      </c>
      <c r="Q149" s="89" t="s">
        <v>89</v>
      </c>
      <c r="R149" s="145" t="s">
        <v>710</v>
      </c>
      <c r="S149" s="52" t="s">
        <v>711</v>
      </c>
      <c r="T149" s="53"/>
      <c r="U149" s="54"/>
      <c r="V149" s="55"/>
      <c r="W149" s="90" t="s">
        <v>94</v>
      </c>
      <c r="X149" s="54">
        <v>7011</v>
      </c>
      <c r="Y149" s="170"/>
      <c r="Z149" s="170"/>
      <c r="AA149" s="170"/>
      <c r="AB149" s="170"/>
      <c r="AC149" s="173"/>
      <c r="AD149"/>
    </row>
    <row r="150" spans="1:30" ht="17.100000000000001" customHeight="1" thickTop="1">
      <c r="A150" s="176" t="s">
        <v>712</v>
      </c>
      <c r="B150" s="33">
        <v>43194</v>
      </c>
      <c r="C150" s="78" t="s">
        <v>713</v>
      </c>
      <c r="D150" s="35" t="s">
        <v>714</v>
      </c>
      <c r="E150" s="185"/>
      <c r="F150" s="131" t="s">
        <v>715</v>
      </c>
      <c r="G150" s="37"/>
      <c r="H150" s="180">
        <v>4</v>
      </c>
      <c r="I150" s="169">
        <v>964000</v>
      </c>
      <c r="J150" s="169">
        <v>77120</v>
      </c>
      <c r="K150" s="169">
        <v>0</v>
      </c>
      <c r="L150" s="169">
        <v>18840</v>
      </c>
      <c r="M150" s="169">
        <v>12960</v>
      </c>
      <c r="N150" s="169">
        <f>SUM(I150:M150)</f>
        <v>1072920</v>
      </c>
      <c r="O150" s="183">
        <v>200000</v>
      </c>
      <c r="P150" s="129" t="s">
        <v>716</v>
      </c>
      <c r="Q150" s="82" t="s">
        <v>88</v>
      </c>
      <c r="R150" s="83"/>
      <c r="S150" s="84" t="s">
        <v>717</v>
      </c>
      <c r="T150" s="85"/>
      <c r="U150" s="42"/>
      <c r="V150" s="43"/>
      <c r="W150" s="104"/>
      <c r="X150" s="45"/>
      <c r="Y150" s="169"/>
      <c r="Z150" s="171">
        <f>Y150*0.1</f>
        <v>0</v>
      </c>
      <c r="AA150" s="169"/>
      <c r="AB150" s="169">
        <f>SUM(Y150:AA150)</f>
        <v>0</v>
      </c>
      <c r="AC150" s="172"/>
      <c r="AD150"/>
    </row>
    <row r="151" spans="1:30" ht="17.100000000000001" customHeight="1" thickBot="1">
      <c r="A151" s="177"/>
      <c r="B151" s="46" t="s">
        <v>718</v>
      </c>
      <c r="C151" s="46">
        <v>80048</v>
      </c>
      <c r="D151" s="47" t="s">
        <v>312</v>
      </c>
      <c r="E151" s="186"/>
      <c r="F151" s="70" t="s">
        <v>719</v>
      </c>
      <c r="G151" s="49">
        <v>41231</v>
      </c>
      <c r="H151" s="181"/>
      <c r="I151" s="170"/>
      <c r="J151" s="170"/>
      <c r="K151" s="170"/>
      <c r="L151" s="170"/>
      <c r="M151" s="170"/>
      <c r="N151" s="170"/>
      <c r="O151" s="184"/>
      <c r="P151" s="88" t="s">
        <v>720</v>
      </c>
      <c r="Q151" s="89" t="s">
        <v>89</v>
      </c>
      <c r="R151" s="145" t="s">
        <v>721</v>
      </c>
      <c r="S151" s="52" t="s">
        <v>722</v>
      </c>
      <c r="T151" s="53"/>
      <c r="U151" s="54"/>
      <c r="V151" s="55"/>
      <c r="W151" s="90"/>
      <c r="X151" s="54"/>
      <c r="Y151" s="170"/>
      <c r="Z151" s="170"/>
      <c r="AA151" s="170"/>
      <c r="AB151" s="170"/>
      <c r="AC151" s="173"/>
      <c r="AD151"/>
    </row>
    <row r="152" spans="1:30" ht="17.100000000000001" customHeight="1" thickTop="1">
      <c r="A152" s="176" t="s">
        <v>723</v>
      </c>
      <c r="B152" s="33">
        <v>43216</v>
      </c>
      <c r="C152" s="78" t="s">
        <v>724</v>
      </c>
      <c r="D152" s="35" t="s">
        <v>284</v>
      </c>
      <c r="E152" s="185"/>
      <c r="F152" s="79" t="s">
        <v>725</v>
      </c>
      <c r="G152" s="37"/>
      <c r="H152" s="180">
        <v>4</v>
      </c>
      <c r="I152" s="169">
        <v>715000</v>
      </c>
      <c r="J152" s="169">
        <v>57200</v>
      </c>
      <c r="K152" s="169">
        <v>0</v>
      </c>
      <c r="L152" s="169">
        <v>19020</v>
      </c>
      <c r="M152" s="169">
        <v>12960</v>
      </c>
      <c r="N152" s="169">
        <f>SUM(I152:M152)</f>
        <v>804180</v>
      </c>
      <c r="O152" s="183">
        <v>100000</v>
      </c>
      <c r="P152" s="129" t="s">
        <v>726</v>
      </c>
      <c r="Q152" s="82" t="s">
        <v>88</v>
      </c>
      <c r="R152" s="83"/>
      <c r="S152" s="84"/>
      <c r="T152" s="85"/>
      <c r="U152" s="42" t="s">
        <v>727</v>
      </c>
      <c r="V152" s="43"/>
      <c r="W152" s="104"/>
      <c r="X152" s="45"/>
      <c r="Y152" s="169"/>
      <c r="Z152" s="171">
        <f>Y152*0.1</f>
        <v>0</v>
      </c>
      <c r="AA152" s="169"/>
      <c r="AB152" s="169">
        <f>SUM(Y152:AA152)</f>
        <v>0</v>
      </c>
      <c r="AC152" s="172"/>
      <c r="AD152"/>
    </row>
    <row r="153" spans="1:30" ht="17.100000000000001" customHeight="1" thickBot="1">
      <c r="A153" s="177"/>
      <c r="B153" s="46" t="s">
        <v>229</v>
      </c>
      <c r="C153" s="46">
        <v>75649</v>
      </c>
      <c r="D153" s="47" t="s">
        <v>568</v>
      </c>
      <c r="E153" s="186"/>
      <c r="F153" s="70" t="s">
        <v>728</v>
      </c>
      <c r="G153" s="49">
        <v>54966</v>
      </c>
      <c r="H153" s="181"/>
      <c r="I153" s="170"/>
      <c r="J153" s="170"/>
      <c r="K153" s="170"/>
      <c r="L153" s="170"/>
      <c r="M153" s="170"/>
      <c r="N153" s="170"/>
      <c r="O153" s="184"/>
      <c r="P153" s="88" t="s">
        <v>729</v>
      </c>
      <c r="Q153" s="89" t="s">
        <v>89</v>
      </c>
      <c r="R153" s="145" t="s">
        <v>730</v>
      </c>
      <c r="S153" s="52" t="s">
        <v>731</v>
      </c>
      <c r="T153" s="53"/>
      <c r="U153" s="54"/>
      <c r="V153" s="55"/>
      <c r="W153" s="90"/>
      <c r="X153" s="54"/>
      <c r="Y153" s="170"/>
      <c r="Z153" s="170"/>
      <c r="AA153" s="170"/>
      <c r="AB153" s="170"/>
      <c r="AC153" s="173"/>
      <c r="AD153"/>
    </row>
    <row r="154" spans="1:30" ht="17.100000000000001" customHeight="1" thickTop="1">
      <c r="A154" s="176" t="s">
        <v>732</v>
      </c>
      <c r="B154" s="33">
        <v>43245</v>
      </c>
      <c r="C154" s="78" t="s">
        <v>733</v>
      </c>
      <c r="D154" s="35" t="s">
        <v>734</v>
      </c>
      <c r="E154" s="185"/>
      <c r="F154" s="131" t="s">
        <v>735</v>
      </c>
      <c r="G154" s="37" t="s">
        <v>736</v>
      </c>
      <c r="H154" s="180">
        <v>4</v>
      </c>
      <c r="I154" s="169">
        <v>1000000</v>
      </c>
      <c r="J154" s="169">
        <v>80000</v>
      </c>
      <c r="K154" s="169">
        <v>63700</v>
      </c>
      <c r="L154" s="169">
        <v>18960</v>
      </c>
      <c r="M154" s="169">
        <v>23760</v>
      </c>
      <c r="N154" s="169">
        <f>SUM(I154:M154)</f>
        <v>1186420</v>
      </c>
      <c r="O154" s="183">
        <v>500000</v>
      </c>
      <c r="P154" s="129" t="s">
        <v>737</v>
      </c>
      <c r="Q154" s="82" t="s">
        <v>88</v>
      </c>
      <c r="R154" s="83"/>
      <c r="S154" s="84"/>
      <c r="T154" s="85"/>
      <c r="U154" s="42"/>
      <c r="V154" s="43"/>
      <c r="W154" s="104"/>
      <c r="X154" s="45"/>
      <c r="Y154" s="169"/>
      <c r="Z154" s="171">
        <f>Y154*0.1</f>
        <v>0</v>
      </c>
      <c r="AA154" s="169"/>
      <c r="AB154" s="169">
        <f>SUM(Y154:AA154)</f>
        <v>0</v>
      </c>
      <c r="AC154" s="172"/>
      <c r="AD154"/>
    </row>
    <row r="155" spans="1:30" ht="17.100000000000001" customHeight="1" thickBot="1">
      <c r="A155" s="177"/>
      <c r="B155" s="46" t="s">
        <v>294</v>
      </c>
      <c r="C155" s="46">
        <v>20650</v>
      </c>
      <c r="D155" s="47" t="s">
        <v>196</v>
      </c>
      <c r="E155" s="186"/>
      <c r="F155" s="70" t="s">
        <v>738</v>
      </c>
      <c r="G155" s="49">
        <v>57147</v>
      </c>
      <c r="H155" s="181"/>
      <c r="I155" s="170"/>
      <c r="J155" s="170"/>
      <c r="K155" s="170"/>
      <c r="L155" s="170"/>
      <c r="M155" s="170"/>
      <c r="N155" s="170"/>
      <c r="O155" s="184"/>
      <c r="P155" s="88" t="s">
        <v>739</v>
      </c>
      <c r="Q155" s="89" t="s">
        <v>89</v>
      </c>
      <c r="R155" s="145" t="s">
        <v>740</v>
      </c>
      <c r="S155" s="52" t="s">
        <v>741</v>
      </c>
      <c r="T155" s="53"/>
      <c r="U155" s="54" t="s">
        <v>742</v>
      </c>
      <c r="V155" s="55" t="s">
        <v>120</v>
      </c>
      <c r="W155" s="90"/>
      <c r="X155" s="54"/>
      <c r="Y155" s="170"/>
      <c r="Z155" s="170"/>
      <c r="AA155" s="170"/>
      <c r="AB155" s="170"/>
      <c r="AC155" s="173"/>
      <c r="AD155"/>
    </row>
    <row r="156" spans="1:30" ht="17.100000000000001" customHeight="1" thickTop="1">
      <c r="A156" s="176" t="s">
        <v>743</v>
      </c>
      <c r="B156" s="33">
        <v>43307</v>
      </c>
      <c r="C156" s="78" t="s">
        <v>744</v>
      </c>
      <c r="D156" s="35" t="s">
        <v>412</v>
      </c>
      <c r="E156" s="185" t="s">
        <v>250</v>
      </c>
      <c r="F156" s="131" t="s">
        <v>745</v>
      </c>
      <c r="G156" s="156" t="s">
        <v>746</v>
      </c>
      <c r="H156" s="180">
        <v>4.5</v>
      </c>
      <c r="I156" s="169">
        <v>2200000</v>
      </c>
      <c r="J156" s="169">
        <v>176000</v>
      </c>
      <c r="K156" s="169">
        <v>26300</v>
      </c>
      <c r="L156" s="169">
        <v>19440</v>
      </c>
      <c r="M156" s="169">
        <v>12960</v>
      </c>
      <c r="N156" s="169">
        <f>SUM(I156:M156)</f>
        <v>2434700</v>
      </c>
      <c r="O156" s="183"/>
      <c r="P156" s="139" t="s">
        <v>747</v>
      </c>
      <c r="Q156" s="82" t="s">
        <v>88</v>
      </c>
      <c r="R156" s="83"/>
      <c r="S156" s="84" t="s">
        <v>652</v>
      </c>
      <c r="T156" s="85"/>
      <c r="U156" s="81"/>
      <c r="V156" s="157"/>
      <c r="W156" s="104"/>
      <c r="X156" s="45"/>
      <c r="Y156" s="169"/>
      <c r="Z156" s="171">
        <f>Y156*0.1</f>
        <v>0</v>
      </c>
      <c r="AA156" s="169"/>
      <c r="AB156" s="169">
        <f>SUM(Y156:AA156)</f>
        <v>0</v>
      </c>
      <c r="AC156" s="172"/>
      <c r="AD156"/>
    </row>
    <row r="157" spans="1:30" ht="17.100000000000001" customHeight="1" thickBot="1">
      <c r="A157" s="177"/>
      <c r="B157" s="46" t="s">
        <v>345</v>
      </c>
      <c r="C157" s="46">
        <v>460</v>
      </c>
      <c r="D157" s="47" t="s">
        <v>559</v>
      </c>
      <c r="E157" s="186"/>
      <c r="F157" s="70" t="s">
        <v>748</v>
      </c>
      <c r="G157" s="127">
        <v>18374</v>
      </c>
      <c r="H157" s="181"/>
      <c r="I157" s="170"/>
      <c r="J157" s="170"/>
      <c r="K157" s="170"/>
      <c r="L157" s="170"/>
      <c r="M157" s="170"/>
      <c r="N157" s="170"/>
      <c r="O157" s="184"/>
      <c r="P157" s="46" t="s">
        <v>749</v>
      </c>
      <c r="Q157" s="89" t="s">
        <v>89</v>
      </c>
      <c r="R157" s="145" t="s">
        <v>750</v>
      </c>
      <c r="S157" s="52" t="s">
        <v>615</v>
      </c>
      <c r="T157" s="53"/>
      <c r="U157" s="159" t="s">
        <v>751</v>
      </c>
      <c r="V157" s="158" t="s">
        <v>752</v>
      </c>
      <c r="W157" s="90"/>
      <c r="X157" s="46"/>
      <c r="Y157" s="170"/>
      <c r="Z157" s="170"/>
      <c r="AA157" s="170"/>
      <c r="AB157" s="170"/>
      <c r="AC157" s="173"/>
      <c r="AD157"/>
    </row>
    <row r="158" spans="1:30" ht="17.100000000000001" customHeight="1" thickTop="1">
      <c r="A158" s="176" t="s">
        <v>753</v>
      </c>
      <c r="B158" s="33">
        <v>43383</v>
      </c>
      <c r="C158" s="78" t="s">
        <v>754</v>
      </c>
      <c r="D158" s="35" t="s">
        <v>755</v>
      </c>
      <c r="E158" s="185"/>
      <c r="F158" s="131" t="s">
        <v>756</v>
      </c>
      <c r="G158" s="37" t="s">
        <v>757</v>
      </c>
      <c r="H158" s="180">
        <v>3.5</v>
      </c>
      <c r="I158" s="169">
        <v>357000</v>
      </c>
      <c r="J158" s="169">
        <v>28560</v>
      </c>
      <c r="K158" s="169">
        <v>10000</v>
      </c>
      <c r="L158" s="169">
        <v>10010</v>
      </c>
      <c r="M158" s="169">
        <v>12960</v>
      </c>
      <c r="N158" s="169">
        <f>SUM(I158:M158)</f>
        <v>418530</v>
      </c>
      <c r="O158" s="183">
        <v>200000</v>
      </c>
      <c r="P158" s="129" t="s">
        <v>758</v>
      </c>
      <c r="Q158" s="82" t="s">
        <v>88</v>
      </c>
      <c r="R158" s="83"/>
      <c r="S158" s="84" t="s">
        <v>759</v>
      </c>
      <c r="T158" s="85"/>
      <c r="U158" s="42"/>
      <c r="V158" s="43"/>
      <c r="W158" s="104">
        <v>46004</v>
      </c>
      <c r="X158" s="45">
        <v>1280</v>
      </c>
      <c r="Y158" s="169">
        <v>290000</v>
      </c>
      <c r="Z158" s="171">
        <f>Y158*0.1</f>
        <v>29000</v>
      </c>
      <c r="AA158" s="169">
        <v>10010</v>
      </c>
      <c r="AB158" s="169">
        <f>SUM(Y158:AA158)</f>
        <v>329010</v>
      </c>
      <c r="AC158" s="172">
        <v>46008</v>
      </c>
      <c r="AD158"/>
    </row>
    <row r="159" spans="1:30" ht="17.100000000000001" customHeight="1" thickBot="1">
      <c r="A159" s="177"/>
      <c r="B159" s="46" t="s">
        <v>718</v>
      </c>
      <c r="C159" s="46">
        <v>10364</v>
      </c>
      <c r="D159" s="47" t="s">
        <v>611</v>
      </c>
      <c r="E159" s="186"/>
      <c r="F159" s="70" t="s">
        <v>760</v>
      </c>
      <c r="G159" s="49">
        <v>53283</v>
      </c>
      <c r="H159" s="181"/>
      <c r="I159" s="170"/>
      <c r="J159" s="170"/>
      <c r="K159" s="170"/>
      <c r="L159" s="170"/>
      <c r="M159" s="170"/>
      <c r="N159" s="170"/>
      <c r="O159" s="184"/>
      <c r="P159" s="88" t="s">
        <v>761</v>
      </c>
      <c r="Q159" s="89" t="s">
        <v>89</v>
      </c>
      <c r="R159" s="145" t="s">
        <v>762</v>
      </c>
      <c r="S159" s="52" t="s">
        <v>759</v>
      </c>
      <c r="T159" s="53"/>
      <c r="U159" s="54"/>
      <c r="V159" s="55"/>
      <c r="W159" s="90" t="s">
        <v>90</v>
      </c>
      <c r="X159" s="54">
        <v>65218</v>
      </c>
      <c r="Y159" s="170"/>
      <c r="Z159" s="170"/>
      <c r="AA159" s="170"/>
      <c r="AB159" s="170"/>
      <c r="AC159" s="173"/>
      <c r="AD159"/>
    </row>
    <row r="160" spans="1:30" ht="17.100000000000001" customHeight="1" thickTop="1">
      <c r="A160" s="176" t="s">
        <v>763</v>
      </c>
      <c r="B160" s="33">
        <v>43395</v>
      </c>
      <c r="C160" s="78"/>
      <c r="D160" s="35" t="s">
        <v>412</v>
      </c>
      <c r="E160" s="185"/>
      <c r="F160" s="131" t="s">
        <v>764</v>
      </c>
      <c r="G160" s="37" t="s">
        <v>746</v>
      </c>
      <c r="H160" s="180">
        <v>4.5</v>
      </c>
      <c r="I160" s="169">
        <v>2740000</v>
      </c>
      <c r="J160" s="169">
        <v>219200</v>
      </c>
      <c r="K160" s="169">
        <v>9800</v>
      </c>
      <c r="L160" s="169">
        <v>20370</v>
      </c>
      <c r="M160" s="169">
        <f>118500+9480</f>
        <v>127980</v>
      </c>
      <c r="N160" s="169">
        <f>SUM(I160:M160)</f>
        <v>3117350</v>
      </c>
      <c r="O160" s="183">
        <v>1700000</v>
      </c>
      <c r="P160" s="129" t="s">
        <v>765</v>
      </c>
      <c r="Q160" s="82" t="s">
        <v>88</v>
      </c>
      <c r="R160" s="83"/>
      <c r="S160" s="84" t="s">
        <v>766</v>
      </c>
      <c r="T160" s="85"/>
      <c r="U160" s="42"/>
      <c r="V160" s="43"/>
      <c r="W160" s="104"/>
      <c r="X160" s="45"/>
      <c r="Y160" s="169"/>
      <c r="Z160" s="171">
        <f>Y160*0.1</f>
        <v>0</v>
      </c>
      <c r="AA160" s="169"/>
      <c r="AB160" s="169">
        <f>SUM(Y160:AA160)</f>
        <v>0</v>
      </c>
      <c r="AC160" s="172"/>
      <c r="AD160"/>
    </row>
    <row r="161" spans="1:30" ht="17.100000000000001" customHeight="1" thickBot="1">
      <c r="A161" s="177"/>
      <c r="B161" s="46" t="s">
        <v>767</v>
      </c>
      <c r="C161" s="46" t="s">
        <v>768</v>
      </c>
      <c r="D161" s="47" t="s">
        <v>674</v>
      </c>
      <c r="E161" s="186"/>
      <c r="F161" s="70" t="s">
        <v>769</v>
      </c>
      <c r="G161" s="49">
        <v>9247</v>
      </c>
      <c r="H161" s="181"/>
      <c r="I161" s="170"/>
      <c r="J161" s="170"/>
      <c r="K161" s="170"/>
      <c r="L161" s="170"/>
      <c r="M161" s="170"/>
      <c r="N161" s="170"/>
      <c r="O161" s="184"/>
      <c r="P161" s="88" t="s">
        <v>770</v>
      </c>
      <c r="Q161" s="89" t="s">
        <v>89</v>
      </c>
      <c r="R161" s="145" t="s">
        <v>771</v>
      </c>
      <c r="S161" s="52" t="s">
        <v>772</v>
      </c>
      <c r="T161" s="53"/>
      <c r="U161" s="54"/>
      <c r="V161" s="55"/>
      <c r="W161" s="90"/>
      <c r="X161" s="54"/>
      <c r="Y161" s="170"/>
      <c r="Z161" s="170"/>
      <c r="AA161" s="170"/>
      <c r="AB161" s="170"/>
      <c r="AC161" s="173"/>
      <c r="AD161"/>
    </row>
    <row r="162" spans="1:30" ht="17.100000000000001" customHeight="1" thickTop="1">
      <c r="A162" s="176" t="s">
        <v>773</v>
      </c>
      <c r="B162" s="33">
        <v>43417</v>
      </c>
      <c r="C162" s="78"/>
      <c r="D162" s="35" t="s">
        <v>774</v>
      </c>
      <c r="E162" s="185"/>
      <c r="F162" s="131" t="s">
        <v>775</v>
      </c>
      <c r="G162" s="37" t="s">
        <v>776</v>
      </c>
      <c r="H162" s="180">
        <v>4.5</v>
      </c>
      <c r="I162" s="169">
        <v>2624000</v>
      </c>
      <c r="J162" s="169">
        <v>209920</v>
      </c>
      <c r="K162" s="169">
        <v>22100</v>
      </c>
      <c r="L162" s="169">
        <v>19240</v>
      </c>
      <c r="M162" s="169">
        <f>115600+9248</f>
        <v>124848</v>
      </c>
      <c r="N162" s="169">
        <f>SUM(I162:M162)</f>
        <v>3000108</v>
      </c>
      <c r="O162" s="183">
        <v>1700000</v>
      </c>
      <c r="P162" s="81" t="s">
        <v>777</v>
      </c>
      <c r="Q162" s="82" t="s">
        <v>88</v>
      </c>
      <c r="R162" s="83"/>
      <c r="S162" s="84" t="s">
        <v>778</v>
      </c>
      <c r="T162" s="85"/>
      <c r="U162" s="42"/>
      <c r="V162" s="43"/>
      <c r="W162" s="104"/>
      <c r="X162" s="45"/>
      <c r="Y162" s="169"/>
      <c r="Z162" s="171">
        <f>Y162*0.1</f>
        <v>0</v>
      </c>
      <c r="AA162" s="169"/>
      <c r="AB162" s="169">
        <f>SUM(Y162:AA162)</f>
        <v>0</v>
      </c>
      <c r="AC162" s="172"/>
      <c r="AD162"/>
    </row>
    <row r="163" spans="1:30" ht="17.100000000000001" customHeight="1" thickBot="1">
      <c r="A163" s="177"/>
      <c r="B163" s="46" t="s">
        <v>779</v>
      </c>
      <c r="C163" s="46" t="s">
        <v>780</v>
      </c>
      <c r="D163" s="47" t="s">
        <v>781</v>
      </c>
      <c r="E163" s="186"/>
      <c r="F163" s="70" t="s">
        <v>782</v>
      </c>
      <c r="G163" s="49">
        <v>23841</v>
      </c>
      <c r="H163" s="181"/>
      <c r="I163" s="170"/>
      <c r="J163" s="170"/>
      <c r="K163" s="170"/>
      <c r="L163" s="170"/>
      <c r="M163" s="170"/>
      <c r="N163" s="170"/>
      <c r="O163" s="184"/>
      <c r="P163" s="88" t="s">
        <v>783</v>
      </c>
      <c r="Q163" s="89" t="s">
        <v>89</v>
      </c>
      <c r="R163" s="145" t="s">
        <v>784</v>
      </c>
      <c r="S163" s="52" t="s">
        <v>240</v>
      </c>
      <c r="T163" s="53"/>
      <c r="U163" s="54"/>
      <c r="V163" s="55"/>
      <c r="W163" s="90"/>
      <c r="X163" s="54"/>
      <c r="Y163" s="170"/>
      <c r="Z163" s="170"/>
      <c r="AA163" s="170"/>
      <c r="AB163" s="170"/>
      <c r="AC163" s="173"/>
      <c r="AD163"/>
    </row>
    <row r="164" spans="1:30" ht="17.100000000000001" customHeight="1" thickTop="1">
      <c r="A164" s="176" t="s">
        <v>785</v>
      </c>
      <c r="B164" s="33">
        <v>43418</v>
      </c>
      <c r="C164" s="78" t="s">
        <v>786</v>
      </c>
      <c r="D164" s="35" t="s">
        <v>787</v>
      </c>
      <c r="E164" s="185"/>
      <c r="F164" s="131" t="s">
        <v>788</v>
      </c>
      <c r="G164" s="37" t="s">
        <v>789</v>
      </c>
      <c r="H164" s="180">
        <v>5</v>
      </c>
      <c r="I164" s="169">
        <v>2365000</v>
      </c>
      <c r="J164" s="169">
        <v>189200</v>
      </c>
      <c r="K164" s="169">
        <v>13100</v>
      </c>
      <c r="L164" s="169">
        <v>17700</v>
      </c>
      <c r="M164" s="169">
        <v>15660</v>
      </c>
      <c r="N164" s="169">
        <f>SUM(I164:M164)</f>
        <v>2600660</v>
      </c>
      <c r="O164" s="183">
        <v>1600000</v>
      </c>
      <c r="P164" s="129" t="s">
        <v>790</v>
      </c>
      <c r="Q164" s="82" t="s">
        <v>88</v>
      </c>
      <c r="R164" s="83"/>
      <c r="S164" s="84" t="s">
        <v>791</v>
      </c>
      <c r="T164" s="85"/>
      <c r="U164" s="42"/>
      <c r="V164" s="43"/>
      <c r="W164" s="104"/>
      <c r="X164" s="45"/>
      <c r="Y164" s="169"/>
      <c r="Z164" s="171">
        <f>Y164*0.1</f>
        <v>0</v>
      </c>
      <c r="AA164" s="169"/>
      <c r="AB164" s="169">
        <f>SUM(Y164:AA164)</f>
        <v>0</v>
      </c>
      <c r="AC164" s="172"/>
      <c r="AD164"/>
    </row>
    <row r="165" spans="1:30" ht="17.100000000000001" customHeight="1" thickBot="1">
      <c r="A165" s="177"/>
      <c r="B165" s="46" t="s">
        <v>792</v>
      </c>
      <c r="C165" s="46">
        <v>38080</v>
      </c>
      <c r="D165" s="47" t="s">
        <v>793</v>
      </c>
      <c r="E165" s="186"/>
      <c r="F165" s="70" t="s">
        <v>794</v>
      </c>
      <c r="G165" s="49">
        <v>19950</v>
      </c>
      <c r="H165" s="181"/>
      <c r="I165" s="170"/>
      <c r="J165" s="170"/>
      <c r="K165" s="170"/>
      <c r="L165" s="170"/>
      <c r="M165" s="170"/>
      <c r="N165" s="170"/>
      <c r="O165" s="184"/>
      <c r="P165" s="88" t="s">
        <v>795</v>
      </c>
      <c r="Q165" s="89" t="s">
        <v>89</v>
      </c>
      <c r="R165" s="145" t="s">
        <v>796</v>
      </c>
      <c r="S165" s="52" t="s">
        <v>797</v>
      </c>
      <c r="T165" s="53"/>
      <c r="U165" s="54"/>
      <c r="V165" s="55"/>
      <c r="W165" s="90"/>
      <c r="X165" s="54"/>
      <c r="Y165" s="170"/>
      <c r="Z165" s="170"/>
      <c r="AA165" s="170"/>
      <c r="AB165" s="170"/>
      <c r="AC165" s="173"/>
      <c r="AD165"/>
    </row>
    <row r="166" spans="1:30" ht="17.100000000000001" customHeight="1" thickTop="1">
      <c r="A166" s="176" t="s">
        <v>798</v>
      </c>
      <c r="B166" s="33">
        <v>43423</v>
      </c>
      <c r="C166" s="78" t="s">
        <v>799</v>
      </c>
      <c r="D166" s="35" t="s">
        <v>800</v>
      </c>
      <c r="E166" s="185"/>
      <c r="F166" s="131" t="s">
        <v>801</v>
      </c>
      <c r="G166" s="37"/>
      <c r="H166" s="180" t="s">
        <v>802</v>
      </c>
      <c r="I166" s="169">
        <v>13000</v>
      </c>
      <c r="J166" s="169">
        <v>1040</v>
      </c>
      <c r="K166" s="169">
        <v>0</v>
      </c>
      <c r="L166" s="169">
        <v>9380</v>
      </c>
      <c r="M166" s="169">
        <v>8640</v>
      </c>
      <c r="N166" s="169">
        <f>SUM(I166:M166)</f>
        <v>32060</v>
      </c>
      <c r="O166" s="183"/>
      <c r="P166" s="129" t="s">
        <v>803</v>
      </c>
      <c r="Q166" s="82" t="s">
        <v>88</v>
      </c>
      <c r="R166" s="83"/>
      <c r="S166" s="84"/>
      <c r="T166" s="85"/>
      <c r="U166" s="42"/>
      <c r="V166" s="43"/>
      <c r="W166" s="104"/>
      <c r="X166" s="45"/>
      <c r="Y166" s="169"/>
      <c r="Z166" s="171">
        <f>Y166*0.1</f>
        <v>0</v>
      </c>
      <c r="AA166" s="169"/>
      <c r="AB166" s="169">
        <f>SUM(Y166:AA166)</f>
        <v>0</v>
      </c>
      <c r="AC166" s="172"/>
      <c r="AD166"/>
    </row>
    <row r="167" spans="1:30" ht="17.100000000000001" customHeight="1" thickBot="1">
      <c r="A167" s="177"/>
      <c r="B167" s="46" t="s">
        <v>804</v>
      </c>
      <c r="C167" s="46">
        <v>10509</v>
      </c>
      <c r="D167" s="47" t="s">
        <v>362</v>
      </c>
      <c r="E167" s="186"/>
      <c r="F167" s="70" t="s">
        <v>805</v>
      </c>
      <c r="G167" s="49">
        <v>56043</v>
      </c>
      <c r="H167" s="181"/>
      <c r="I167" s="170"/>
      <c r="J167" s="170"/>
      <c r="K167" s="170"/>
      <c r="L167" s="170"/>
      <c r="M167" s="170"/>
      <c r="N167" s="170"/>
      <c r="O167" s="184"/>
      <c r="P167" s="88" t="s">
        <v>806</v>
      </c>
      <c r="Q167" s="89" t="s">
        <v>89</v>
      </c>
      <c r="R167" s="145" t="s">
        <v>807</v>
      </c>
      <c r="S167" s="52"/>
      <c r="T167" s="53"/>
      <c r="U167" s="54"/>
      <c r="V167" s="55"/>
      <c r="W167" s="90"/>
      <c r="X167" s="54"/>
      <c r="Y167" s="170"/>
      <c r="Z167" s="170"/>
      <c r="AA167" s="170"/>
      <c r="AB167" s="170"/>
      <c r="AC167" s="173"/>
      <c r="AD167"/>
    </row>
    <row r="168" spans="1:30" ht="17.100000000000001" customHeight="1" thickTop="1">
      <c r="A168" s="176" t="s">
        <v>808</v>
      </c>
      <c r="B168" s="33">
        <v>43445</v>
      </c>
      <c r="C168" s="78" t="s">
        <v>809</v>
      </c>
      <c r="D168" s="35" t="s">
        <v>810</v>
      </c>
      <c r="E168" s="185"/>
      <c r="F168" s="131" t="s">
        <v>811</v>
      </c>
      <c r="G168" s="37" t="s">
        <v>812</v>
      </c>
      <c r="H168" s="180">
        <v>4</v>
      </c>
      <c r="I168" s="169">
        <v>2290000</v>
      </c>
      <c r="J168" s="169">
        <v>183200</v>
      </c>
      <c r="K168" s="169">
        <v>0</v>
      </c>
      <c r="L168" s="169">
        <v>19100</v>
      </c>
      <c r="M168" s="169">
        <v>12960</v>
      </c>
      <c r="N168" s="169">
        <f>SUM(I168:M168)</f>
        <v>2505260</v>
      </c>
      <c r="O168" s="183">
        <v>1300000</v>
      </c>
      <c r="P168" s="129" t="s">
        <v>813</v>
      </c>
      <c r="Q168" s="82" t="s">
        <v>88</v>
      </c>
      <c r="R168" s="83"/>
      <c r="S168" s="84" t="s">
        <v>814</v>
      </c>
      <c r="T168" s="85"/>
      <c r="U168" s="42" t="s">
        <v>815</v>
      </c>
      <c r="V168" s="43"/>
      <c r="W168" s="104"/>
      <c r="X168" s="45"/>
      <c r="Y168" s="169"/>
      <c r="Z168" s="171">
        <f>Y168*0.1</f>
        <v>0</v>
      </c>
      <c r="AA168" s="169"/>
      <c r="AB168" s="169">
        <f>SUM(Y168:AA168)</f>
        <v>0</v>
      </c>
      <c r="AC168" s="172"/>
      <c r="AD168"/>
    </row>
    <row r="169" spans="1:30" ht="17.100000000000001" customHeight="1" thickBot="1">
      <c r="A169" s="177"/>
      <c r="B169" s="46" t="s">
        <v>211</v>
      </c>
      <c r="C169" s="46">
        <v>84117</v>
      </c>
      <c r="D169" s="47" t="s">
        <v>568</v>
      </c>
      <c r="E169" s="186"/>
      <c r="F169" s="70" t="s">
        <v>816</v>
      </c>
      <c r="G169" s="49">
        <v>32480</v>
      </c>
      <c r="H169" s="181"/>
      <c r="I169" s="170"/>
      <c r="J169" s="170"/>
      <c r="K169" s="170"/>
      <c r="L169" s="170"/>
      <c r="M169" s="170"/>
      <c r="N169" s="170"/>
      <c r="O169" s="184"/>
      <c r="P169" s="88" t="s">
        <v>817</v>
      </c>
      <c r="Q169" s="89" t="s">
        <v>89</v>
      </c>
      <c r="R169" s="145" t="s">
        <v>818</v>
      </c>
      <c r="S169" s="52" t="s">
        <v>615</v>
      </c>
      <c r="T169" s="53"/>
      <c r="U169" s="54"/>
      <c r="V169" s="55" t="s">
        <v>120</v>
      </c>
      <c r="W169" s="90"/>
      <c r="X169" s="54"/>
      <c r="Y169" s="170"/>
      <c r="Z169" s="170"/>
      <c r="AA169" s="170"/>
      <c r="AB169" s="170"/>
      <c r="AC169" s="173"/>
      <c r="AD169"/>
    </row>
    <row r="170" spans="1:30" ht="17.100000000000001" customHeight="1" thickTop="1">
      <c r="A170" s="176" t="s">
        <v>819</v>
      </c>
      <c r="B170" s="33">
        <v>43472</v>
      </c>
      <c r="C170" s="78" t="s">
        <v>820</v>
      </c>
      <c r="D170" s="35" t="s">
        <v>821</v>
      </c>
      <c r="E170" s="185"/>
      <c r="F170" s="131" t="s">
        <v>822</v>
      </c>
      <c r="G170" s="37"/>
      <c r="H170" s="180">
        <v>4</v>
      </c>
      <c r="I170" s="169">
        <v>461000</v>
      </c>
      <c r="J170" s="169">
        <v>36880</v>
      </c>
      <c r="K170" s="169">
        <v>0</v>
      </c>
      <c r="L170" s="169">
        <v>19820</v>
      </c>
      <c r="M170" s="169">
        <v>10800</v>
      </c>
      <c r="N170" s="169">
        <f>SUM(I170:M170)</f>
        <v>528500</v>
      </c>
      <c r="O170" s="183">
        <v>200000</v>
      </c>
      <c r="P170" s="129" t="s">
        <v>823</v>
      </c>
      <c r="Q170" s="82" t="s">
        <v>88</v>
      </c>
      <c r="R170" s="83"/>
      <c r="S170" s="84" t="s">
        <v>824</v>
      </c>
      <c r="T170" s="85"/>
      <c r="U170" s="42"/>
      <c r="V170" s="43"/>
      <c r="W170" s="104"/>
      <c r="X170" s="45"/>
      <c r="Y170" s="169"/>
      <c r="Z170" s="171">
        <f>Y170*0.1</f>
        <v>0</v>
      </c>
      <c r="AA170" s="169"/>
      <c r="AB170" s="169">
        <f>SUM(Y170:AA170)</f>
        <v>0</v>
      </c>
      <c r="AC170" s="172"/>
      <c r="AD170"/>
    </row>
    <row r="171" spans="1:30" ht="17.100000000000001" customHeight="1" thickBot="1">
      <c r="A171" s="177"/>
      <c r="B171" s="46" t="s">
        <v>804</v>
      </c>
      <c r="C171" s="46">
        <v>37022</v>
      </c>
      <c r="D171" s="47" t="s">
        <v>568</v>
      </c>
      <c r="E171" s="186"/>
      <c r="F171" s="70" t="s">
        <v>825</v>
      </c>
      <c r="G171" s="49">
        <v>28287</v>
      </c>
      <c r="H171" s="181"/>
      <c r="I171" s="170"/>
      <c r="J171" s="170"/>
      <c r="K171" s="170"/>
      <c r="L171" s="170"/>
      <c r="M171" s="170"/>
      <c r="N171" s="170"/>
      <c r="O171" s="184"/>
      <c r="P171" s="88" t="s">
        <v>826</v>
      </c>
      <c r="Q171" s="89" t="s">
        <v>89</v>
      </c>
      <c r="R171" s="145" t="s">
        <v>827</v>
      </c>
      <c r="S171" s="52" t="s">
        <v>722</v>
      </c>
      <c r="T171" s="53"/>
      <c r="U171" s="54"/>
      <c r="V171" s="55"/>
      <c r="W171" s="90"/>
      <c r="X171" s="54"/>
      <c r="Y171" s="170"/>
      <c r="Z171" s="170"/>
      <c r="AA171" s="170"/>
      <c r="AB171" s="170"/>
      <c r="AC171" s="173"/>
      <c r="AD171"/>
    </row>
    <row r="172" spans="1:30" ht="17.100000000000001" customHeight="1" thickTop="1">
      <c r="A172" s="176" t="s">
        <v>828</v>
      </c>
      <c r="B172" s="33">
        <v>43481</v>
      </c>
      <c r="C172" s="78" t="s">
        <v>829</v>
      </c>
      <c r="D172" s="35" t="s">
        <v>276</v>
      </c>
      <c r="E172" s="185"/>
      <c r="F172" s="131" t="s">
        <v>830</v>
      </c>
      <c r="G172" s="37" t="s">
        <v>831</v>
      </c>
      <c r="H172" s="180">
        <v>3.5</v>
      </c>
      <c r="I172" s="169">
        <v>477000</v>
      </c>
      <c r="J172" s="169">
        <v>38160</v>
      </c>
      <c r="K172" s="169">
        <v>15000</v>
      </c>
      <c r="L172" s="169">
        <v>9190</v>
      </c>
      <c r="M172" s="169">
        <v>15660</v>
      </c>
      <c r="N172" s="169">
        <f>SUM(I172:M172)</f>
        <v>555010</v>
      </c>
      <c r="O172" s="183">
        <v>280000</v>
      </c>
      <c r="P172" s="129" t="s">
        <v>832</v>
      </c>
      <c r="Q172" s="82" t="s">
        <v>88</v>
      </c>
      <c r="R172" s="83"/>
      <c r="S172" s="84"/>
      <c r="T172" s="85"/>
      <c r="U172" s="42"/>
      <c r="V172" s="43"/>
      <c r="W172" s="104"/>
      <c r="X172" s="45"/>
      <c r="Y172" s="169"/>
      <c r="Z172" s="171">
        <f>Y172*0.1</f>
        <v>0</v>
      </c>
      <c r="AA172" s="169"/>
      <c r="AB172" s="169">
        <f>SUM(Y172:AA172)</f>
        <v>0</v>
      </c>
      <c r="AC172" s="172"/>
      <c r="AD172"/>
    </row>
    <row r="173" spans="1:30" ht="17.100000000000001" customHeight="1" thickBot="1">
      <c r="A173" s="177"/>
      <c r="B173" s="46" t="s">
        <v>792</v>
      </c>
      <c r="C173" s="46">
        <v>9081</v>
      </c>
      <c r="D173" s="47" t="s">
        <v>568</v>
      </c>
      <c r="E173" s="186"/>
      <c r="F173" s="70" t="s">
        <v>833</v>
      </c>
      <c r="G173" s="49">
        <v>50691</v>
      </c>
      <c r="H173" s="181"/>
      <c r="I173" s="170"/>
      <c r="J173" s="170"/>
      <c r="K173" s="170"/>
      <c r="L173" s="170"/>
      <c r="M173" s="170"/>
      <c r="N173" s="170"/>
      <c r="O173" s="184"/>
      <c r="P173" s="88" t="s">
        <v>834</v>
      </c>
      <c r="Q173" s="89" t="s">
        <v>89</v>
      </c>
      <c r="R173" s="145" t="s">
        <v>835</v>
      </c>
      <c r="S173" s="52" t="s">
        <v>836</v>
      </c>
      <c r="T173" s="53"/>
      <c r="U173" s="54"/>
      <c r="V173" s="55"/>
      <c r="W173" s="90"/>
      <c r="X173" s="54"/>
      <c r="Y173" s="170"/>
      <c r="Z173" s="170"/>
      <c r="AA173" s="170"/>
      <c r="AB173" s="170"/>
      <c r="AC173" s="173"/>
      <c r="AD173"/>
    </row>
    <row r="174" spans="1:30" ht="17.100000000000001" customHeight="1" thickTop="1">
      <c r="A174" s="176" t="s">
        <v>837</v>
      </c>
      <c r="B174" s="33">
        <v>43486</v>
      </c>
      <c r="C174" s="78" t="s">
        <v>838</v>
      </c>
      <c r="D174" s="35" t="s">
        <v>317</v>
      </c>
      <c r="E174" s="185"/>
      <c r="F174" s="131" t="s">
        <v>839</v>
      </c>
      <c r="G174" s="37"/>
      <c r="H174" s="180">
        <v>4</v>
      </c>
      <c r="I174" s="169">
        <v>22000</v>
      </c>
      <c r="J174" s="169">
        <v>1760</v>
      </c>
      <c r="K174" s="169">
        <v>0</v>
      </c>
      <c r="L174" s="169">
        <v>16090</v>
      </c>
      <c r="M174" s="169">
        <v>10800</v>
      </c>
      <c r="N174" s="169">
        <f>SUM(I174:M174)</f>
        <v>50650</v>
      </c>
      <c r="O174" s="183"/>
      <c r="P174" s="129" t="s">
        <v>840</v>
      </c>
      <c r="Q174" s="82" t="s">
        <v>88</v>
      </c>
      <c r="R174" s="83"/>
      <c r="S174" s="84"/>
      <c r="T174" s="85"/>
      <c r="U174" s="42" t="s">
        <v>841</v>
      </c>
      <c r="V174" s="43"/>
      <c r="W174" s="104"/>
      <c r="X174" s="45"/>
      <c r="Y174" s="169"/>
      <c r="Z174" s="171">
        <f>Y174*0.1</f>
        <v>0</v>
      </c>
      <c r="AA174" s="169"/>
      <c r="AB174" s="169">
        <f>SUM(Y174:AA174)</f>
        <v>0</v>
      </c>
      <c r="AC174" s="172"/>
      <c r="AD174"/>
    </row>
    <row r="175" spans="1:30" ht="17.100000000000001" customHeight="1" thickBot="1">
      <c r="A175" s="177"/>
      <c r="B175" s="46" t="s">
        <v>804</v>
      </c>
      <c r="C175" s="46">
        <v>10510</v>
      </c>
      <c r="D175" s="47" t="s">
        <v>405</v>
      </c>
      <c r="E175" s="186"/>
      <c r="F175" s="70" t="s">
        <v>842</v>
      </c>
      <c r="G175" s="49">
        <v>105606</v>
      </c>
      <c r="H175" s="181"/>
      <c r="I175" s="170"/>
      <c r="J175" s="170"/>
      <c r="K175" s="170"/>
      <c r="L175" s="170"/>
      <c r="M175" s="170"/>
      <c r="N175" s="170"/>
      <c r="O175" s="184"/>
      <c r="P175" s="88" t="s">
        <v>843</v>
      </c>
      <c r="Q175" s="89" t="s">
        <v>89</v>
      </c>
      <c r="R175" s="145" t="s">
        <v>844</v>
      </c>
      <c r="S175" s="52" t="s">
        <v>151</v>
      </c>
      <c r="T175" s="53"/>
      <c r="U175" s="54"/>
      <c r="V175" s="55"/>
      <c r="W175" s="90"/>
      <c r="X175" s="54"/>
      <c r="Y175" s="170"/>
      <c r="Z175" s="170"/>
      <c r="AA175" s="170"/>
      <c r="AB175" s="170"/>
      <c r="AC175" s="173"/>
      <c r="AD175"/>
    </row>
    <row r="176" spans="1:30" ht="17.100000000000001" customHeight="1" thickTop="1">
      <c r="A176" s="176" t="s">
        <v>845</v>
      </c>
      <c r="B176" s="33">
        <v>43488</v>
      </c>
      <c r="C176" s="78" t="s">
        <v>846</v>
      </c>
      <c r="D176" s="35" t="s">
        <v>847</v>
      </c>
      <c r="E176" s="185"/>
      <c r="F176" s="131" t="s">
        <v>848</v>
      </c>
      <c r="G176" s="37" t="s">
        <v>849</v>
      </c>
      <c r="H176" s="180">
        <v>3.5</v>
      </c>
      <c r="I176" s="169">
        <v>362000</v>
      </c>
      <c r="J176" s="169">
        <v>28960</v>
      </c>
      <c r="K176" s="169">
        <v>15000</v>
      </c>
      <c r="L176" s="169">
        <v>8930</v>
      </c>
      <c r="M176" s="169">
        <v>15660</v>
      </c>
      <c r="N176" s="169">
        <f>SUM(I176:M176)</f>
        <v>430550</v>
      </c>
      <c r="O176" s="183">
        <v>100000</v>
      </c>
      <c r="P176" s="129" t="s">
        <v>850</v>
      </c>
      <c r="Q176" s="82" t="s">
        <v>88</v>
      </c>
      <c r="R176" s="83"/>
      <c r="S176" s="84" t="s">
        <v>717</v>
      </c>
      <c r="T176" s="85"/>
      <c r="U176" s="42" t="s">
        <v>851</v>
      </c>
      <c r="V176" s="43"/>
      <c r="W176" s="104"/>
      <c r="X176" s="45"/>
      <c r="Y176" s="169"/>
      <c r="Z176" s="171">
        <f>Y176*0.1</f>
        <v>0</v>
      </c>
      <c r="AA176" s="169"/>
      <c r="AB176" s="169">
        <f>SUM(Y176:AA176)</f>
        <v>0</v>
      </c>
      <c r="AC176" s="172"/>
      <c r="AD176"/>
    </row>
    <row r="177" spans="1:30" ht="17.100000000000001" customHeight="1" thickBot="1">
      <c r="A177" s="177"/>
      <c r="B177" s="46" t="s">
        <v>792</v>
      </c>
      <c r="C177" s="46">
        <v>9185</v>
      </c>
      <c r="D177" s="47" t="s">
        <v>362</v>
      </c>
      <c r="E177" s="186"/>
      <c r="F177" s="70" t="s">
        <v>852</v>
      </c>
      <c r="G177" s="49">
        <v>54030</v>
      </c>
      <c r="H177" s="181"/>
      <c r="I177" s="170"/>
      <c r="J177" s="170"/>
      <c r="K177" s="170"/>
      <c r="L177" s="170"/>
      <c r="M177" s="170"/>
      <c r="N177" s="170"/>
      <c r="O177" s="184"/>
      <c r="P177" s="88" t="s">
        <v>853</v>
      </c>
      <c r="Q177" s="89" t="s">
        <v>89</v>
      </c>
      <c r="R177" s="145" t="s">
        <v>854</v>
      </c>
      <c r="S177" s="52" t="s">
        <v>240</v>
      </c>
      <c r="T177" s="53"/>
      <c r="U177" s="54"/>
      <c r="V177" s="55"/>
      <c r="W177" s="90"/>
      <c r="X177" s="54"/>
      <c r="Y177" s="170"/>
      <c r="Z177" s="170"/>
      <c r="AA177" s="170"/>
      <c r="AB177" s="170"/>
      <c r="AC177" s="173"/>
      <c r="AD177"/>
    </row>
    <row r="178" spans="1:30" ht="17.100000000000001" customHeight="1" thickTop="1">
      <c r="A178" s="176" t="s">
        <v>855</v>
      </c>
      <c r="B178" s="33">
        <v>43495</v>
      </c>
      <c r="C178" s="78" t="s">
        <v>856</v>
      </c>
      <c r="D178" s="35" t="s">
        <v>358</v>
      </c>
      <c r="E178" s="185"/>
      <c r="F178" s="131" t="s">
        <v>857</v>
      </c>
      <c r="G178" s="37" t="s">
        <v>858</v>
      </c>
      <c r="H178" s="180">
        <v>3.5</v>
      </c>
      <c r="I178" s="169">
        <v>226000</v>
      </c>
      <c r="J178" s="169">
        <v>18080</v>
      </c>
      <c r="K178" s="169">
        <v>10000</v>
      </c>
      <c r="L178" s="169">
        <v>9880</v>
      </c>
      <c r="M178" s="169">
        <v>12960</v>
      </c>
      <c r="N178" s="169">
        <f>SUM(I178:M178)</f>
        <v>276920</v>
      </c>
      <c r="O178" s="183">
        <v>70000</v>
      </c>
      <c r="P178" s="129" t="s">
        <v>859</v>
      </c>
      <c r="Q178" s="82" t="s">
        <v>88</v>
      </c>
      <c r="R178" s="83"/>
      <c r="S178" s="84"/>
      <c r="T178" s="85"/>
      <c r="U178" s="42"/>
      <c r="V178" s="43"/>
      <c r="W178" s="104"/>
      <c r="X178" s="45"/>
      <c r="Y178" s="169"/>
      <c r="Z178" s="171">
        <f>Y178*0.1</f>
        <v>0</v>
      </c>
      <c r="AA178" s="169"/>
      <c r="AB178" s="169">
        <f>SUM(Y178:AA178)</f>
        <v>0</v>
      </c>
      <c r="AC178" s="172"/>
      <c r="AD178"/>
    </row>
    <row r="179" spans="1:30" ht="17.100000000000001" customHeight="1" thickBot="1">
      <c r="A179" s="177"/>
      <c r="B179" s="46" t="s">
        <v>718</v>
      </c>
      <c r="C179" s="46">
        <v>10159</v>
      </c>
      <c r="D179" s="47" t="s">
        <v>45</v>
      </c>
      <c r="E179" s="186"/>
      <c r="F179" s="70" t="s">
        <v>860</v>
      </c>
      <c r="G179" s="49">
        <v>41155</v>
      </c>
      <c r="H179" s="181"/>
      <c r="I179" s="170"/>
      <c r="J179" s="170"/>
      <c r="K179" s="170"/>
      <c r="L179" s="170"/>
      <c r="M179" s="170"/>
      <c r="N179" s="170"/>
      <c r="O179" s="184"/>
      <c r="P179" s="88" t="s">
        <v>861</v>
      </c>
      <c r="Q179" s="89" t="s">
        <v>89</v>
      </c>
      <c r="R179" s="145" t="s">
        <v>862</v>
      </c>
      <c r="S179" s="52" t="s">
        <v>863</v>
      </c>
      <c r="T179" s="53"/>
      <c r="U179" s="54"/>
      <c r="V179" s="55"/>
      <c r="W179" s="90"/>
      <c r="X179" s="54"/>
      <c r="Y179" s="170"/>
      <c r="Z179" s="170"/>
      <c r="AA179" s="170"/>
      <c r="AB179" s="170"/>
      <c r="AC179" s="173"/>
      <c r="AD179"/>
    </row>
    <row r="180" spans="1:30" ht="17.100000000000001" customHeight="1" thickTop="1">
      <c r="A180" s="176" t="s">
        <v>864</v>
      </c>
      <c r="B180" s="33">
        <v>43495</v>
      </c>
      <c r="C180" s="78" t="s">
        <v>856</v>
      </c>
      <c r="D180" s="35" t="s">
        <v>865</v>
      </c>
      <c r="E180" s="185"/>
      <c r="F180" s="131" t="s">
        <v>866</v>
      </c>
      <c r="G180" s="37" t="s">
        <v>867</v>
      </c>
      <c r="H180" s="180">
        <v>4</v>
      </c>
      <c r="I180" s="169">
        <v>452000</v>
      </c>
      <c r="J180" s="169">
        <v>36160</v>
      </c>
      <c r="K180" s="169">
        <v>10000</v>
      </c>
      <c r="L180" s="169">
        <v>9200</v>
      </c>
      <c r="M180" s="169">
        <v>12960</v>
      </c>
      <c r="N180" s="169">
        <f>SUM(I180:M180)</f>
        <v>520320</v>
      </c>
      <c r="O180" s="183">
        <v>300000</v>
      </c>
      <c r="P180" s="129" t="s">
        <v>868</v>
      </c>
      <c r="Q180" s="82" t="s">
        <v>88</v>
      </c>
      <c r="R180" s="83"/>
      <c r="S180" s="84" t="s">
        <v>869</v>
      </c>
      <c r="T180" s="85"/>
      <c r="U180" s="42"/>
      <c r="V180" s="43"/>
      <c r="W180" s="104"/>
      <c r="X180" s="45"/>
      <c r="Y180" s="169"/>
      <c r="Z180" s="171">
        <f>Y180*0.1</f>
        <v>0</v>
      </c>
      <c r="AA180" s="169"/>
      <c r="AB180" s="169">
        <f>SUM(Y180:AA180)</f>
        <v>0</v>
      </c>
      <c r="AC180" s="172"/>
      <c r="AD180"/>
    </row>
    <row r="181" spans="1:30" ht="17.100000000000001" customHeight="1" thickBot="1">
      <c r="A181" s="177"/>
      <c r="B181" s="46" t="s">
        <v>718</v>
      </c>
      <c r="C181" s="46">
        <v>10467</v>
      </c>
      <c r="D181" s="47" t="s">
        <v>870</v>
      </c>
      <c r="E181" s="186"/>
      <c r="F181" s="70" t="s">
        <v>871</v>
      </c>
      <c r="G181" s="49">
        <v>52695</v>
      </c>
      <c r="H181" s="181"/>
      <c r="I181" s="170"/>
      <c r="J181" s="170"/>
      <c r="K181" s="170"/>
      <c r="L181" s="170"/>
      <c r="M181" s="170"/>
      <c r="N181" s="170"/>
      <c r="O181" s="184"/>
      <c r="P181" s="88" t="s">
        <v>872</v>
      </c>
      <c r="Q181" s="89" t="s">
        <v>89</v>
      </c>
      <c r="R181" s="145" t="s">
        <v>873</v>
      </c>
      <c r="S181" s="52" t="s">
        <v>874</v>
      </c>
      <c r="T181" s="53"/>
      <c r="U181" s="54"/>
      <c r="V181" s="55"/>
      <c r="W181" s="90"/>
      <c r="X181" s="54"/>
      <c r="Y181" s="170"/>
      <c r="Z181" s="170"/>
      <c r="AA181" s="170"/>
      <c r="AB181" s="170"/>
      <c r="AC181" s="173"/>
      <c r="AD181"/>
    </row>
    <row r="182" spans="1:30" ht="17.100000000000001" customHeight="1" thickTop="1">
      <c r="A182" s="176" t="s">
        <v>875</v>
      </c>
      <c r="B182" s="33">
        <v>43509</v>
      </c>
      <c r="C182" s="78" t="s">
        <v>876</v>
      </c>
      <c r="D182" s="35" t="s">
        <v>877</v>
      </c>
      <c r="E182" s="185"/>
      <c r="F182" s="131" t="s">
        <v>878</v>
      </c>
      <c r="G182" s="37"/>
      <c r="H182" s="180">
        <v>3.5</v>
      </c>
      <c r="I182" s="169">
        <v>326000</v>
      </c>
      <c r="J182" s="169">
        <v>26080</v>
      </c>
      <c r="K182" s="169">
        <v>0</v>
      </c>
      <c r="L182" s="169">
        <v>9790</v>
      </c>
      <c r="M182" s="169">
        <v>12960</v>
      </c>
      <c r="N182" s="169">
        <f>SUM(I182:M182)</f>
        <v>374830</v>
      </c>
      <c r="O182" s="183">
        <v>140000</v>
      </c>
      <c r="P182" s="160" t="s">
        <v>879</v>
      </c>
      <c r="Q182" s="82" t="s">
        <v>88</v>
      </c>
      <c r="R182" s="83"/>
      <c r="S182" s="84"/>
      <c r="T182" s="85"/>
      <c r="U182" s="42"/>
      <c r="V182" s="43"/>
      <c r="W182" s="44"/>
      <c r="X182" s="45"/>
      <c r="Y182" s="169"/>
      <c r="Z182" s="171">
        <f>Y182*0.1</f>
        <v>0</v>
      </c>
      <c r="AA182" s="169"/>
      <c r="AB182" s="169">
        <f>SUM(Y182:AA182)</f>
        <v>0</v>
      </c>
      <c r="AC182" s="172"/>
      <c r="AD182"/>
    </row>
    <row r="183" spans="1:30" ht="17.100000000000001" customHeight="1" thickBot="1">
      <c r="A183" s="177"/>
      <c r="B183" s="46" t="s">
        <v>718</v>
      </c>
      <c r="C183" s="46">
        <v>10013</v>
      </c>
      <c r="D183" s="47" t="s">
        <v>568</v>
      </c>
      <c r="E183" s="186"/>
      <c r="F183" s="70" t="s">
        <v>880</v>
      </c>
      <c r="G183" s="49">
        <v>58890</v>
      </c>
      <c r="H183" s="181"/>
      <c r="I183" s="170"/>
      <c r="J183" s="170"/>
      <c r="K183" s="170"/>
      <c r="L183" s="170"/>
      <c r="M183" s="170"/>
      <c r="N183" s="170"/>
      <c r="O183" s="184"/>
      <c r="P183" s="71" t="s">
        <v>881</v>
      </c>
      <c r="Q183" s="89" t="s">
        <v>89</v>
      </c>
      <c r="R183" s="145" t="s">
        <v>882</v>
      </c>
      <c r="S183" s="52" t="s">
        <v>883</v>
      </c>
      <c r="T183" s="53"/>
      <c r="U183" s="54"/>
      <c r="V183" s="55"/>
      <c r="W183" s="56"/>
      <c r="X183" s="54"/>
      <c r="Y183" s="170"/>
      <c r="Z183" s="170"/>
      <c r="AA183" s="170"/>
      <c r="AB183" s="170"/>
      <c r="AC183" s="173"/>
      <c r="AD183"/>
    </row>
    <row r="184" spans="1:30" ht="17.100000000000001" customHeight="1" thickTop="1">
      <c r="A184" s="176" t="s">
        <v>884</v>
      </c>
      <c r="B184" s="33">
        <v>43533</v>
      </c>
      <c r="C184" s="78" t="s">
        <v>885</v>
      </c>
      <c r="D184" s="35" t="s">
        <v>886</v>
      </c>
      <c r="E184" s="185"/>
      <c r="F184" s="131" t="s">
        <v>887</v>
      </c>
      <c r="G184" s="37" t="s">
        <v>888</v>
      </c>
      <c r="H184" s="180">
        <v>4.5</v>
      </c>
      <c r="I184" s="169">
        <v>1995000</v>
      </c>
      <c r="J184" s="169">
        <v>159600</v>
      </c>
      <c r="K184" s="169">
        <v>39500</v>
      </c>
      <c r="L184" s="169">
        <v>19100</v>
      </c>
      <c r="M184" s="169">
        <v>12960</v>
      </c>
      <c r="N184" s="169">
        <f>SUM(I184:M184)</f>
        <v>2226160</v>
      </c>
      <c r="O184" s="183">
        <v>1400000</v>
      </c>
      <c r="P184" s="160" t="s">
        <v>889</v>
      </c>
      <c r="Q184" s="82" t="s">
        <v>88</v>
      </c>
      <c r="R184" s="83"/>
      <c r="S184" s="84" t="s">
        <v>890</v>
      </c>
      <c r="T184" s="85"/>
      <c r="U184" s="42" t="s">
        <v>891</v>
      </c>
      <c r="V184" s="43"/>
      <c r="W184" s="44"/>
      <c r="X184" s="45"/>
      <c r="Y184" s="169"/>
      <c r="Z184" s="171">
        <f>Y184*0.1</f>
        <v>0</v>
      </c>
      <c r="AA184" s="169"/>
      <c r="AB184" s="169">
        <f>SUM(Y184:AA184)</f>
        <v>0</v>
      </c>
      <c r="AC184" s="172"/>
      <c r="AD184"/>
    </row>
    <row r="185" spans="1:30" ht="17.100000000000001" customHeight="1" thickBot="1">
      <c r="A185" s="177"/>
      <c r="B185" s="46" t="s">
        <v>892</v>
      </c>
      <c r="C185" s="46">
        <v>59210</v>
      </c>
      <c r="D185" s="47" t="s">
        <v>312</v>
      </c>
      <c r="E185" s="186"/>
      <c r="F185" s="70" t="s">
        <v>893</v>
      </c>
      <c r="G185" s="49">
        <v>35405</v>
      </c>
      <c r="H185" s="181"/>
      <c r="I185" s="170"/>
      <c r="J185" s="170"/>
      <c r="K185" s="170"/>
      <c r="L185" s="170"/>
      <c r="M185" s="170"/>
      <c r="N185" s="170"/>
      <c r="O185" s="184"/>
      <c r="P185" s="71" t="s">
        <v>894</v>
      </c>
      <c r="Q185" s="89" t="s">
        <v>89</v>
      </c>
      <c r="R185" s="145" t="s">
        <v>895</v>
      </c>
      <c r="S185" s="52" t="s">
        <v>896</v>
      </c>
      <c r="T185" s="53"/>
      <c r="U185" s="54"/>
      <c r="V185" s="55" t="s">
        <v>120</v>
      </c>
      <c r="W185" s="56"/>
      <c r="X185" s="54"/>
      <c r="Y185" s="170"/>
      <c r="Z185" s="170"/>
      <c r="AA185" s="170"/>
      <c r="AB185" s="170"/>
      <c r="AC185" s="173"/>
      <c r="AD185"/>
    </row>
    <row r="186" spans="1:30" ht="17.100000000000001" customHeight="1" thickTop="1">
      <c r="A186" s="176" t="s">
        <v>897</v>
      </c>
      <c r="B186" s="33">
        <v>43591</v>
      </c>
      <c r="C186" s="78" t="s">
        <v>898</v>
      </c>
      <c r="D186" s="35" t="s">
        <v>360</v>
      </c>
      <c r="E186" s="185"/>
      <c r="F186" s="131" t="s">
        <v>899</v>
      </c>
      <c r="G186" s="37" t="s">
        <v>900</v>
      </c>
      <c r="H186" s="180">
        <v>4</v>
      </c>
      <c r="I186" s="169">
        <v>1820000</v>
      </c>
      <c r="J186" s="169">
        <v>145600</v>
      </c>
      <c r="K186" s="169">
        <v>32900</v>
      </c>
      <c r="L186" s="169">
        <v>22120</v>
      </c>
      <c r="M186" s="169">
        <v>10800</v>
      </c>
      <c r="N186" s="169">
        <f>SUM(I186:M186)</f>
        <v>2031420</v>
      </c>
      <c r="O186" s="183">
        <v>1100000</v>
      </c>
      <c r="P186" s="160" t="s">
        <v>901</v>
      </c>
      <c r="Q186" s="82" t="s">
        <v>88</v>
      </c>
      <c r="R186" s="83"/>
      <c r="S186" s="84" t="s">
        <v>902</v>
      </c>
      <c r="T186" s="85"/>
      <c r="U186" s="42"/>
      <c r="V186" s="43"/>
      <c r="W186" s="44"/>
      <c r="X186" s="45"/>
      <c r="Y186" s="169"/>
      <c r="Z186" s="171">
        <f>Y186*0.1</f>
        <v>0</v>
      </c>
      <c r="AA186" s="169"/>
      <c r="AB186" s="169">
        <f>SUM(Y186:AA186)</f>
        <v>0</v>
      </c>
      <c r="AC186" s="172"/>
      <c r="AD186"/>
    </row>
    <row r="187" spans="1:30" ht="17.100000000000001" customHeight="1" thickBot="1">
      <c r="A187" s="177"/>
      <c r="B187" s="46" t="s">
        <v>804</v>
      </c>
      <c r="C187" s="46">
        <v>37016</v>
      </c>
      <c r="D187" s="47" t="s">
        <v>903</v>
      </c>
      <c r="E187" s="186"/>
      <c r="F187" s="70" t="s">
        <v>904</v>
      </c>
      <c r="G187" s="49">
        <v>19663</v>
      </c>
      <c r="H187" s="181"/>
      <c r="I187" s="170"/>
      <c r="J187" s="170"/>
      <c r="K187" s="170"/>
      <c r="L187" s="170"/>
      <c r="M187" s="170"/>
      <c r="N187" s="170"/>
      <c r="O187" s="184"/>
      <c r="P187" s="71" t="s">
        <v>826</v>
      </c>
      <c r="Q187" s="89" t="s">
        <v>89</v>
      </c>
      <c r="R187" s="145" t="s">
        <v>905</v>
      </c>
      <c r="S187" s="52" t="s">
        <v>906</v>
      </c>
      <c r="T187" s="53"/>
      <c r="U187" s="54"/>
      <c r="V187" s="55" t="s">
        <v>120</v>
      </c>
      <c r="W187" s="56"/>
      <c r="X187" s="54"/>
      <c r="Y187" s="170"/>
      <c r="Z187" s="170"/>
      <c r="AA187" s="170"/>
      <c r="AB187" s="170"/>
      <c r="AC187" s="173"/>
      <c r="AD187"/>
    </row>
    <row r="188" spans="1:30" ht="17.100000000000001" customHeight="1" thickTop="1">
      <c r="A188" s="176" t="s">
        <v>907</v>
      </c>
      <c r="B188" s="33">
        <v>43598</v>
      </c>
      <c r="C188" s="78" t="s">
        <v>908</v>
      </c>
      <c r="D188" s="35" t="s">
        <v>524</v>
      </c>
      <c r="E188" s="185"/>
      <c r="F188" s="131" t="s">
        <v>909</v>
      </c>
      <c r="G188" s="37"/>
      <c r="H188" s="180">
        <v>3.5</v>
      </c>
      <c r="I188" s="169">
        <v>465000</v>
      </c>
      <c r="J188" s="169">
        <v>37200</v>
      </c>
      <c r="K188" s="169">
        <v>0</v>
      </c>
      <c r="L188" s="169">
        <v>10460</v>
      </c>
      <c r="M188" s="169">
        <v>9720</v>
      </c>
      <c r="N188" s="169">
        <f>SUM(I188:M188)</f>
        <v>522380</v>
      </c>
      <c r="O188" s="183">
        <v>350000</v>
      </c>
      <c r="P188" s="160" t="s">
        <v>910</v>
      </c>
      <c r="Q188" s="82" t="s">
        <v>88</v>
      </c>
      <c r="R188" s="83"/>
      <c r="S188" s="84"/>
      <c r="T188" s="85"/>
      <c r="U188" s="42"/>
      <c r="V188" s="43"/>
      <c r="W188" s="44"/>
      <c r="X188" s="45"/>
      <c r="Y188" s="169"/>
      <c r="Z188" s="171">
        <f>Y188*0.1</f>
        <v>0</v>
      </c>
      <c r="AA188" s="169"/>
      <c r="AB188" s="169">
        <f>SUM(Y188:AA188)</f>
        <v>0</v>
      </c>
      <c r="AC188" s="172"/>
      <c r="AD188"/>
    </row>
    <row r="189" spans="1:30" ht="17.100000000000001" customHeight="1" thickBot="1">
      <c r="A189" s="177"/>
      <c r="B189" s="46" t="s">
        <v>804</v>
      </c>
      <c r="C189" s="46">
        <v>11069</v>
      </c>
      <c r="D189" s="47" t="s">
        <v>137</v>
      </c>
      <c r="E189" s="186"/>
      <c r="F189" s="70" t="s">
        <v>911</v>
      </c>
      <c r="G189" s="49">
        <v>26682</v>
      </c>
      <c r="H189" s="181"/>
      <c r="I189" s="170"/>
      <c r="J189" s="170"/>
      <c r="K189" s="170"/>
      <c r="L189" s="170"/>
      <c r="M189" s="170"/>
      <c r="N189" s="170"/>
      <c r="O189" s="184"/>
      <c r="P189" s="71" t="s">
        <v>912</v>
      </c>
      <c r="Q189" s="89" t="s">
        <v>89</v>
      </c>
      <c r="R189" s="145" t="s">
        <v>913</v>
      </c>
      <c r="S189" s="52"/>
      <c r="T189" s="53"/>
      <c r="U189" s="54"/>
      <c r="V189" s="55"/>
      <c r="W189" s="56"/>
      <c r="X189" s="54"/>
      <c r="Y189" s="170"/>
      <c r="Z189" s="170"/>
      <c r="AA189" s="170"/>
      <c r="AB189" s="170"/>
      <c r="AC189" s="173"/>
      <c r="AD189"/>
    </row>
    <row r="190" spans="1:30" ht="17.100000000000001" customHeight="1" thickTop="1">
      <c r="A190" s="176" t="s">
        <v>914</v>
      </c>
      <c r="B190" s="33">
        <v>43603</v>
      </c>
      <c r="C190" s="78" t="s">
        <v>915</v>
      </c>
      <c r="D190" s="35" t="s">
        <v>916</v>
      </c>
      <c r="E190" s="185"/>
      <c r="F190" s="131" t="s">
        <v>917</v>
      </c>
      <c r="G190" s="37"/>
      <c r="H190" s="180">
        <v>4.5</v>
      </c>
      <c r="I190" s="169">
        <v>1505000</v>
      </c>
      <c r="J190" s="169">
        <v>120400</v>
      </c>
      <c r="K190" s="169">
        <v>0</v>
      </c>
      <c r="L190" s="169">
        <v>21970</v>
      </c>
      <c r="M190" s="169">
        <v>12960</v>
      </c>
      <c r="N190" s="169">
        <f>SUM(I190:M190)</f>
        <v>1660330</v>
      </c>
      <c r="O190" s="183">
        <v>700000</v>
      </c>
      <c r="P190" s="160" t="s">
        <v>918</v>
      </c>
      <c r="Q190" s="82" t="s">
        <v>88</v>
      </c>
      <c r="R190" s="83"/>
      <c r="S190" s="84" t="s">
        <v>93</v>
      </c>
      <c r="T190" s="85"/>
      <c r="U190" s="42"/>
      <c r="V190" s="43"/>
      <c r="W190" s="44"/>
      <c r="X190" s="45"/>
      <c r="Y190" s="169"/>
      <c r="Z190" s="171">
        <f>Y190*0.1</f>
        <v>0</v>
      </c>
      <c r="AA190" s="169"/>
      <c r="AB190" s="169">
        <f>SUM(Y190:AA190)</f>
        <v>0</v>
      </c>
      <c r="AC190" s="172"/>
      <c r="AD190"/>
    </row>
    <row r="191" spans="1:30" ht="17.100000000000001" customHeight="1" thickBot="1">
      <c r="A191" s="177"/>
      <c r="B191" s="46" t="s">
        <v>892</v>
      </c>
      <c r="C191" s="46">
        <v>57114</v>
      </c>
      <c r="D191" s="47" t="s">
        <v>919</v>
      </c>
      <c r="E191" s="186"/>
      <c r="F191" s="70" t="s">
        <v>920</v>
      </c>
      <c r="G191" s="49">
        <v>38971</v>
      </c>
      <c r="H191" s="181"/>
      <c r="I191" s="170"/>
      <c r="J191" s="170"/>
      <c r="K191" s="170"/>
      <c r="L191" s="170"/>
      <c r="M191" s="170"/>
      <c r="N191" s="170"/>
      <c r="O191" s="184"/>
      <c r="P191" s="71" t="s">
        <v>921</v>
      </c>
      <c r="Q191" s="89" t="s">
        <v>89</v>
      </c>
      <c r="R191" s="145" t="s">
        <v>922</v>
      </c>
      <c r="S191" s="52" t="s">
        <v>923</v>
      </c>
      <c r="T191" s="53"/>
      <c r="U191" s="54"/>
      <c r="V191" s="55"/>
      <c r="W191" s="56"/>
      <c r="X191" s="54"/>
      <c r="Y191" s="170"/>
      <c r="Z191" s="170"/>
      <c r="AA191" s="170"/>
      <c r="AB191" s="170"/>
      <c r="AC191" s="173"/>
      <c r="AD191"/>
    </row>
    <row r="192" spans="1:30" ht="17.100000000000001" customHeight="1" thickTop="1">
      <c r="A192" s="176" t="s">
        <v>924</v>
      </c>
      <c r="B192" s="33">
        <v>43607</v>
      </c>
      <c r="C192" s="78" t="s">
        <v>925</v>
      </c>
      <c r="D192" s="35" t="s">
        <v>926</v>
      </c>
      <c r="E192" s="185"/>
      <c r="F192" s="131" t="s">
        <v>927</v>
      </c>
      <c r="G192" s="37"/>
      <c r="H192" s="180">
        <v>4</v>
      </c>
      <c r="I192" s="169">
        <v>520000</v>
      </c>
      <c r="J192" s="169">
        <v>41600</v>
      </c>
      <c r="K192" s="169">
        <v>0</v>
      </c>
      <c r="L192" s="169">
        <v>23900</v>
      </c>
      <c r="M192" s="169">
        <v>10800</v>
      </c>
      <c r="N192" s="169">
        <f>SUM(I192:M192)</f>
        <v>596300</v>
      </c>
      <c r="O192" s="183">
        <v>250000</v>
      </c>
      <c r="P192" s="160" t="s">
        <v>928</v>
      </c>
      <c r="Q192" s="82" t="s">
        <v>88</v>
      </c>
      <c r="R192" s="83"/>
      <c r="S192" s="84"/>
      <c r="T192" s="85"/>
      <c r="U192" s="42"/>
      <c r="V192" s="43"/>
      <c r="W192" s="44"/>
      <c r="X192" s="45"/>
      <c r="Y192" s="169"/>
      <c r="Z192" s="171">
        <f>Y192*0.1</f>
        <v>0</v>
      </c>
      <c r="AA192" s="169"/>
      <c r="AB192" s="169">
        <f>SUM(Y192:AA192)</f>
        <v>0</v>
      </c>
      <c r="AC192" s="172"/>
      <c r="AD192"/>
    </row>
    <row r="193" spans="1:30" ht="17.100000000000001" customHeight="1" thickBot="1">
      <c r="A193" s="177"/>
      <c r="B193" s="46" t="s">
        <v>353</v>
      </c>
      <c r="C193" s="46">
        <v>4069</v>
      </c>
      <c r="D193" s="47" t="s">
        <v>362</v>
      </c>
      <c r="E193" s="186"/>
      <c r="F193" s="70" t="s">
        <v>929</v>
      </c>
      <c r="G193" s="49">
        <v>56221</v>
      </c>
      <c r="H193" s="181"/>
      <c r="I193" s="170"/>
      <c r="J193" s="170"/>
      <c r="K193" s="170"/>
      <c r="L193" s="170"/>
      <c r="M193" s="170"/>
      <c r="N193" s="170"/>
      <c r="O193" s="184"/>
      <c r="P193" s="71" t="s">
        <v>930</v>
      </c>
      <c r="Q193" s="89" t="s">
        <v>89</v>
      </c>
      <c r="R193" s="145" t="s">
        <v>931</v>
      </c>
      <c r="S193" s="52" t="s">
        <v>731</v>
      </c>
      <c r="T193" s="53"/>
      <c r="U193" s="54"/>
      <c r="V193" s="55"/>
      <c r="W193" s="56"/>
      <c r="X193" s="54"/>
      <c r="Y193" s="170"/>
      <c r="Z193" s="170"/>
      <c r="AA193" s="170"/>
      <c r="AB193" s="170"/>
      <c r="AC193" s="173"/>
      <c r="AD193"/>
    </row>
    <row r="194" spans="1:30" ht="17.100000000000001" customHeight="1" thickTop="1">
      <c r="A194" s="176" t="s">
        <v>932</v>
      </c>
      <c r="B194" s="33">
        <v>43608</v>
      </c>
      <c r="C194" s="78" t="s">
        <v>933</v>
      </c>
      <c r="D194" s="35" t="s">
        <v>810</v>
      </c>
      <c r="E194" s="185"/>
      <c r="F194" s="131" t="s">
        <v>934</v>
      </c>
      <c r="G194" s="37"/>
      <c r="H194" s="180">
        <v>4</v>
      </c>
      <c r="I194" s="169">
        <v>2900000</v>
      </c>
      <c r="J194" s="169">
        <v>232000</v>
      </c>
      <c r="K194" s="169">
        <v>0</v>
      </c>
      <c r="L194" s="169">
        <v>19100</v>
      </c>
      <c r="M194" s="169">
        <v>12960</v>
      </c>
      <c r="N194" s="169">
        <f>SUM(I194:M194)</f>
        <v>3164060</v>
      </c>
      <c r="O194" s="183">
        <v>2000000</v>
      </c>
      <c r="P194" s="160" t="s">
        <v>935</v>
      </c>
      <c r="Q194" s="82" t="s">
        <v>88</v>
      </c>
      <c r="R194" s="83"/>
      <c r="S194" s="84"/>
      <c r="T194" s="85"/>
      <c r="U194" s="42"/>
      <c r="V194" s="43"/>
      <c r="W194" s="44"/>
      <c r="X194" s="45"/>
      <c r="Y194" s="169"/>
      <c r="Z194" s="171">
        <f>Y194*0.1</f>
        <v>0</v>
      </c>
      <c r="AA194" s="169"/>
      <c r="AB194" s="169">
        <f>SUM(Y194:AA194)</f>
        <v>0</v>
      </c>
      <c r="AC194" s="172"/>
      <c r="AD194"/>
    </row>
    <row r="195" spans="1:30" ht="17.100000000000001" customHeight="1" thickBot="1">
      <c r="A195" s="177"/>
      <c r="B195" s="46" t="s">
        <v>345</v>
      </c>
      <c r="C195" s="46">
        <v>22</v>
      </c>
      <c r="D195" s="47" t="s">
        <v>312</v>
      </c>
      <c r="E195" s="186"/>
      <c r="F195" s="70" t="s">
        <v>936</v>
      </c>
      <c r="G195" s="49">
        <v>14700</v>
      </c>
      <c r="H195" s="181"/>
      <c r="I195" s="170"/>
      <c r="J195" s="170"/>
      <c r="K195" s="170"/>
      <c r="L195" s="170"/>
      <c r="M195" s="170"/>
      <c r="N195" s="170"/>
      <c r="O195" s="184"/>
      <c r="P195" s="71" t="s">
        <v>720</v>
      </c>
      <c r="Q195" s="89" t="s">
        <v>89</v>
      </c>
      <c r="R195" s="145" t="s">
        <v>937</v>
      </c>
      <c r="S195" s="52" t="s">
        <v>938</v>
      </c>
      <c r="T195" s="53"/>
      <c r="U195" s="54"/>
      <c r="V195" s="55"/>
      <c r="W195" s="56"/>
      <c r="X195" s="54"/>
      <c r="Y195" s="170"/>
      <c r="Z195" s="170"/>
      <c r="AA195" s="170"/>
      <c r="AB195" s="170"/>
      <c r="AC195" s="173"/>
      <c r="AD195"/>
    </row>
    <row r="196" spans="1:30" ht="17.100000000000001" customHeight="1" thickTop="1">
      <c r="A196" s="176" t="s">
        <v>939</v>
      </c>
      <c r="B196" s="33">
        <v>43615</v>
      </c>
      <c r="C196" s="78" t="s">
        <v>940</v>
      </c>
      <c r="D196" s="35" t="s">
        <v>941</v>
      </c>
      <c r="E196" s="185"/>
      <c r="F196" s="131" t="s">
        <v>267</v>
      </c>
      <c r="G196" s="37"/>
      <c r="H196" s="180">
        <v>4</v>
      </c>
      <c r="I196" s="169">
        <v>738000</v>
      </c>
      <c r="J196" s="169">
        <v>59040</v>
      </c>
      <c r="K196" s="169">
        <v>0</v>
      </c>
      <c r="L196" s="169">
        <v>16090</v>
      </c>
      <c r="M196" s="169">
        <v>10800</v>
      </c>
      <c r="N196" s="169">
        <f>SUM(I196:M196)</f>
        <v>823930</v>
      </c>
      <c r="O196" s="183">
        <v>400000</v>
      </c>
      <c r="P196" s="160" t="s">
        <v>942</v>
      </c>
      <c r="Q196" s="82" t="s">
        <v>88</v>
      </c>
      <c r="R196" s="83"/>
      <c r="S196" s="84" t="s">
        <v>943</v>
      </c>
      <c r="T196" s="85"/>
      <c r="U196" s="42"/>
      <c r="V196" s="43"/>
      <c r="W196" s="44"/>
      <c r="X196" s="45"/>
      <c r="Y196" s="169"/>
      <c r="Z196" s="171">
        <f>Y196*0.1</f>
        <v>0</v>
      </c>
      <c r="AA196" s="169"/>
      <c r="AB196" s="169">
        <f>SUM(Y196:AA196)</f>
        <v>0</v>
      </c>
      <c r="AC196" s="172"/>
      <c r="AD196"/>
    </row>
    <row r="197" spans="1:30" ht="17.100000000000001" customHeight="1" thickBot="1">
      <c r="A197" s="177"/>
      <c r="B197" s="46" t="s">
        <v>685</v>
      </c>
      <c r="C197" s="46">
        <v>80105</v>
      </c>
      <c r="D197" s="47" t="s">
        <v>944</v>
      </c>
      <c r="E197" s="186"/>
      <c r="F197" s="70" t="s">
        <v>945</v>
      </c>
      <c r="G197" s="49">
        <v>44240</v>
      </c>
      <c r="H197" s="181"/>
      <c r="I197" s="170"/>
      <c r="J197" s="170"/>
      <c r="K197" s="170"/>
      <c r="L197" s="170"/>
      <c r="M197" s="170"/>
      <c r="N197" s="170"/>
      <c r="O197" s="184"/>
      <c r="P197" s="71" t="s">
        <v>688</v>
      </c>
      <c r="Q197" s="89" t="s">
        <v>89</v>
      </c>
      <c r="R197" s="145" t="s">
        <v>946</v>
      </c>
      <c r="S197" s="52" t="s">
        <v>943</v>
      </c>
      <c r="T197" s="53"/>
      <c r="U197" s="54"/>
      <c r="V197" s="55"/>
      <c r="W197" s="56"/>
      <c r="X197" s="54"/>
      <c r="Y197" s="170"/>
      <c r="Z197" s="170"/>
      <c r="AA197" s="170"/>
      <c r="AB197" s="170"/>
      <c r="AC197" s="173"/>
      <c r="AD197"/>
    </row>
    <row r="198" spans="1:30" ht="17.100000000000001" customHeight="1" thickTop="1">
      <c r="A198" s="176" t="s">
        <v>947</v>
      </c>
      <c r="B198" s="33">
        <v>43622</v>
      </c>
      <c r="C198" s="78" t="s">
        <v>530</v>
      </c>
      <c r="D198" s="35" t="s">
        <v>948</v>
      </c>
      <c r="E198" s="185"/>
      <c r="F198" s="131" t="s">
        <v>949</v>
      </c>
      <c r="G198" s="37" t="s">
        <v>950</v>
      </c>
      <c r="H198" s="180">
        <v>3.5</v>
      </c>
      <c r="I198" s="169">
        <v>479000</v>
      </c>
      <c r="J198" s="169">
        <v>38320</v>
      </c>
      <c r="K198" s="169">
        <v>65900</v>
      </c>
      <c r="L198" s="169">
        <v>14220</v>
      </c>
      <c r="M198" s="169">
        <v>10800</v>
      </c>
      <c r="N198" s="169">
        <f>SUM(I198:M198)</f>
        <v>608240</v>
      </c>
      <c r="O198" s="183">
        <v>200000</v>
      </c>
      <c r="P198" s="160" t="s">
        <v>951</v>
      </c>
      <c r="Q198" s="82" t="s">
        <v>88</v>
      </c>
      <c r="R198" s="83"/>
      <c r="S198" s="84"/>
      <c r="T198" s="85"/>
      <c r="U198" s="42"/>
      <c r="V198" s="43"/>
      <c r="W198" s="44"/>
      <c r="X198" s="45"/>
      <c r="Y198" s="169"/>
      <c r="Z198" s="171">
        <f>Y198*0.1</f>
        <v>0</v>
      </c>
      <c r="AA198" s="169"/>
      <c r="AB198" s="169">
        <f>SUM(Y198:AA198)</f>
        <v>0</v>
      </c>
      <c r="AC198" s="172"/>
      <c r="AD198"/>
    </row>
    <row r="199" spans="1:30" ht="17.100000000000001" customHeight="1" thickBot="1">
      <c r="A199" s="177"/>
      <c r="B199" s="46" t="s">
        <v>685</v>
      </c>
      <c r="C199" s="46">
        <v>30205</v>
      </c>
      <c r="D199" s="47" t="s">
        <v>919</v>
      </c>
      <c r="E199" s="186"/>
      <c r="F199" s="70" t="s">
        <v>952</v>
      </c>
      <c r="G199" s="49">
        <v>59183</v>
      </c>
      <c r="H199" s="181"/>
      <c r="I199" s="170"/>
      <c r="J199" s="170"/>
      <c r="K199" s="170"/>
      <c r="L199" s="170"/>
      <c r="M199" s="170"/>
      <c r="N199" s="170"/>
      <c r="O199" s="184"/>
      <c r="P199" s="71" t="s">
        <v>953</v>
      </c>
      <c r="Q199" s="89" t="s">
        <v>89</v>
      </c>
      <c r="R199" s="145" t="s">
        <v>954</v>
      </c>
      <c r="S199" s="52" t="s">
        <v>955</v>
      </c>
      <c r="T199" s="53"/>
      <c r="U199" s="54"/>
      <c r="V199" s="55"/>
      <c r="W199" s="56"/>
      <c r="X199" s="54"/>
      <c r="Y199" s="170"/>
      <c r="Z199" s="170"/>
      <c r="AA199" s="170"/>
      <c r="AB199" s="170"/>
      <c r="AC199" s="173"/>
      <c r="AD199"/>
    </row>
    <row r="200" spans="1:30" ht="17.100000000000001" customHeight="1" thickTop="1">
      <c r="A200" s="176" t="s">
        <v>956</v>
      </c>
      <c r="B200" s="33">
        <v>43627</v>
      </c>
      <c r="C200" s="78" t="s">
        <v>957</v>
      </c>
      <c r="D200" s="35" t="s">
        <v>916</v>
      </c>
      <c r="E200" s="185"/>
      <c r="F200" s="131" t="s">
        <v>958</v>
      </c>
      <c r="G200" s="37" t="s">
        <v>959</v>
      </c>
      <c r="H200" s="180">
        <v>3.5</v>
      </c>
      <c r="I200" s="169">
        <v>424000</v>
      </c>
      <c r="J200" s="169">
        <v>33920</v>
      </c>
      <c r="K200" s="169">
        <v>15000</v>
      </c>
      <c r="L200" s="169">
        <v>9210</v>
      </c>
      <c r="M200" s="169">
        <v>15660</v>
      </c>
      <c r="N200" s="169">
        <f>SUM(I200:M200)</f>
        <v>497790</v>
      </c>
      <c r="O200" s="183">
        <v>200000</v>
      </c>
      <c r="P200" s="160" t="s">
        <v>960</v>
      </c>
      <c r="Q200" s="82" t="s">
        <v>88</v>
      </c>
      <c r="R200" s="83"/>
      <c r="S200" s="84" t="s">
        <v>717</v>
      </c>
      <c r="T200" s="85"/>
      <c r="U200" s="42"/>
      <c r="V200" s="43"/>
      <c r="W200" s="44"/>
      <c r="X200" s="45"/>
      <c r="Y200" s="169"/>
      <c r="Z200" s="171">
        <f>Y200*0.1</f>
        <v>0</v>
      </c>
      <c r="AA200" s="169"/>
      <c r="AB200" s="169">
        <f>SUM(Y200:AA200)</f>
        <v>0</v>
      </c>
      <c r="AC200" s="172"/>
      <c r="AD200"/>
    </row>
    <row r="201" spans="1:30" ht="17.100000000000001" customHeight="1" thickBot="1">
      <c r="A201" s="177"/>
      <c r="B201" s="46" t="s">
        <v>961</v>
      </c>
      <c r="C201" s="46">
        <v>3492</v>
      </c>
      <c r="D201" s="47" t="s">
        <v>137</v>
      </c>
      <c r="E201" s="186"/>
      <c r="F201" s="70" t="s">
        <v>962</v>
      </c>
      <c r="G201" s="49">
        <v>53613</v>
      </c>
      <c r="H201" s="181"/>
      <c r="I201" s="170"/>
      <c r="J201" s="170"/>
      <c r="K201" s="170"/>
      <c r="L201" s="170"/>
      <c r="M201" s="170"/>
      <c r="N201" s="170"/>
      <c r="O201" s="184"/>
      <c r="P201" s="71" t="s">
        <v>963</v>
      </c>
      <c r="Q201" s="89" t="s">
        <v>89</v>
      </c>
      <c r="R201" s="145" t="s">
        <v>964</v>
      </c>
      <c r="S201" s="52" t="s">
        <v>965</v>
      </c>
      <c r="T201" s="53"/>
      <c r="U201" s="54"/>
      <c r="V201" s="55"/>
      <c r="W201" s="56"/>
      <c r="X201" s="54"/>
      <c r="Y201" s="170"/>
      <c r="Z201" s="170"/>
      <c r="AA201" s="170"/>
      <c r="AB201" s="170"/>
      <c r="AC201" s="173"/>
      <c r="AD201"/>
    </row>
    <row r="202" spans="1:30" ht="17.100000000000001" customHeight="1" thickTop="1">
      <c r="A202" s="176" t="s">
        <v>966</v>
      </c>
      <c r="B202" s="147">
        <v>43627</v>
      </c>
      <c r="C202" s="147"/>
      <c r="D202" s="149" t="s">
        <v>967</v>
      </c>
      <c r="E202" s="185" t="s">
        <v>250</v>
      </c>
      <c r="F202" s="150" t="s">
        <v>968</v>
      </c>
      <c r="G202" s="151" t="s">
        <v>969</v>
      </c>
      <c r="H202" s="180"/>
      <c r="I202" s="169">
        <v>15000000</v>
      </c>
      <c r="J202" s="169"/>
      <c r="K202" s="169"/>
      <c r="L202" s="169"/>
      <c r="M202" s="169"/>
      <c r="N202" s="169">
        <f>SUM(I202:M203)</f>
        <v>15000000</v>
      </c>
      <c r="O202" s="183"/>
      <c r="P202" s="139" t="s">
        <v>970</v>
      </c>
      <c r="Q202" s="82" t="s">
        <v>88</v>
      </c>
      <c r="R202" s="142"/>
      <c r="S202" s="143"/>
      <c r="T202" s="144"/>
      <c r="U202" s="81"/>
      <c r="V202" s="43" t="s">
        <v>971</v>
      </c>
      <c r="W202" s="104">
        <v>46314</v>
      </c>
      <c r="X202" s="45"/>
      <c r="Y202" s="169">
        <v>15970000</v>
      </c>
      <c r="Z202" s="171">
        <v>0</v>
      </c>
      <c r="AA202" s="169">
        <v>0</v>
      </c>
      <c r="AB202" s="169">
        <f>SUM(Y202:AA202)</f>
        <v>15970000</v>
      </c>
      <c r="AC202" s="172">
        <v>46382</v>
      </c>
      <c r="AD202"/>
    </row>
    <row r="203" spans="1:30" ht="17.100000000000001" customHeight="1" thickBot="1">
      <c r="A203" s="177"/>
      <c r="B203" s="161" t="s">
        <v>972</v>
      </c>
      <c r="C203" s="152"/>
      <c r="D203" s="152" t="s">
        <v>312</v>
      </c>
      <c r="E203" s="186"/>
      <c r="F203" s="153" t="s">
        <v>973</v>
      </c>
      <c r="G203" s="154"/>
      <c r="H203" s="181"/>
      <c r="I203" s="170"/>
      <c r="J203" s="170"/>
      <c r="K203" s="170"/>
      <c r="L203" s="170"/>
      <c r="M203" s="170"/>
      <c r="N203" s="170"/>
      <c r="O203" s="184"/>
      <c r="P203" s="152" t="s">
        <v>974</v>
      </c>
      <c r="Q203" s="89" t="s">
        <v>89</v>
      </c>
      <c r="R203" s="146"/>
      <c r="S203" s="52" t="s">
        <v>975</v>
      </c>
      <c r="T203" s="53"/>
      <c r="U203" s="88"/>
      <c r="V203" s="141"/>
      <c r="W203" s="90" t="s">
        <v>976</v>
      </c>
      <c r="X203" s="54"/>
      <c r="Y203" s="170"/>
      <c r="Z203" s="170"/>
      <c r="AA203" s="170"/>
      <c r="AB203" s="170"/>
      <c r="AC203" s="173"/>
      <c r="AD203"/>
    </row>
    <row r="204" spans="1:30" ht="17.100000000000001" customHeight="1" thickTop="1">
      <c r="A204" s="176" t="s">
        <v>977</v>
      </c>
      <c r="B204" s="33">
        <v>43634</v>
      </c>
      <c r="C204" s="78" t="s">
        <v>978</v>
      </c>
      <c r="D204" s="35" t="s">
        <v>419</v>
      </c>
      <c r="E204" s="185"/>
      <c r="F204" s="131" t="s">
        <v>979</v>
      </c>
      <c r="G204" s="162" t="s">
        <v>980</v>
      </c>
      <c r="H204" s="180">
        <v>3.5</v>
      </c>
      <c r="I204" s="169">
        <v>688000</v>
      </c>
      <c r="J204" s="169">
        <v>55040</v>
      </c>
      <c r="K204" s="169">
        <v>15000</v>
      </c>
      <c r="L204" s="169">
        <v>7020</v>
      </c>
      <c r="M204" s="169">
        <f>14500+1160</f>
        <v>15660</v>
      </c>
      <c r="N204" s="169">
        <f>SUM(I204:M204)</f>
        <v>780720</v>
      </c>
      <c r="O204" s="183">
        <v>400000</v>
      </c>
      <c r="P204" s="160" t="s">
        <v>981</v>
      </c>
      <c r="Q204" s="82" t="s">
        <v>88</v>
      </c>
      <c r="R204" s="83"/>
      <c r="S204" s="84" t="s">
        <v>93</v>
      </c>
      <c r="T204" s="85"/>
      <c r="U204" s="42"/>
      <c r="V204" s="43"/>
      <c r="W204" s="44"/>
      <c r="X204" s="45"/>
      <c r="Y204" s="169"/>
      <c r="Z204" s="171">
        <f>Y204*0.1</f>
        <v>0</v>
      </c>
      <c r="AA204" s="169"/>
      <c r="AB204" s="169">
        <f>SUM(Y204:AA204)</f>
        <v>0</v>
      </c>
      <c r="AC204" s="172"/>
      <c r="AD204"/>
    </row>
    <row r="205" spans="1:30" ht="17.100000000000001" customHeight="1" thickBot="1">
      <c r="A205" s="177"/>
      <c r="B205" s="46" t="s">
        <v>961</v>
      </c>
      <c r="C205" s="46">
        <v>3338</v>
      </c>
      <c r="D205" s="47" t="s">
        <v>919</v>
      </c>
      <c r="E205" s="186"/>
      <c r="F205" s="70" t="s">
        <v>982</v>
      </c>
      <c r="G205" s="49">
        <v>31604</v>
      </c>
      <c r="H205" s="181"/>
      <c r="I205" s="170"/>
      <c r="J205" s="170"/>
      <c r="K205" s="170"/>
      <c r="L205" s="170"/>
      <c r="M205" s="170"/>
      <c r="N205" s="170"/>
      <c r="O205" s="184"/>
      <c r="P205" s="71" t="s">
        <v>983</v>
      </c>
      <c r="Q205" s="89" t="s">
        <v>89</v>
      </c>
      <c r="R205" s="145" t="s">
        <v>984</v>
      </c>
      <c r="S205" s="52" t="s">
        <v>93</v>
      </c>
      <c r="T205" s="53"/>
      <c r="U205" s="54"/>
      <c r="V205" s="55"/>
      <c r="W205" s="56"/>
      <c r="X205" s="54"/>
      <c r="Y205" s="170"/>
      <c r="Z205" s="170"/>
      <c r="AA205" s="170"/>
      <c r="AB205" s="170"/>
      <c r="AC205" s="173"/>
      <c r="AD205"/>
    </row>
    <row r="206" spans="1:30" ht="17.100000000000001" customHeight="1" thickTop="1">
      <c r="A206" s="176" t="s">
        <v>985</v>
      </c>
      <c r="B206" s="33">
        <v>43635</v>
      </c>
      <c r="C206" s="78" t="s">
        <v>986</v>
      </c>
      <c r="D206" s="35" t="s">
        <v>987</v>
      </c>
      <c r="E206" s="185"/>
      <c r="F206" s="131" t="s">
        <v>988</v>
      </c>
      <c r="G206" s="37"/>
      <c r="H206" s="180" t="s">
        <v>802</v>
      </c>
      <c r="I206" s="169">
        <v>130000</v>
      </c>
      <c r="J206" s="169">
        <v>10400</v>
      </c>
      <c r="K206" s="169">
        <v>0</v>
      </c>
      <c r="L206" s="169">
        <v>9170</v>
      </c>
      <c r="M206" s="169">
        <f>14500+1160</f>
        <v>15660</v>
      </c>
      <c r="N206" s="169">
        <f>SUM(I206:M206)</f>
        <v>165230</v>
      </c>
      <c r="O206" s="183">
        <v>50000</v>
      </c>
      <c r="P206" s="160" t="s">
        <v>989</v>
      </c>
      <c r="Q206" s="82" t="s">
        <v>88</v>
      </c>
      <c r="R206" s="83"/>
      <c r="S206" s="84"/>
      <c r="T206" s="85"/>
      <c r="U206" s="42"/>
      <c r="V206" s="43"/>
      <c r="W206" s="44"/>
      <c r="X206" s="45"/>
      <c r="Y206" s="169"/>
      <c r="Z206" s="171">
        <f>Y206*0.1</f>
        <v>0</v>
      </c>
      <c r="AA206" s="169"/>
      <c r="AB206" s="169">
        <f>SUM(Y206:AA206)</f>
        <v>0</v>
      </c>
      <c r="AC206" s="172"/>
      <c r="AD206"/>
    </row>
    <row r="207" spans="1:30" ht="17.100000000000001" customHeight="1" thickBot="1">
      <c r="A207" s="177"/>
      <c r="B207" s="46" t="s">
        <v>792</v>
      </c>
      <c r="C207" s="46">
        <v>3215</v>
      </c>
      <c r="D207" s="47" t="s">
        <v>990</v>
      </c>
      <c r="E207" s="186"/>
      <c r="F207" s="70" t="s">
        <v>991</v>
      </c>
      <c r="G207" s="49">
        <v>39778</v>
      </c>
      <c r="H207" s="181"/>
      <c r="I207" s="170"/>
      <c r="J207" s="170"/>
      <c r="K207" s="170"/>
      <c r="L207" s="170"/>
      <c r="M207" s="170"/>
      <c r="N207" s="170"/>
      <c r="O207" s="184"/>
      <c r="P207" s="71" t="s">
        <v>992</v>
      </c>
      <c r="Q207" s="89" t="s">
        <v>89</v>
      </c>
      <c r="R207" s="145" t="s">
        <v>993</v>
      </c>
      <c r="S207" s="52"/>
      <c r="T207" s="53"/>
      <c r="U207" s="54"/>
      <c r="V207" s="55"/>
      <c r="W207" s="56"/>
      <c r="X207" s="54"/>
      <c r="Y207" s="170"/>
      <c r="Z207" s="170"/>
      <c r="AA207" s="170"/>
      <c r="AB207" s="170"/>
      <c r="AC207" s="173"/>
      <c r="AD207"/>
    </row>
    <row r="208" spans="1:30" ht="17.100000000000001" customHeight="1" thickTop="1">
      <c r="A208" s="176" t="s">
        <v>994</v>
      </c>
      <c r="B208" s="33">
        <v>43635</v>
      </c>
      <c r="C208" s="78"/>
      <c r="D208" s="35" t="s">
        <v>498</v>
      </c>
      <c r="E208" s="185"/>
      <c r="F208" s="131" t="s">
        <v>995</v>
      </c>
      <c r="G208" s="37" t="s">
        <v>694</v>
      </c>
      <c r="H208" s="180" t="s">
        <v>802</v>
      </c>
      <c r="I208" s="169">
        <v>815000</v>
      </c>
      <c r="J208" s="169">
        <v>65200</v>
      </c>
      <c r="K208" s="169">
        <v>26300</v>
      </c>
      <c r="L208" s="169">
        <v>9810</v>
      </c>
      <c r="M208" s="169">
        <f>66579+5327</f>
        <v>71906</v>
      </c>
      <c r="N208" s="169">
        <f>SUM(I208:M208)</f>
        <v>988216</v>
      </c>
      <c r="O208" s="183">
        <v>450000</v>
      </c>
      <c r="P208" s="163" t="s">
        <v>996</v>
      </c>
      <c r="Q208" s="82" t="s">
        <v>88</v>
      </c>
      <c r="R208" s="83"/>
      <c r="S208" s="84" t="s">
        <v>997</v>
      </c>
      <c r="T208" s="85"/>
      <c r="U208" s="42"/>
      <c r="V208" s="43"/>
      <c r="W208" s="44"/>
      <c r="X208" s="45"/>
      <c r="Y208" s="169"/>
      <c r="Z208" s="171">
        <f>Y208*0.1</f>
        <v>0</v>
      </c>
      <c r="AA208" s="169"/>
      <c r="AB208" s="169">
        <f>SUM(Y208:AA208)</f>
        <v>0</v>
      </c>
      <c r="AC208" s="172"/>
      <c r="AD208"/>
    </row>
    <row r="209" spans="1:30" ht="17.100000000000001" customHeight="1" thickBot="1">
      <c r="A209" s="177"/>
      <c r="B209" s="46" t="s">
        <v>779</v>
      </c>
      <c r="C209" s="46" t="s">
        <v>998</v>
      </c>
      <c r="D209" s="47" t="s">
        <v>611</v>
      </c>
      <c r="E209" s="186"/>
      <c r="F209" s="70" t="s">
        <v>999</v>
      </c>
      <c r="G209" s="49">
        <v>54373</v>
      </c>
      <c r="H209" s="181"/>
      <c r="I209" s="170"/>
      <c r="J209" s="170"/>
      <c r="K209" s="170"/>
      <c r="L209" s="170"/>
      <c r="M209" s="170"/>
      <c r="N209" s="170"/>
      <c r="O209" s="184"/>
      <c r="P209" s="71" t="s">
        <v>1000</v>
      </c>
      <c r="Q209" s="89" t="s">
        <v>89</v>
      </c>
      <c r="R209" s="145" t="s">
        <v>1001</v>
      </c>
      <c r="S209" s="52" t="s">
        <v>943</v>
      </c>
      <c r="T209" s="53"/>
      <c r="U209" s="54"/>
      <c r="V209" s="55"/>
      <c r="W209" s="56"/>
      <c r="X209" s="54"/>
      <c r="Y209" s="170"/>
      <c r="Z209" s="170"/>
      <c r="AA209" s="170"/>
      <c r="AB209" s="170"/>
      <c r="AC209" s="173"/>
      <c r="AD209"/>
    </row>
    <row r="210" spans="1:30" ht="17.100000000000001" customHeight="1" thickTop="1">
      <c r="A210" s="176" t="s">
        <v>1002</v>
      </c>
      <c r="B210" s="33">
        <v>43666</v>
      </c>
      <c r="C210" s="78"/>
      <c r="D210" s="35" t="s">
        <v>1003</v>
      </c>
      <c r="E210" s="185" t="s">
        <v>250</v>
      </c>
      <c r="F210" s="131" t="s">
        <v>1004</v>
      </c>
      <c r="G210" s="156" t="s">
        <v>1005</v>
      </c>
      <c r="H210" s="180">
        <v>5</v>
      </c>
      <c r="I210" s="169">
        <v>1600000</v>
      </c>
      <c r="J210" s="169">
        <v>128000</v>
      </c>
      <c r="K210" s="169">
        <v>0</v>
      </c>
      <c r="L210" s="169">
        <v>8110</v>
      </c>
      <c r="M210" s="169">
        <f>89375+7150</f>
        <v>96525</v>
      </c>
      <c r="N210" s="169">
        <f>SUM(I210:M210)</f>
        <v>1832635</v>
      </c>
      <c r="O210" s="183"/>
      <c r="P210" s="42" t="s">
        <v>1006</v>
      </c>
      <c r="Q210" s="82" t="s">
        <v>88</v>
      </c>
      <c r="R210" s="83"/>
      <c r="S210" s="84" t="s">
        <v>1007</v>
      </c>
      <c r="T210" s="85"/>
      <c r="U210" s="42"/>
      <c r="V210" s="43" t="s">
        <v>1008</v>
      </c>
      <c r="W210" s="44"/>
      <c r="X210" s="45"/>
      <c r="Y210" s="169"/>
      <c r="Z210" s="171">
        <f>Y210*0.1</f>
        <v>0</v>
      </c>
      <c r="AA210" s="169"/>
      <c r="AB210" s="169">
        <f>SUM(Y210:AA210)</f>
        <v>0</v>
      </c>
      <c r="AC210" s="172"/>
      <c r="AD210"/>
    </row>
    <row r="211" spans="1:30" ht="17.100000000000001" customHeight="1" thickBot="1">
      <c r="A211" s="177"/>
      <c r="B211" s="46" t="s">
        <v>779</v>
      </c>
      <c r="C211" s="46" t="s">
        <v>1009</v>
      </c>
      <c r="D211" s="47" t="s">
        <v>611</v>
      </c>
      <c r="E211" s="186"/>
      <c r="F211" s="70" t="s">
        <v>1010</v>
      </c>
      <c r="G211" s="127">
        <v>8337</v>
      </c>
      <c r="H211" s="181"/>
      <c r="I211" s="170"/>
      <c r="J211" s="170"/>
      <c r="K211" s="170"/>
      <c r="L211" s="170"/>
      <c r="M211" s="170"/>
      <c r="N211" s="170"/>
      <c r="O211" s="184"/>
      <c r="P211" s="54" t="s">
        <v>1011</v>
      </c>
      <c r="Q211" s="89" t="s">
        <v>89</v>
      </c>
      <c r="R211" s="145" t="s">
        <v>1012</v>
      </c>
      <c r="S211" s="52" t="s">
        <v>1013</v>
      </c>
      <c r="T211" s="53"/>
      <c r="U211" s="54"/>
      <c r="V211" s="141"/>
      <c r="W211" s="56"/>
      <c r="X211" s="54"/>
      <c r="Y211" s="170"/>
      <c r="Z211" s="170"/>
      <c r="AA211" s="170"/>
      <c r="AB211" s="170"/>
      <c r="AC211" s="173"/>
      <c r="AD211"/>
    </row>
    <row r="212" spans="1:30" ht="17.100000000000001" customHeight="1" thickTop="1">
      <c r="A212" s="176" t="s">
        <v>1014</v>
      </c>
      <c r="B212" s="33">
        <v>43673</v>
      </c>
      <c r="C212" s="78" t="s">
        <v>648</v>
      </c>
      <c r="D212" s="35" t="s">
        <v>1015</v>
      </c>
      <c r="E212" s="185"/>
      <c r="F212" s="131" t="s">
        <v>1016</v>
      </c>
      <c r="G212" s="37"/>
      <c r="H212" s="180">
        <v>3.5</v>
      </c>
      <c r="I212" s="169">
        <v>156000</v>
      </c>
      <c r="J212" s="169">
        <v>12480</v>
      </c>
      <c r="K212" s="169">
        <v>0</v>
      </c>
      <c r="L212" s="169">
        <v>10110</v>
      </c>
      <c r="M212" s="169">
        <v>8640</v>
      </c>
      <c r="N212" s="169">
        <f>SUM(I212:M212)</f>
        <v>187230</v>
      </c>
      <c r="O212" s="183">
        <v>80000</v>
      </c>
      <c r="P212" s="160" t="s">
        <v>1017</v>
      </c>
      <c r="Q212" s="82" t="s">
        <v>88</v>
      </c>
      <c r="R212" s="83"/>
      <c r="S212" s="84"/>
      <c r="T212" s="85"/>
      <c r="U212" s="42"/>
      <c r="V212" s="43"/>
      <c r="W212" s="44"/>
      <c r="X212" s="45"/>
      <c r="Y212" s="169"/>
      <c r="Z212" s="171">
        <f>Y212*0.1</f>
        <v>0</v>
      </c>
      <c r="AA212" s="169"/>
      <c r="AB212" s="169">
        <f>SUM(Y212:AA212)</f>
        <v>0</v>
      </c>
      <c r="AC212" s="172"/>
      <c r="AD212"/>
    </row>
    <row r="213" spans="1:30" ht="17.100000000000001" customHeight="1" thickBot="1">
      <c r="A213" s="177"/>
      <c r="B213" s="46" t="s">
        <v>115</v>
      </c>
      <c r="C213" s="46">
        <v>63078</v>
      </c>
      <c r="D213" s="47" t="s">
        <v>196</v>
      </c>
      <c r="E213" s="186"/>
      <c r="F213" s="70" t="s">
        <v>1018</v>
      </c>
      <c r="G213" s="49">
        <v>36756</v>
      </c>
      <c r="H213" s="181"/>
      <c r="I213" s="170"/>
      <c r="J213" s="170"/>
      <c r="K213" s="170"/>
      <c r="L213" s="170"/>
      <c r="M213" s="170"/>
      <c r="N213" s="170"/>
      <c r="O213" s="184"/>
      <c r="P213" s="71" t="s">
        <v>1019</v>
      </c>
      <c r="Q213" s="89" t="s">
        <v>89</v>
      </c>
      <c r="R213" s="145" t="s">
        <v>1020</v>
      </c>
      <c r="S213" s="52" t="s">
        <v>1021</v>
      </c>
      <c r="T213" s="53"/>
      <c r="U213" s="54"/>
      <c r="V213" s="55"/>
      <c r="W213" s="56"/>
      <c r="X213" s="54"/>
      <c r="Y213" s="170"/>
      <c r="Z213" s="170"/>
      <c r="AA213" s="170"/>
      <c r="AB213" s="170"/>
      <c r="AC213" s="173"/>
      <c r="AD213"/>
    </row>
    <row r="214" spans="1:30" ht="17.100000000000001" customHeight="1" thickTop="1">
      <c r="A214" s="176" t="s">
        <v>1022</v>
      </c>
      <c r="B214" s="33">
        <v>43699</v>
      </c>
      <c r="C214" s="78" t="s">
        <v>1023</v>
      </c>
      <c r="D214" s="35" t="s">
        <v>1024</v>
      </c>
      <c r="E214" s="185"/>
      <c r="F214" s="131" t="s">
        <v>1025</v>
      </c>
      <c r="G214" s="162" t="s">
        <v>1026</v>
      </c>
      <c r="H214" s="180">
        <v>4.5</v>
      </c>
      <c r="I214" s="169">
        <v>4550000</v>
      </c>
      <c r="J214" s="169">
        <v>364000</v>
      </c>
      <c r="K214" s="169">
        <v>44600</v>
      </c>
      <c r="L214" s="169">
        <v>22700</v>
      </c>
      <c r="M214" s="169">
        <v>23760</v>
      </c>
      <c r="N214" s="169">
        <f>SUM(I214:M214)</f>
        <v>5005060</v>
      </c>
      <c r="O214" s="183">
        <v>3000000</v>
      </c>
      <c r="P214" s="160" t="s">
        <v>1027</v>
      </c>
      <c r="Q214" s="82" t="s">
        <v>88</v>
      </c>
      <c r="R214" s="83"/>
      <c r="S214" s="84" t="s">
        <v>1028</v>
      </c>
      <c r="T214" s="85"/>
      <c r="U214" s="42"/>
      <c r="V214" s="43"/>
      <c r="W214" s="44"/>
      <c r="X214" s="45"/>
      <c r="Y214" s="169"/>
      <c r="Z214" s="171">
        <f>Y214*0.1</f>
        <v>0</v>
      </c>
      <c r="AA214" s="169"/>
      <c r="AB214" s="169">
        <f>SUM(Y214:AA214)</f>
        <v>0</v>
      </c>
      <c r="AC214" s="172"/>
      <c r="AD214"/>
    </row>
    <row r="215" spans="1:30" ht="17.100000000000001" customHeight="1" thickBot="1">
      <c r="A215" s="177"/>
      <c r="B215" s="46" t="s">
        <v>229</v>
      </c>
      <c r="C215" s="46">
        <v>70034</v>
      </c>
      <c r="D215" s="47" t="s">
        <v>1029</v>
      </c>
      <c r="E215" s="186"/>
      <c r="F215" s="70" t="s">
        <v>1030</v>
      </c>
      <c r="G215" s="49">
        <v>37542</v>
      </c>
      <c r="H215" s="181"/>
      <c r="I215" s="170"/>
      <c r="J215" s="170"/>
      <c r="K215" s="170"/>
      <c r="L215" s="170"/>
      <c r="M215" s="170"/>
      <c r="N215" s="170"/>
      <c r="O215" s="184"/>
      <c r="P215" s="71" t="s">
        <v>1031</v>
      </c>
      <c r="Q215" s="89" t="s">
        <v>89</v>
      </c>
      <c r="R215" s="145" t="s">
        <v>1032</v>
      </c>
      <c r="S215" s="52" t="s">
        <v>1033</v>
      </c>
      <c r="T215" s="53"/>
      <c r="U215" s="54"/>
      <c r="V215" s="55" t="s">
        <v>120</v>
      </c>
      <c r="W215" s="56"/>
      <c r="X215" s="54"/>
      <c r="Y215" s="170"/>
      <c r="Z215" s="170"/>
      <c r="AA215" s="170"/>
      <c r="AB215" s="170"/>
      <c r="AC215" s="173"/>
      <c r="AD215"/>
    </row>
    <row r="216" spans="1:30" ht="17.100000000000001" customHeight="1" thickTop="1">
      <c r="A216" s="176" t="s">
        <v>1034</v>
      </c>
      <c r="B216" s="33">
        <v>43699</v>
      </c>
      <c r="C216" s="78" t="s">
        <v>1035</v>
      </c>
      <c r="D216" s="35" t="s">
        <v>629</v>
      </c>
      <c r="E216" s="185"/>
      <c r="F216" s="131" t="s">
        <v>1036</v>
      </c>
      <c r="G216" s="37"/>
      <c r="H216" s="180">
        <v>4</v>
      </c>
      <c r="I216" s="169">
        <v>1350000</v>
      </c>
      <c r="J216" s="169">
        <v>108000</v>
      </c>
      <c r="K216" s="169">
        <v>0</v>
      </c>
      <c r="L216" s="169">
        <v>21300</v>
      </c>
      <c r="M216" s="169">
        <v>12960</v>
      </c>
      <c r="N216" s="169">
        <f>SUM(I216:M216)</f>
        <v>1492260</v>
      </c>
      <c r="O216" s="183">
        <v>700000</v>
      </c>
      <c r="P216" s="160" t="s">
        <v>1037</v>
      </c>
      <c r="Q216" s="82" t="s">
        <v>88</v>
      </c>
      <c r="R216" s="83"/>
      <c r="S216" s="84" t="s">
        <v>1038</v>
      </c>
      <c r="T216" s="85"/>
      <c r="U216" s="42"/>
      <c r="V216" s="43"/>
      <c r="W216" s="44"/>
      <c r="X216" s="45"/>
      <c r="Y216" s="169"/>
      <c r="Z216" s="171">
        <f>Y216*0.1</f>
        <v>0</v>
      </c>
      <c r="AA216" s="169"/>
      <c r="AB216" s="169">
        <f>SUM(Y216:AA216)</f>
        <v>0</v>
      </c>
      <c r="AC216" s="172"/>
      <c r="AD216"/>
    </row>
    <row r="217" spans="1:30" ht="17.100000000000001" customHeight="1" thickBot="1">
      <c r="A217" s="177"/>
      <c r="B217" s="46" t="s">
        <v>345</v>
      </c>
      <c r="C217" s="46">
        <v>133</v>
      </c>
      <c r="D217" s="47" t="s">
        <v>568</v>
      </c>
      <c r="E217" s="186"/>
      <c r="F217" s="70" t="s">
        <v>1039</v>
      </c>
      <c r="G217" s="49">
        <v>43772</v>
      </c>
      <c r="H217" s="181"/>
      <c r="I217" s="170"/>
      <c r="J217" s="170"/>
      <c r="K217" s="170"/>
      <c r="L217" s="170"/>
      <c r="M217" s="170"/>
      <c r="N217" s="170"/>
      <c r="O217" s="184"/>
      <c r="P217" s="71" t="s">
        <v>1040</v>
      </c>
      <c r="Q217" s="89" t="s">
        <v>89</v>
      </c>
      <c r="R217" s="145" t="s">
        <v>1032</v>
      </c>
      <c r="S217" s="52" t="s">
        <v>615</v>
      </c>
      <c r="T217" s="53"/>
      <c r="U217" s="54"/>
      <c r="V217" s="55"/>
      <c r="W217" s="56"/>
      <c r="X217" s="54"/>
      <c r="Y217" s="170"/>
      <c r="Z217" s="170"/>
      <c r="AA217" s="170"/>
      <c r="AB217" s="170"/>
      <c r="AC217" s="173"/>
      <c r="AD217"/>
    </row>
    <row r="218" spans="1:30" ht="17.100000000000001" customHeight="1" thickTop="1">
      <c r="A218" s="176" t="s">
        <v>1041</v>
      </c>
      <c r="B218" s="33">
        <v>43699</v>
      </c>
      <c r="C218" s="78" t="s">
        <v>1042</v>
      </c>
      <c r="D218" s="35" t="s">
        <v>774</v>
      </c>
      <c r="E218" s="185"/>
      <c r="F218" s="131" t="s">
        <v>1043</v>
      </c>
      <c r="G218" s="37" t="s">
        <v>1044</v>
      </c>
      <c r="H218" s="180">
        <v>4.5</v>
      </c>
      <c r="I218" s="169">
        <v>800000</v>
      </c>
      <c r="J218" s="169">
        <v>64000</v>
      </c>
      <c r="K218" s="169">
        <v>29700</v>
      </c>
      <c r="L218" s="169">
        <v>21540</v>
      </c>
      <c r="M218" s="169">
        <v>12960</v>
      </c>
      <c r="N218" s="169">
        <f>SUM(I218:M218)</f>
        <v>928200</v>
      </c>
      <c r="O218" s="183">
        <v>100000</v>
      </c>
      <c r="P218" s="160" t="s">
        <v>1045</v>
      </c>
      <c r="Q218" s="82" t="s">
        <v>88</v>
      </c>
      <c r="R218" s="83"/>
      <c r="S218" s="84" t="s">
        <v>1046</v>
      </c>
      <c r="T218" s="85"/>
      <c r="U218" s="42"/>
      <c r="V218" s="43"/>
      <c r="W218" s="44"/>
      <c r="X218" s="45"/>
      <c r="Y218" s="169"/>
      <c r="Z218" s="171">
        <f>Y218*0.1</f>
        <v>0</v>
      </c>
      <c r="AA218" s="169"/>
      <c r="AB218" s="169">
        <f>SUM(Y218:AA218)</f>
        <v>0</v>
      </c>
      <c r="AC218" s="172"/>
      <c r="AD218"/>
    </row>
    <row r="219" spans="1:30" ht="17.100000000000001" customHeight="1" thickBot="1">
      <c r="A219" s="177"/>
      <c r="B219" s="46" t="s">
        <v>685</v>
      </c>
      <c r="C219" s="46">
        <v>80056</v>
      </c>
      <c r="D219" s="47" t="s">
        <v>137</v>
      </c>
      <c r="E219" s="186"/>
      <c r="F219" s="70" t="s">
        <v>1047</v>
      </c>
      <c r="G219" s="49">
        <v>54970</v>
      </c>
      <c r="H219" s="181"/>
      <c r="I219" s="170"/>
      <c r="J219" s="170"/>
      <c r="K219" s="170"/>
      <c r="L219" s="170"/>
      <c r="M219" s="170"/>
      <c r="N219" s="170"/>
      <c r="O219" s="184"/>
      <c r="P219" s="71" t="s">
        <v>1048</v>
      </c>
      <c r="Q219" s="89" t="s">
        <v>89</v>
      </c>
      <c r="R219" s="145" t="s">
        <v>1049</v>
      </c>
      <c r="S219" s="52" t="s">
        <v>1050</v>
      </c>
      <c r="T219" s="53"/>
      <c r="U219" s="54"/>
      <c r="V219" s="55" t="s">
        <v>1051</v>
      </c>
      <c r="W219" s="56"/>
      <c r="X219" s="54"/>
      <c r="Y219" s="170"/>
      <c r="Z219" s="170"/>
      <c r="AA219" s="170"/>
      <c r="AB219" s="170"/>
      <c r="AC219" s="173"/>
      <c r="AD219"/>
    </row>
    <row r="220" spans="1:30" ht="17.100000000000001" customHeight="1" thickTop="1">
      <c r="A220" s="176" t="s">
        <v>1052</v>
      </c>
      <c r="B220" s="33">
        <v>43701</v>
      </c>
      <c r="C220" s="78" t="s">
        <v>1053</v>
      </c>
      <c r="D220" s="35" t="s">
        <v>1054</v>
      </c>
      <c r="E220" s="185"/>
      <c r="F220" s="131" t="s">
        <v>1055</v>
      </c>
      <c r="G220" s="37" t="s">
        <v>1056</v>
      </c>
      <c r="H220" s="180">
        <v>4.5</v>
      </c>
      <c r="I220" s="169">
        <v>2000000</v>
      </c>
      <c r="J220" s="169">
        <v>160000</v>
      </c>
      <c r="K220" s="169">
        <v>20100</v>
      </c>
      <c r="L220" s="169">
        <v>15100</v>
      </c>
      <c r="M220" s="169">
        <v>12960</v>
      </c>
      <c r="N220" s="169">
        <f>SUM(I220:M220)</f>
        <v>2208160</v>
      </c>
      <c r="O220" s="183">
        <v>1200000</v>
      </c>
      <c r="P220" s="160" t="s">
        <v>1057</v>
      </c>
      <c r="Q220" s="82" t="s">
        <v>88</v>
      </c>
      <c r="R220" s="83"/>
      <c r="S220" s="84" t="s">
        <v>869</v>
      </c>
      <c r="T220" s="85"/>
      <c r="U220" s="42"/>
      <c r="V220" s="43"/>
      <c r="W220" s="44"/>
      <c r="X220" s="45"/>
      <c r="Y220" s="169"/>
      <c r="Z220" s="171">
        <f>Y220*0.1</f>
        <v>0</v>
      </c>
      <c r="AA220" s="169"/>
      <c r="AB220" s="169">
        <f>SUM(Y220:AA220)</f>
        <v>0</v>
      </c>
      <c r="AC220" s="172"/>
      <c r="AD220"/>
    </row>
    <row r="221" spans="1:30" ht="17.100000000000001" customHeight="1" thickBot="1">
      <c r="A221" s="177"/>
      <c r="B221" s="46" t="s">
        <v>115</v>
      </c>
      <c r="C221" s="46">
        <v>82156</v>
      </c>
      <c r="D221" s="47" t="s">
        <v>312</v>
      </c>
      <c r="E221" s="186"/>
      <c r="F221" s="70" t="s">
        <v>1058</v>
      </c>
      <c r="G221" s="49">
        <v>20510</v>
      </c>
      <c r="H221" s="181"/>
      <c r="I221" s="170"/>
      <c r="J221" s="170"/>
      <c r="K221" s="170"/>
      <c r="L221" s="170"/>
      <c r="M221" s="170"/>
      <c r="N221" s="170"/>
      <c r="O221" s="184"/>
      <c r="P221" s="71" t="s">
        <v>1059</v>
      </c>
      <c r="Q221" s="89" t="s">
        <v>89</v>
      </c>
      <c r="R221" s="145" t="s">
        <v>1060</v>
      </c>
      <c r="S221" s="52" t="s">
        <v>1061</v>
      </c>
      <c r="T221" s="53"/>
      <c r="U221" s="54"/>
      <c r="V221" s="55" t="s">
        <v>120</v>
      </c>
      <c r="W221" s="56"/>
      <c r="X221" s="54"/>
      <c r="Y221" s="170"/>
      <c r="Z221" s="170"/>
      <c r="AA221" s="170"/>
      <c r="AB221" s="170"/>
      <c r="AC221" s="173"/>
      <c r="AD221"/>
    </row>
    <row r="222" spans="1:30" ht="17.100000000000001" customHeight="1" thickTop="1">
      <c r="A222" s="176" t="s">
        <v>1062</v>
      </c>
      <c r="B222" s="33">
        <v>43706</v>
      </c>
      <c r="C222" s="78" t="s">
        <v>1063</v>
      </c>
      <c r="D222" s="35" t="s">
        <v>755</v>
      </c>
      <c r="E222" s="185"/>
      <c r="F222" s="131" t="s">
        <v>1064</v>
      </c>
      <c r="G222" s="37"/>
      <c r="H222" s="180">
        <v>3.5</v>
      </c>
      <c r="I222" s="169">
        <v>247000</v>
      </c>
      <c r="J222" s="169">
        <v>19760</v>
      </c>
      <c r="K222" s="169">
        <v>0</v>
      </c>
      <c r="L222" s="169">
        <v>10010</v>
      </c>
      <c r="M222" s="169">
        <v>12960</v>
      </c>
      <c r="N222" s="169">
        <f>SUM(I222:M222)</f>
        <v>289730</v>
      </c>
      <c r="O222" s="183">
        <v>150000</v>
      </c>
      <c r="P222" s="160" t="s">
        <v>1065</v>
      </c>
      <c r="Q222" s="82" t="s">
        <v>88</v>
      </c>
      <c r="R222" s="83"/>
      <c r="S222" s="84" t="s">
        <v>717</v>
      </c>
      <c r="T222" s="85"/>
      <c r="U222" s="42"/>
      <c r="V222" s="43"/>
      <c r="W222" s="44"/>
      <c r="X222" s="45"/>
      <c r="Y222" s="169"/>
      <c r="Z222" s="171">
        <f>Y222*0.1</f>
        <v>0</v>
      </c>
      <c r="AA222" s="169"/>
      <c r="AB222" s="169">
        <f>SUM(Y222:AA222)</f>
        <v>0</v>
      </c>
      <c r="AC222" s="172"/>
      <c r="AD222"/>
    </row>
    <row r="223" spans="1:30" ht="17.100000000000001" customHeight="1" thickBot="1">
      <c r="A223" s="177"/>
      <c r="B223" s="46" t="s">
        <v>685</v>
      </c>
      <c r="C223" s="46">
        <v>50306</v>
      </c>
      <c r="D223" s="47" t="s">
        <v>568</v>
      </c>
      <c r="E223" s="186"/>
      <c r="F223" s="70" t="s">
        <v>1066</v>
      </c>
      <c r="G223" s="49">
        <v>49441</v>
      </c>
      <c r="H223" s="181"/>
      <c r="I223" s="170"/>
      <c r="J223" s="170"/>
      <c r="K223" s="170"/>
      <c r="L223" s="170"/>
      <c r="M223" s="170"/>
      <c r="N223" s="170"/>
      <c r="O223" s="184"/>
      <c r="P223" s="71" t="s">
        <v>1067</v>
      </c>
      <c r="Q223" s="89" t="s">
        <v>89</v>
      </c>
      <c r="R223" s="145" t="s">
        <v>1068</v>
      </c>
      <c r="S223" s="52" t="s">
        <v>1069</v>
      </c>
      <c r="T223" s="53"/>
      <c r="U223" s="54"/>
      <c r="V223" s="55"/>
      <c r="W223" s="56"/>
      <c r="X223" s="54"/>
      <c r="Y223" s="170"/>
      <c r="Z223" s="170"/>
      <c r="AA223" s="170"/>
      <c r="AB223" s="170"/>
      <c r="AC223" s="173"/>
      <c r="AD223"/>
    </row>
    <row r="224" spans="1:30" ht="17.100000000000001" customHeight="1" thickTop="1">
      <c r="A224" s="176" t="s">
        <v>1070</v>
      </c>
      <c r="B224" s="33">
        <v>43719</v>
      </c>
      <c r="C224" s="78" t="s">
        <v>1071</v>
      </c>
      <c r="D224" s="35" t="s">
        <v>1072</v>
      </c>
      <c r="E224" s="185"/>
      <c r="F224" s="131" t="s">
        <v>1073</v>
      </c>
      <c r="G224" s="37" t="s">
        <v>1074</v>
      </c>
      <c r="H224" s="180">
        <v>4</v>
      </c>
      <c r="I224" s="169">
        <v>318000</v>
      </c>
      <c r="J224" s="169">
        <v>25440</v>
      </c>
      <c r="K224" s="169">
        <v>19770</v>
      </c>
      <c r="L224" s="169">
        <v>20140</v>
      </c>
      <c r="M224" s="169">
        <v>12420</v>
      </c>
      <c r="N224" s="169">
        <f>SUM(I224:M224)</f>
        <v>395770</v>
      </c>
      <c r="O224" s="183">
        <v>100000</v>
      </c>
      <c r="P224" s="160" t="s">
        <v>1075</v>
      </c>
      <c r="Q224" s="82" t="s">
        <v>88</v>
      </c>
      <c r="R224" s="83"/>
      <c r="S224" s="84"/>
      <c r="T224" s="85"/>
      <c r="U224" s="42"/>
      <c r="V224" s="43"/>
      <c r="W224" s="44"/>
      <c r="X224" s="45"/>
      <c r="Y224" s="169"/>
      <c r="Z224" s="171">
        <f>Y224*0.1</f>
        <v>0</v>
      </c>
      <c r="AA224" s="169"/>
      <c r="AB224" s="169">
        <f>SUM(Y224:AA224)</f>
        <v>0</v>
      </c>
      <c r="AC224" s="172"/>
      <c r="AD224"/>
    </row>
    <row r="225" spans="1:30" ht="17.100000000000001" customHeight="1" thickBot="1">
      <c r="A225" s="177"/>
      <c r="B225" s="46" t="s">
        <v>550</v>
      </c>
      <c r="C225" s="46">
        <v>35238</v>
      </c>
      <c r="D225" s="47" t="s">
        <v>1076</v>
      </c>
      <c r="E225" s="186"/>
      <c r="F225" s="70" t="s">
        <v>1077</v>
      </c>
      <c r="G225" s="49">
        <v>18781</v>
      </c>
      <c r="H225" s="181"/>
      <c r="I225" s="170"/>
      <c r="J225" s="170"/>
      <c r="K225" s="170"/>
      <c r="L225" s="170"/>
      <c r="M225" s="170"/>
      <c r="N225" s="170"/>
      <c r="O225" s="184"/>
      <c r="P225" s="71" t="s">
        <v>770</v>
      </c>
      <c r="Q225" s="89" t="s">
        <v>89</v>
      </c>
      <c r="R225" s="145" t="s">
        <v>1078</v>
      </c>
      <c r="S225" s="52" t="s">
        <v>717</v>
      </c>
      <c r="T225" s="53"/>
      <c r="U225" s="54"/>
      <c r="V225" s="55" t="s">
        <v>1079</v>
      </c>
      <c r="W225" s="56"/>
      <c r="X225" s="54"/>
      <c r="Y225" s="170"/>
      <c r="Z225" s="170"/>
      <c r="AA225" s="170"/>
      <c r="AB225" s="170"/>
      <c r="AC225" s="173"/>
      <c r="AD225"/>
    </row>
    <row r="226" spans="1:30" ht="17.100000000000001" customHeight="1" thickTop="1">
      <c r="A226" s="176" t="s">
        <v>1080</v>
      </c>
      <c r="B226" s="33">
        <v>43784</v>
      </c>
      <c r="C226" s="78" t="s">
        <v>1081</v>
      </c>
      <c r="D226" s="35" t="s">
        <v>1082</v>
      </c>
      <c r="E226" s="185"/>
      <c r="F226" s="79" t="s">
        <v>1083</v>
      </c>
      <c r="G226" s="37" t="s">
        <v>1084</v>
      </c>
      <c r="H226" s="180">
        <v>5</v>
      </c>
      <c r="I226" s="169">
        <v>1660000</v>
      </c>
      <c r="J226" s="169">
        <v>166000</v>
      </c>
      <c r="K226" s="169">
        <v>13100</v>
      </c>
      <c r="L226" s="169">
        <v>19330</v>
      </c>
      <c r="M226" s="169">
        <v>24200</v>
      </c>
      <c r="N226" s="169">
        <f>SUM(I226:M226)</f>
        <v>1882630</v>
      </c>
      <c r="O226" s="183">
        <v>1300000</v>
      </c>
      <c r="P226" s="160" t="s">
        <v>1085</v>
      </c>
      <c r="Q226" s="82" t="s">
        <v>88</v>
      </c>
      <c r="R226" s="83"/>
      <c r="S226" s="84" t="s">
        <v>1086</v>
      </c>
      <c r="T226" s="85"/>
      <c r="U226" s="42"/>
      <c r="V226" s="43" t="s">
        <v>1087</v>
      </c>
      <c r="W226" s="44"/>
      <c r="X226" s="45"/>
      <c r="Y226" s="169"/>
      <c r="Z226" s="171">
        <f>Y226*0.1</f>
        <v>0</v>
      </c>
      <c r="AA226" s="169"/>
      <c r="AB226" s="169">
        <f>SUM(Y226:AA226)</f>
        <v>0</v>
      </c>
      <c r="AC226" s="172"/>
      <c r="AD226"/>
    </row>
    <row r="227" spans="1:30" ht="17.100000000000001" customHeight="1" thickBot="1">
      <c r="A227" s="177"/>
      <c r="B227" s="46" t="s">
        <v>294</v>
      </c>
      <c r="C227" s="46">
        <v>35081</v>
      </c>
      <c r="D227" s="47" t="s">
        <v>568</v>
      </c>
      <c r="E227" s="186"/>
      <c r="F227" s="70" t="s">
        <v>1088</v>
      </c>
      <c r="G227" s="49">
        <v>46258</v>
      </c>
      <c r="H227" s="181"/>
      <c r="I227" s="170"/>
      <c r="J227" s="170"/>
      <c r="K227" s="170"/>
      <c r="L227" s="170"/>
      <c r="M227" s="170"/>
      <c r="N227" s="170"/>
      <c r="O227" s="184"/>
      <c r="P227" s="71" t="s">
        <v>1089</v>
      </c>
      <c r="Q227" s="89" t="s">
        <v>89</v>
      </c>
      <c r="R227" s="145" t="s">
        <v>1090</v>
      </c>
      <c r="S227" s="52" t="s">
        <v>1091</v>
      </c>
      <c r="T227" s="53"/>
      <c r="U227" s="54"/>
      <c r="V227" s="55" t="s">
        <v>120</v>
      </c>
      <c r="W227" s="56"/>
      <c r="X227" s="54"/>
      <c r="Y227" s="170"/>
      <c r="Z227" s="170"/>
      <c r="AA227" s="170"/>
      <c r="AB227" s="170"/>
      <c r="AC227" s="173"/>
      <c r="AD227"/>
    </row>
    <row r="228" spans="1:30" ht="17.100000000000001" customHeight="1" thickTop="1">
      <c r="A228" s="176" t="s">
        <v>1092</v>
      </c>
      <c r="B228" s="33">
        <v>43868</v>
      </c>
      <c r="C228" s="137"/>
      <c r="D228" s="35" t="s">
        <v>1093</v>
      </c>
      <c r="E228" s="185" t="s">
        <v>250</v>
      </c>
      <c r="F228" s="131" t="s">
        <v>1094</v>
      </c>
      <c r="G228" s="156" t="s">
        <v>1095</v>
      </c>
      <c r="H228" s="180">
        <v>5</v>
      </c>
      <c r="I228" s="169">
        <v>5000000</v>
      </c>
      <c r="J228" s="169">
        <v>500000</v>
      </c>
      <c r="K228" s="169">
        <v>4200</v>
      </c>
      <c r="L228" s="169">
        <v>22540</v>
      </c>
      <c r="M228" s="169">
        <v>24200</v>
      </c>
      <c r="N228" s="169">
        <f>SUM(I228:M229)</f>
        <v>5550940</v>
      </c>
      <c r="O228" s="183"/>
      <c r="P228" s="139" t="s">
        <v>1096</v>
      </c>
      <c r="Q228" s="82" t="s">
        <v>88</v>
      </c>
      <c r="R228" s="83"/>
      <c r="S228" s="84" t="s">
        <v>1097</v>
      </c>
      <c r="T228" s="85"/>
      <c r="U228" s="42" t="s">
        <v>1098</v>
      </c>
      <c r="V228" s="43" t="s">
        <v>1099</v>
      </c>
      <c r="W228" s="104"/>
      <c r="X228" s="45"/>
      <c r="Y228" s="169"/>
      <c r="Z228" s="171">
        <f>Y228*0.1</f>
        <v>0</v>
      </c>
      <c r="AA228" s="169"/>
      <c r="AB228" s="169">
        <f>SUM(Y228:AA228)</f>
        <v>0</v>
      </c>
      <c r="AC228" s="172"/>
      <c r="AD228"/>
    </row>
    <row r="229" spans="1:30" ht="17.100000000000001" customHeight="1" thickBot="1">
      <c r="A229" s="177"/>
      <c r="B229" s="46" t="s">
        <v>294</v>
      </c>
      <c r="C229" s="46"/>
      <c r="D229" s="47" t="s">
        <v>919</v>
      </c>
      <c r="E229" s="186"/>
      <c r="F229" s="70" t="s">
        <v>1100</v>
      </c>
      <c r="G229" s="127">
        <v>3830</v>
      </c>
      <c r="H229" s="181"/>
      <c r="I229" s="170"/>
      <c r="J229" s="170"/>
      <c r="K229" s="170"/>
      <c r="L229" s="170"/>
      <c r="M229" s="170"/>
      <c r="N229" s="170"/>
      <c r="O229" s="184"/>
      <c r="P229" s="46" t="s">
        <v>1101</v>
      </c>
      <c r="Q229" s="89" t="s">
        <v>89</v>
      </c>
      <c r="R229" s="145" t="s">
        <v>1102</v>
      </c>
      <c r="S229" s="52" t="s">
        <v>1021</v>
      </c>
      <c r="T229" s="53"/>
      <c r="U229" s="54" t="s">
        <v>1103</v>
      </c>
      <c r="V229" s="141"/>
      <c r="W229" s="90"/>
      <c r="X229" s="54"/>
      <c r="Y229" s="170"/>
      <c r="Z229" s="170"/>
      <c r="AA229" s="170"/>
      <c r="AB229" s="170"/>
      <c r="AC229" s="173"/>
      <c r="AD229"/>
    </row>
    <row r="230" spans="1:30" ht="17.100000000000001" customHeight="1" thickTop="1">
      <c r="A230" s="176" t="s">
        <v>1104</v>
      </c>
      <c r="B230" s="33">
        <v>44000</v>
      </c>
      <c r="C230" s="78" t="s">
        <v>1105</v>
      </c>
      <c r="D230" s="35" t="s">
        <v>1106</v>
      </c>
      <c r="E230" s="185"/>
      <c r="F230" s="131" t="s">
        <v>1107</v>
      </c>
      <c r="G230" s="37"/>
      <c r="H230" s="180">
        <v>4</v>
      </c>
      <c r="I230" s="169">
        <v>1965000</v>
      </c>
      <c r="J230" s="169">
        <v>196500</v>
      </c>
      <c r="K230" s="169">
        <v>0</v>
      </c>
      <c r="L230" s="169">
        <v>19610</v>
      </c>
      <c r="M230" s="169">
        <v>13200</v>
      </c>
      <c r="N230" s="169">
        <f>SUM(I230:M230)</f>
        <v>2194310</v>
      </c>
      <c r="O230" s="183">
        <v>1400000</v>
      </c>
      <c r="P230" s="160" t="s">
        <v>1108</v>
      </c>
      <c r="Q230" s="82" t="s">
        <v>88</v>
      </c>
      <c r="R230" s="83"/>
      <c r="S230" s="84" t="s">
        <v>1109</v>
      </c>
      <c r="T230" s="85"/>
      <c r="U230" s="42"/>
      <c r="V230" s="43"/>
      <c r="W230" s="44"/>
      <c r="X230" s="45"/>
      <c r="Y230" s="169"/>
      <c r="Z230" s="171">
        <f>Y230*0.1</f>
        <v>0</v>
      </c>
      <c r="AA230" s="169"/>
      <c r="AB230" s="169">
        <f>SUM(Y230:AA230)</f>
        <v>0</v>
      </c>
      <c r="AC230" s="172"/>
      <c r="AD230"/>
    </row>
    <row r="231" spans="1:30" ht="17.100000000000001" customHeight="1" thickBot="1">
      <c r="A231" s="177"/>
      <c r="B231" s="46" t="s">
        <v>345</v>
      </c>
      <c r="C231" s="46">
        <v>599</v>
      </c>
      <c r="D231" s="47" t="s">
        <v>312</v>
      </c>
      <c r="E231" s="186"/>
      <c r="F231" s="70" t="s">
        <v>1110</v>
      </c>
      <c r="G231" s="49">
        <v>40533</v>
      </c>
      <c r="H231" s="181"/>
      <c r="I231" s="170"/>
      <c r="J231" s="170"/>
      <c r="K231" s="170"/>
      <c r="L231" s="170"/>
      <c r="M231" s="170"/>
      <c r="N231" s="170"/>
      <c r="O231" s="184"/>
      <c r="P231" s="71" t="s">
        <v>1111</v>
      </c>
      <c r="Q231" s="89" t="s">
        <v>89</v>
      </c>
      <c r="R231" s="145" t="s">
        <v>1112</v>
      </c>
      <c r="S231" s="52" t="s">
        <v>1113</v>
      </c>
      <c r="T231" s="53"/>
      <c r="U231" s="54"/>
      <c r="V231" s="55"/>
      <c r="W231" s="56"/>
      <c r="X231" s="54"/>
      <c r="Y231" s="170"/>
      <c r="Z231" s="170"/>
      <c r="AA231" s="170"/>
      <c r="AB231" s="170"/>
      <c r="AC231" s="173"/>
      <c r="AD231"/>
    </row>
    <row r="232" spans="1:30" ht="17.100000000000001" customHeight="1" thickTop="1">
      <c r="A232" s="176" t="s">
        <v>1114</v>
      </c>
      <c r="B232" s="33">
        <v>44007</v>
      </c>
      <c r="C232" s="78"/>
      <c r="D232" s="35" t="s">
        <v>1115</v>
      </c>
      <c r="E232" s="185" t="s">
        <v>250</v>
      </c>
      <c r="F232" s="79" t="s">
        <v>1116</v>
      </c>
      <c r="G232" s="156"/>
      <c r="H232" s="180"/>
      <c r="I232" s="169">
        <v>111000</v>
      </c>
      <c r="J232" s="169">
        <v>11100</v>
      </c>
      <c r="K232" s="169">
        <v>0</v>
      </c>
      <c r="L232" s="169">
        <v>0</v>
      </c>
      <c r="M232" s="169">
        <f>29527+2953</f>
        <v>32480</v>
      </c>
      <c r="N232" s="169">
        <f>SUM(I232:M232)</f>
        <v>154580</v>
      </c>
      <c r="O232" s="183"/>
      <c r="P232" s="164" t="s">
        <v>1117</v>
      </c>
      <c r="Q232" s="82" t="s">
        <v>88</v>
      </c>
      <c r="R232" s="83"/>
      <c r="S232" s="84" t="s">
        <v>1118</v>
      </c>
      <c r="T232" s="85"/>
      <c r="U232" s="42"/>
      <c r="V232" s="157"/>
      <c r="W232" s="44"/>
      <c r="X232" s="45"/>
      <c r="Y232" s="169"/>
      <c r="Z232" s="171">
        <f>Y232*0.1</f>
        <v>0</v>
      </c>
      <c r="AA232" s="169"/>
      <c r="AB232" s="169">
        <f>SUM(Y232:AA232)</f>
        <v>0</v>
      </c>
      <c r="AC232" s="172"/>
      <c r="AD232"/>
    </row>
    <row r="233" spans="1:30" ht="17.100000000000001" customHeight="1" thickBot="1">
      <c r="A233" s="177"/>
      <c r="B233" s="46" t="s">
        <v>779</v>
      </c>
      <c r="C233" s="46" t="s">
        <v>1119</v>
      </c>
      <c r="D233" s="47" t="s">
        <v>295</v>
      </c>
      <c r="E233" s="186"/>
      <c r="F233" s="70" t="s">
        <v>1120</v>
      </c>
      <c r="G233" s="127">
        <v>0</v>
      </c>
      <c r="H233" s="181"/>
      <c r="I233" s="170"/>
      <c r="J233" s="170"/>
      <c r="K233" s="170"/>
      <c r="L233" s="170"/>
      <c r="M233" s="170"/>
      <c r="N233" s="170"/>
      <c r="O233" s="184"/>
      <c r="P233" s="54" t="s">
        <v>1121</v>
      </c>
      <c r="Q233" s="89" t="s">
        <v>89</v>
      </c>
      <c r="R233" s="145" t="s">
        <v>750</v>
      </c>
      <c r="S233" s="52" t="s">
        <v>1118</v>
      </c>
      <c r="T233" s="53"/>
      <c r="U233" s="54"/>
      <c r="V233" s="141"/>
      <c r="W233" s="56"/>
      <c r="X233" s="54"/>
      <c r="Y233" s="170"/>
      <c r="Z233" s="170"/>
      <c r="AA233" s="170"/>
      <c r="AB233" s="170"/>
      <c r="AC233" s="173"/>
      <c r="AD233"/>
    </row>
    <row r="234" spans="1:30" ht="17.100000000000001" customHeight="1" thickTop="1">
      <c r="A234" s="176" t="s">
        <v>1122</v>
      </c>
      <c r="B234" s="33">
        <v>44015</v>
      </c>
      <c r="C234" s="78" t="s">
        <v>1123</v>
      </c>
      <c r="D234" s="35" t="s">
        <v>1124</v>
      </c>
      <c r="E234" s="185" t="s">
        <v>250</v>
      </c>
      <c r="F234" s="131" t="s">
        <v>1125</v>
      </c>
      <c r="G234" s="37" t="s">
        <v>1126</v>
      </c>
      <c r="H234" s="180">
        <v>4</v>
      </c>
      <c r="I234" s="169">
        <v>4080000</v>
      </c>
      <c r="J234" s="169">
        <v>408000</v>
      </c>
      <c r="K234" s="169">
        <v>34000</v>
      </c>
      <c r="L234" s="169">
        <v>20860</v>
      </c>
      <c r="M234" s="169">
        <v>13200</v>
      </c>
      <c r="N234" s="169">
        <f>SUM(I234:M234)</f>
        <v>4556060</v>
      </c>
      <c r="O234" s="183"/>
      <c r="P234" s="160" t="s">
        <v>1127</v>
      </c>
      <c r="Q234" s="82" t="s">
        <v>88</v>
      </c>
      <c r="R234" s="83"/>
      <c r="S234" s="84" t="s">
        <v>1038</v>
      </c>
      <c r="T234" s="85"/>
      <c r="U234" s="42"/>
      <c r="V234" s="43" t="s">
        <v>1128</v>
      </c>
      <c r="W234" s="44"/>
      <c r="X234" s="45"/>
      <c r="Y234" s="169"/>
      <c r="Z234" s="171">
        <f>Y234*0.1</f>
        <v>0</v>
      </c>
      <c r="AA234" s="169"/>
      <c r="AB234" s="169">
        <f>SUM(Y234:AA234)</f>
        <v>0</v>
      </c>
      <c r="AC234" s="172"/>
      <c r="AD234"/>
    </row>
    <row r="235" spans="1:30" ht="17.100000000000001" customHeight="1" thickBot="1">
      <c r="A235" s="177"/>
      <c r="B235" s="46" t="s">
        <v>294</v>
      </c>
      <c r="C235" s="46">
        <v>58193</v>
      </c>
      <c r="D235" s="47" t="s">
        <v>568</v>
      </c>
      <c r="E235" s="186"/>
      <c r="F235" s="70" t="s">
        <v>1129</v>
      </c>
      <c r="G235" s="49">
        <v>37375</v>
      </c>
      <c r="H235" s="181"/>
      <c r="I235" s="170"/>
      <c r="J235" s="170"/>
      <c r="K235" s="170"/>
      <c r="L235" s="170"/>
      <c r="M235" s="170"/>
      <c r="N235" s="170"/>
      <c r="O235" s="184"/>
      <c r="P235" s="71" t="s">
        <v>1130</v>
      </c>
      <c r="Q235" s="89" t="s">
        <v>89</v>
      </c>
      <c r="R235" s="145" t="s">
        <v>1131</v>
      </c>
      <c r="S235" s="52" t="s">
        <v>1132</v>
      </c>
      <c r="T235" s="53"/>
      <c r="U235" s="54"/>
      <c r="V235" s="55"/>
      <c r="W235" s="56"/>
      <c r="X235" s="54"/>
      <c r="Y235" s="170"/>
      <c r="Z235" s="170"/>
      <c r="AA235" s="170"/>
      <c r="AB235" s="170"/>
      <c r="AC235" s="173"/>
      <c r="AD235"/>
    </row>
    <row r="236" spans="1:30" ht="17.100000000000001" customHeight="1" thickTop="1">
      <c r="A236" s="176" t="s">
        <v>1133</v>
      </c>
      <c r="B236" s="33">
        <v>44021</v>
      </c>
      <c r="C236" s="78" t="s">
        <v>1134</v>
      </c>
      <c r="D236" s="35" t="s">
        <v>787</v>
      </c>
      <c r="E236" s="185"/>
      <c r="F236" s="131" t="s">
        <v>1135</v>
      </c>
      <c r="G236" s="37" t="s">
        <v>1136</v>
      </c>
      <c r="H236" s="180">
        <v>4</v>
      </c>
      <c r="I236" s="169">
        <v>1403000</v>
      </c>
      <c r="J236" s="169">
        <v>140300</v>
      </c>
      <c r="K236" s="169">
        <v>23000</v>
      </c>
      <c r="L236" s="169">
        <v>17700</v>
      </c>
      <c r="M236" s="169">
        <v>22000</v>
      </c>
      <c r="N236" s="169">
        <f>SUM(I236:M236)</f>
        <v>1606000</v>
      </c>
      <c r="O236" s="183">
        <v>800000</v>
      </c>
      <c r="P236" s="160" t="s">
        <v>1137</v>
      </c>
      <c r="Q236" s="82" t="s">
        <v>88</v>
      </c>
      <c r="R236" s="83"/>
      <c r="S236" s="84" t="s">
        <v>1038</v>
      </c>
      <c r="T236" s="85"/>
      <c r="U236" s="42"/>
      <c r="V236" s="43" t="s">
        <v>1138</v>
      </c>
      <c r="W236" s="44"/>
      <c r="X236" s="45"/>
      <c r="Y236" s="169"/>
      <c r="Z236" s="171">
        <f>Y236*0.1</f>
        <v>0</v>
      </c>
      <c r="AA236" s="169"/>
      <c r="AB236" s="169">
        <f>SUM(Y236:AA236)</f>
        <v>0</v>
      </c>
      <c r="AC236" s="172"/>
      <c r="AD236"/>
    </row>
    <row r="237" spans="1:30" ht="17.100000000000001" customHeight="1" thickBot="1">
      <c r="A237" s="177"/>
      <c r="B237" s="46" t="s">
        <v>1139</v>
      </c>
      <c r="C237" s="46">
        <v>30066</v>
      </c>
      <c r="D237" s="47" t="s">
        <v>1140</v>
      </c>
      <c r="E237" s="186"/>
      <c r="F237" s="70" t="s">
        <v>1141</v>
      </c>
      <c r="G237" s="49">
        <v>51233</v>
      </c>
      <c r="H237" s="181"/>
      <c r="I237" s="170"/>
      <c r="J237" s="170"/>
      <c r="K237" s="170"/>
      <c r="L237" s="170"/>
      <c r="M237" s="170"/>
      <c r="N237" s="170"/>
      <c r="O237" s="184"/>
      <c r="P237" s="71" t="s">
        <v>1142</v>
      </c>
      <c r="Q237" s="89" t="s">
        <v>89</v>
      </c>
      <c r="R237" s="145" t="s">
        <v>1143</v>
      </c>
      <c r="S237" s="52" t="s">
        <v>1144</v>
      </c>
      <c r="T237" s="53"/>
      <c r="U237" s="54"/>
      <c r="V237" s="55" t="s">
        <v>1145</v>
      </c>
      <c r="W237" s="56"/>
      <c r="X237" s="54"/>
      <c r="Y237" s="170"/>
      <c r="Z237" s="170"/>
      <c r="AA237" s="170"/>
      <c r="AB237" s="170"/>
      <c r="AC237" s="173"/>
      <c r="AD237"/>
    </row>
    <row r="238" spans="1:30" ht="17.100000000000001" customHeight="1" thickTop="1">
      <c r="A238" s="176" t="s">
        <v>1146</v>
      </c>
      <c r="B238" s="33">
        <v>44037</v>
      </c>
      <c r="C238" s="78"/>
      <c r="D238" s="35" t="s">
        <v>1147</v>
      </c>
      <c r="E238" s="185"/>
      <c r="F238" s="131" t="s">
        <v>1148</v>
      </c>
      <c r="G238" s="37" t="s">
        <v>1149</v>
      </c>
      <c r="H238" s="180">
        <v>3</v>
      </c>
      <c r="I238" s="169">
        <v>225000</v>
      </c>
      <c r="J238" s="169">
        <v>22500</v>
      </c>
      <c r="K238" s="169">
        <v>20100</v>
      </c>
      <c r="L238" s="169">
        <v>8510</v>
      </c>
      <c r="M238" s="169">
        <f>35527+3553</f>
        <v>39080</v>
      </c>
      <c r="N238" s="169">
        <f>SUM(I238:M238)</f>
        <v>315190</v>
      </c>
      <c r="O238" s="183">
        <v>150000</v>
      </c>
      <c r="P238" s="160" t="s">
        <v>1150</v>
      </c>
      <c r="Q238" s="82" t="s">
        <v>88</v>
      </c>
      <c r="R238" s="83"/>
      <c r="S238" s="84" t="s">
        <v>943</v>
      </c>
      <c r="T238" s="85"/>
      <c r="U238" s="42"/>
      <c r="V238" s="43"/>
      <c r="W238" s="44"/>
      <c r="X238" s="45"/>
      <c r="Y238" s="169"/>
      <c r="Z238" s="171">
        <f>Y238*0.1</f>
        <v>0</v>
      </c>
      <c r="AA238" s="169"/>
      <c r="AB238" s="169">
        <f>SUM(Y238:AA238)</f>
        <v>0</v>
      </c>
      <c r="AC238" s="172"/>
      <c r="AD238"/>
    </row>
    <row r="239" spans="1:30" ht="17.100000000000001" customHeight="1" thickBot="1">
      <c r="A239" s="177"/>
      <c r="B239" s="46" t="s">
        <v>779</v>
      </c>
      <c r="C239" s="46" t="s">
        <v>1151</v>
      </c>
      <c r="D239" s="47" t="s">
        <v>1152</v>
      </c>
      <c r="E239" s="186"/>
      <c r="F239" s="70" t="s">
        <v>1153</v>
      </c>
      <c r="G239" s="49">
        <v>14833</v>
      </c>
      <c r="H239" s="181"/>
      <c r="I239" s="170"/>
      <c r="J239" s="170"/>
      <c r="K239" s="170"/>
      <c r="L239" s="170"/>
      <c r="M239" s="170"/>
      <c r="N239" s="170"/>
      <c r="O239" s="184"/>
      <c r="P239" s="71" t="s">
        <v>1154</v>
      </c>
      <c r="Q239" s="89" t="s">
        <v>89</v>
      </c>
      <c r="R239" s="145" t="s">
        <v>1155</v>
      </c>
      <c r="S239" s="52" t="s">
        <v>943</v>
      </c>
      <c r="T239" s="53"/>
      <c r="U239" s="54"/>
      <c r="V239" s="55"/>
      <c r="W239" s="56"/>
      <c r="X239" s="54"/>
      <c r="Y239" s="170"/>
      <c r="Z239" s="170"/>
      <c r="AA239" s="170"/>
      <c r="AB239" s="170"/>
      <c r="AC239" s="173"/>
      <c r="AD239"/>
    </row>
    <row r="240" spans="1:30" ht="17.100000000000001" customHeight="1" thickTop="1">
      <c r="A240" s="176" t="s">
        <v>1156</v>
      </c>
      <c r="B240" s="33">
        <v>44042</v>
      </c>
      <c r="C240" s="78" t="s">
        <v>1157</v>
      </c>
      <c r="D240" s="35" t="s">
        <v>1158</v>
      </c>
      <c r="E240" s="185"/>
      <c r="F240" s="131" t="s">
        <v>1159</v>
      </c>
      <c r="G240" s="37" t="s">
        <v>950</v>
      </c>
      <c r="H240" s="180">
        <v>4.5</v>
      </c>
      <c r="I240" s="169">
        <v>1505000</v>
      </c>
      <c r="J240" s="169">
        <v>150500</v>
      </c>
      <c r="K240" s="169">
        <v>26300</v>
      </c>
      <c r="L240" s="169">
        <v>20310</v>
      </c>
      <c r="M240" s="169">
        <v>13200</v>
      </c>
      <c r="N240" s="169">
        <f>SUM(I240:M240)</f>
        <v>1715310</v>
      </c>
      <c r="O240" s="183">
        <v>1100000</v>
      </c>
      <c r="P240" s="160" t="s">
        <v>1160</v>
      </c>
      <c r="Q240" s="82" t="s">
        <v>88</v>
      </c>
      <c r="R240" s="83"/>
      <c r="S240" s="84" t="s">
        <v>1161</v>
      </c>
      <c r="T240" s="85"/>
      <c r="U240" s="42"/>
      <c r="V240" s="43"/>
      <c r="W240" s="44"/>
      <c r="X240" s="45"/>
      <c r="Y240" s="169"/>
      <c r="Z240" s="171">
        <f>Y240*0.1</f>
        <v>0</v>
      </c>
      <c r="AA240" s="169"/>
      <c r="AB240" s="169">
        <f>SUM(Y240:AA240)</f>
        <v>0</v>
      </c>
      <c r="AC240" s="172"/>
      <c r="AD240"/>
    </row>
    <row r="241" spans="1:30" ht="17.100000000000001" customHeight="1" thickBot="1">
      <c r="A241" s="177"/>
      <c r="B241" s="46" t="s">
        <v>345</v>
      </c>
      <c r="C241" s="46">
        <v>110</v>
      </c>
      <c r="D241" s="47" t="s">
        <v>312</v>
      </c>
      <c r="E241" s="186"/>
      <c r="F241" s="70" t="s">
        <v>1162</v>
      </c>
      <c r="G241" s="49">
        <v>48776</v>
      </c>
      <c r="H241" s="181"/>
      <c r="I241" s="170"/>
      <c r="J241" s="170"/>
      <c r="K241" s="170"/>
      <c r="L241" s="170"/>
      <c r="M241" s="170"/>
      <c r="N241" s="170"/>
      <c r="O241" s="184"/>
      <c r="P241" s="71" t="s">
        <v>749</v>
      </c>
      <c r="Q241" s="89" t="s">
        <v>89</v>
      </c>
      <c r="R241" s="145" t="s">
        <v>1012</v>
      </c>
      <c r="S241" s="52" t="s">
        <v>1021</v>
      </c>
      <c r="T241" s="53"/>
      <c r="U241" s="54"/>
      <c r="V241" s="55" t="s">
        <v>1079</v>
      </c>
      <c r="W241" s="56"/>
      <c r="X241" s="54"/>
      <c r="Y241" s="170"/>
      <c r="Z241" s="170"/>
      <c r="AA241" s="170"/>
      <c r="AB241" s="170"/>
      <c r="AC241" s="173"/>
      <c r="AD241"/>
    </row>
    <row r="242" spans="1:30" ht="17.100000000000001" customHeight="1" thickTop="1">
      <c r="A242" s="176" t="s">
        <v>1163</v>
      </c>
      <c r="B242" s="33">
        <v>44047</v>
      </c>
      <c r="C242" s="78" t="s">
        <v>1164</v>
      </c>
      <c r="D242" s="35" t="s">
        <v>1165</v>
      </c>
      <c r="E242" s="185"/>
      <c r="F242" s="131" t="s">
        <v>267</v>
      </c>
      <c r="G242" s="37"/>
      <c r="H242" s="180">
        <v>4.5</v>
      </c>
      <c r="I242" s="169">
        <v>1944000</v>
      </c>
      <c r="J242" s="169">
        <v>194400</v>
      </c>
      <c r="K242" s="169">
        <v>0</v>
      </c>
      <c r="L242" s="169">
        <v>17700</v>
      </c>
      <c r="M242" s="169">
        <v>15950</v>
      </c>
      <c r="N242" s="169">
        <f>SUM(I242:M242)</f>
        <v>2172050</v>
      </c>
      <c r="O242" s="183">
        <v>1500000</v>
      </c>
      <c r="P242" s="160" t="s">
        <v>1166</v>
      </c>
      <c r="Q242" s="82" t="s">
        <v>88</v>
      </c>
      <c r="R242" s="83"/>
      <c r="S242" s="84"/>
      <c r="T242" s="85"/>
      <c r="U242" s="42"/>
      <c r="V242" s="43"/>
      <c r="W242" s="44"/>
      <c r="X242" s="45"/>
      <c r="Y242" s="169"/>
      <c r="Z242" s="171">
        <f>Y242*0.1</f>
        <v>0</v>
      </c>
      <c r="AA242" s="169"/>
      <c r="AB242" s="169">
        <f>SUM(Y242:AA242)</f>
        <v>0</v>
      </c>
      <c r="AC242" s="172"/>
      <c r="AD242"/>
    </row>
    <row r="243" spans="1:30" ht="17.100000000000001" customHeight="1" thickBot="1">
      <c r="A243" s="177"/>
      <c r="B243" s="46" t="s">
        <v>961</v>
      </c>
      <c r="C243" s="46">
        <v>5003</v>
      </c>
      <c r="D243" s="47" t="s">
        <v>1167</v>
      </c>
      <c r="E243" s="186"/>
      <c r="F243" s="70" t="s">
        <v>1168</v>
      </c>
      <c r="G243" s="49">
        <v>21296</v>
      </c>
      <c r="H243" s="181"/>
      <c r="I243" s="170"/>
      <c r="J243" s="170"/>
      <c r="K243" s="170"/>
      <c r="L243" s="170"/>
      <c r="M243" s="170"/>
      <c r="N243" s="170"/>
      <c r="O243" s="184"/>
      <c r="P243" s="71" t="s">
        <v>1169</v>
      </c>
      <c r="Q243" s="89" t="s">
        <v>89</v>
      </c>
      <c r="R243" s="145" t="s">
        <v>1170</v>
      </c>
      <c r="S243" s="52" t="s">
        <v>1171</v>
      </c>
      <c r="T243" s="53"/>
      <c r="U243" s="54"/>
      <c r="V243" s="55"/>
      <c r="W243" s="56"/>
      <c r="X243" s="54"/>
      <c r="Y243" s="170"/>
      <c r="Z243" s="170"/>
      <c r="AA243" s="170"/>
      <c r="AB243" s="170"/>
      <c r="AC243" s="173"/>
      <c r="AD243"/>
    </row>
    <row r="244" spans="1:30" ht="17.100000000000001" customHeight="1" thickTop="1">
      <c r="A244" s="176" t="s">
        <v>1172</v>
      </c>
      <c r="B244" s="33">
        <v>44054</v>
      </c>
      <c r="C244" s="78"/>
      <c r="D244" s="35" t="s">
        <v>1173</v>
      </c>
      <c r="E244" s="185"/>
      <c r="F244" s="131" t="s">
        <v>1174</v>
      </c>
      <c r="G244" s="37" t="s">
        <v>950</v>
      </c>
      <c r="H244" s="180">
        <v>2</v>
      </c>
      <c r="I244" s="169">
        <v>100000</v>
      </c>
      <c r="J244" s="169">
        <v>10000</v>
      </c>
      <c r="K244" s="169">
        <v>0</v>
      </c>
      <c r="L244" s="169">
        <v>7540</v>
      </c>
      <c r="M244" s="169">
        <v>5500</v>
      </c>
      <c r="N244" s="169">
        <f>SUM(I244:M244)</f>
        <v>123040</v>
      </c>
      <c r="O244" s="183">
        <v>20000</v>
      </c>
      <c r="P244" s="160" t="s">
        <v>1175</v>
      </c>
      <c r="Q244" s="82" t="s">
        <v>88</v>
      </c>
      <c r="R244" s="83"/>
      <c r="S244" s="84"/>
      <c r="T244" s="85"/>
      <c r="U244" s="42"/>
      <c r="V244" s="43"/>
      <c r="W244" s="44"/>
      <c r="X244" s="45"/>
      <c r="Y244" s="169"/>
      <c r="Z244" s="171">
        <f>Y244*0.1</f>
        <v>0</v>
      </c>
      <c r="AA244" s="169"/>
      <c r="AB244" s="169">
        <f>SUM(Y244:AA244)</f>
        <v>0</v>
      </c>
      <c r="AC244" s="172"/>
      <c r="AD244"/>
    </row>
    <row r="245" spans="1:30" ht="17.100000000000001" customHeight="1" thickBot="1">
      <c r="A245" s="177"/>
      <c r="B245" s="46" t="s">
        <v>1176</v>
      </c>
      <c r="C245" s="46" t="s">
        <v>1177</v>
      </c>
      <c r="D245" s="47" t="s">
        <v>312</v>
      </c>
      <c r="E245" s="186"/>
      <c r="F245" s="70" t="s">
        <v>1178</v>
      </c>
      <c r="G245" s="49">
        <v>213000</v>
      </c>
      <c r="H245" s="181"/>
      <c r="I245" s="170"/>
      <c r="J245" s="170"/>
      <c r="K245" s="170"/>
      <c r="L245" s="170"/>
      <c r="M245" s="170"/>
      <c r="N245" s="170"/>
      <c r="O245" s="184"/>
      <c r="P245" s="71" t="s">
        <v>1179</v>
      </c>
      <c r="Q245" s="89" t="s">
        <v>89</v>
      </c>
      <c r="R245" s="145" t="s">
        <v>1180</v>
      </c>
      <c r="S245" s="52"/>
      <c r="T245" s="53"/>
      <c r="U245" s="54"/>
      <c r="V245" s="55"/>
      <c r="W245" s="56"/>
      <c r="X245" s="54"/>
      <c r="Y245" s="170"/>
      <c r="Z245" s="170"/>
      <c r="AA245" s="170"/>
      <c r="AB245" s="170"/>
      <c r="AC245" s="173"/>
      <c r="AD245"/>
    </row>
    <row r="246" spans="1:30" ht="17.100000000000001" customHeight="1" thickTop="1">
      <c r="A246" s="176" t="s">
        <v>1181</v>
      </c>
      <c r="B246" s="33">
        <v>44062</v>
      </c>
      <c r="C246" s="78" t="s">
        <v>1182</v>
      </c>
      <c r="D246" s="35" t="s">
        <v>1183</v>
      </c>
      <c r="E246" s="185"/>
      <c r="F246" s="131" t="s">
        <v>1184</v>
      </c>
      <c r="G246" s="37" t="s">
        <v>1185</v>
      </c>
      <c r="H246" s="180">
        <v>4</v>
      </c>
      <c r="I246" s="169">
        <v>2046000</v>
      </c>
      <c r="J246" s="169">
        <v>204600</v>
      </c>
      <c r="K246" s="169">
        <v>29700</v>
      </c>
      <c r="L246" s="169">
        <v>26610</v>
      </c>
      <c r="M246" s="169">
        <v>13200</v>
      </c>
      <c r="N246" s="169">
        <f>SUM(I246:M246)</f>
        <v>2320110</v>
      </c>
      <c r="O246" s="183">
        <v>1300000</v>
      </c>
      <c r="P246" s="160" t="s">
        <v>1186</v>
      </c>
      <c r="Q246" s="82" t="s">
        <v>88</v>
      </c>
      <c r="R246" s="83"/>
      <c r="S246" s="84"/>
      <c r="T246" s="85"/>
      <c r="U246" s="42"/>
      <c r="V246" s="43"/>
      <c r="W246" s="44"/>
      <c r="X246" s="45"/>
      <c r="Y246" s="169"/>
      <c r="Z246" s="171">
        <f>Y246*0.1</f>
        <v>0</v>
      </c>
      <c r="AA246" s="169"/>
      <c r="AB246" s="169">
        <f>SUM(Y246:AA246)</f>
        <v>0</v>
      </c>
      <c r="AC246" s="172"/>
      <c r="AD246"/>
    </row>
    <row r="247" spans="1:30" ht="17.100000000000001" customHeight="1" thickBot="1">
      <c r="A247" s="177"/>
      <c r="B247" s="46" t="s">
        <v>718</v>
      </c>
      <c r="C247" s="46">
        <v>80018</v>
      </c>
      <c r="D247" s="47" t="s">
        <v>568</v>
      </c>
      <c r="E247" s="186"/>
      <c r="F247" s="70" t="s">
        <v>1187</v>
      </c>
      <c r="G247" s="49">
        <v>45152</v>
      </c>
      <c r="H247" s="181"/>
      <c r="I247" s="170"/>
      <c r="J247" s="170"/>
      <c r="K247" s="170"/>
      <c r="L247" s="170"/>
      <c r="M247" s="170"/>
      <c r="N247" s="170"/>
      <c r="O247" s="184"/>
      <c r="P247" s="71" t="s">
        <v>1188</v>
      </c>
      <c r="Q247" s="89" t="s">
        <v>89</v>
      </c>
      <c r="R247" s="145" t="s">
        <v>1189</v>
      </c>
      <c r="S247" s="52" t="s">
        <v>722</v>
      </c>
      <c r="T247" s="53"/>
      <c r="U247" s="54"/>
      <c r="V247" s="55" t="s">
        <v>1079</v>
      </c>
      <c r="W247" s="56"/>
      <c r="X247" s="54"/>
      <c r="Y247" s="170"/>
      <c r="Z247" s="170"/>
      <c r="AA247" s="170"/>
      <c r="AB247" s="170"/>
      <c r="AC247" s="173"/>
      <c r="AD247"/>
    </row>
    <row r="248" spans="1:30" ht="17.100000000000001" customHeight="1" thickTop="1">
      <c r="A248" s="176" t="s">
        <v>1190</v>
      </c>
      <c r="B248" s="33">
        <v>44064</v>
      </c>
      <c r="C248" s="78" t="s">
        <v>1191</v>
      </c>
      <c r="D248" s="35" t="s">
        <v>1192</v>
      </c>
      <c r="E248" s="185" t="s">
        <v>250</v>
      </c>
      <c r="F248" s="131" t="s">
        <v>1193</v>
      </c>
      <c r="G248" s="37" t="s">
        <v>1194</v>
      </c>
      <c r="H248" s="180">
        <v>4.5</v>
      </c>
      <c r="I248" s="169">
        <v>1315000</v>
      </c>
      <c r="J248" s="169">
        <v>131500</v>
      </c>
      <c r="K248" s="169">
        <v>23000</v>
      </c>
      <c r="L248" s="169">
        <v>15440</v>
      </c>
      <c r="M248" s="169">
        <v>13200</v>
      </c>
      <c r="N248" s="169">
        <f>SUM(I248:M248)</f>
        <v>1498140</v>
      </c>
      <c r="O248" s="183">
        <v>900000</v>
      </c>
      <c r="P248" s="160" t="s">
        <v>1195</v>
      </c>
      <c r="Q248" s="82" t="s">
        <v>88</v>
      </c>
      <c r="R248" s="83"/>
      <c r="S248" s="84" t="s">
        <v>1196</v>
      </c>
      <c r="T248" s="85"/>
      <c r="U248" s="42"/>
      <c r="V248" s="43" t="s">
        <v>1197</v>
      </c>
      <c r="W248" s="44"/>
      <c r="X248" s="45"/>
      <c r="Y248" s="169"/>
      <c r="Z248" s="171">
        <f>Y248*0.1</f>
        <v>0</v>
      </c>
      <c r="AA248" s="169"/>
      <c r="AB248" s="169">
        <f>SUM(Y248:AA248)</f>
        <v>0</v>
      </c>
      <c r="AC248" s="172"/>
      <c r="AD248"/>
    </row>
    <row r="249" spans="1:30" ht="17.100000000000001" customHeight="1" thickBot="1">
      <c r="A249" s="177"/>
      <c r="B249" s="46" t="s">
        <v>294</v>
      </c>
      <c r="C249" s="46">
        <v>58133</v>
      </c>
      <c r="D249" s="47" t="s">
        <v>362</v>
      </c>
      <c r="E249" s="186"/>
      <c r="F249" s="70" t="s">
        <v>1198</v>
      </c>
      <c r="G249" s="49">
        <v>39627</v>
      </c>
      <c r="H249" s="181"/>
      <c r="I249" s="170"/>
      <c r="J249" s="170"/>
      <c r="K249" s="170"/>
      <c r="L249" s="170"/>
      <c r="M249" s="170"/>
      <c r="N249" s="170"/>
      <c r="O249" s="184"/>
      <c r="P249" s="71" t="s">
        <v>1199</v>
      </c>
      <c r="Q249" s="89" t="s">
        <v>89</v>
      </c>
      <c r="R249" s="145" t="s">
        <v>1200</v>
      </c>
      <c r="S249" s="52" t="s">
        <v>906</v>
      </c>
      <c r="T249" s="53"/>
      <c r="U249" s="54"/>
      <c r="V249" s="55"/>
      <c r="W249" s="56"/>
      <c r="X249" s="54"/>
      <c r="Y249" s="170"/>
      <c r="Z249" s="170"/>
      <c r="AA249" s="170"/>
      <c r="AB249" s="170"/>
      <c r="AC249" s="173"/>
      <c r="AD249"/>
    </row>
    <row r="250" spans="1:30" ht="17.100000000000001" customHeight="1" thickTop="1">
      <c r="A250" s="176" t="s">
        <v>1201</v>
      </c>
      <c r="B250" s="33">
        <v>44078</v>
      </c>
      <c r="C250" s="78" t="s">
        <v>1202</v>
      </c>
      <c r="D250" s="35" t="s">
        <v>1203</v>
      </c>
      <c r="E250" s="185"/>
      <c r="F250" s="131" t="s">
        <v>1204</v>
      </c>
      <c r="G250" s="37"/>
      <c r="H250" s="180">
        <v>4.5</v>
      </c>
      <c r="I250" s="169">
        <v>2015000</v>
      </c>
      <c r="J250" s="169">
        <v>201500</v>
      </c>
      <c r="K250" s="169">
        <v>0</v>
      </c>
      <c r="L250" s="169">
        <v>18110</v>
      </c>
      <c r="M250" s="169">
        <v>13200</v>
      </c>
      <c r="N250" s="169">
        <f>SUM(I250:M250)</f>
        <v>2247810</v>
      </c>
      <c r="O250" s="183">
        <v>1600000</v>
      </c>
      <c r="P250" s="160" t="s">
        <v>1205</v>
      </c>
      <c r="Q250" s="82" t="s">
        <v>88</v>
      </c>
      <c r="R250" s="83"/>
      <c r="S250" s="84"/>
      <c r="T250" s="85"/>
      <c r="U250" s="42"/>
      <c r="V250" s="43"/>
      <c r="W250" s="44"/>
      <c r="X250" s="45"/>
      <c r="Y250" s="169"/>
      <c r="Z250" s="171">
        <f>Y250*0.1</f>
        <v>0</v>
      </c>
      <c r="AA250" s="169"/>
      <c r="AB250" s="169">
        <f>SUM(Y250:AA250)</f>
        <v>0</v>
      </c>
      <c r="AC250" s="172"/>
      <c r="AD250"/>
    </row>
    <row r="251" spans="1:30" ht="17.100000000000001" customHeight="1" thickBot="1">
      <c r="A251" s="177"/>
      <c r="B251" s="46" t="s">
        <v>294</v>
      </c>
      <c r="C251" s="46">
        <v>20305</v>
      </c>
      <c r="D251" s="47" t="s">
        <v>919</v>
      </c>
      <c r="E251" s="186"/>
      <c r="F251" s="70" t="s">
        <v>1206</v>
      </c>
      <c r="G251" s="49">
        <v>50167</v>
      </c>
      <c r="H251" s="181"/>
      <c r="I251" s="170"/>
      <c r="J251" s="170"/>
      <c r="K251" s="170"/>
      <c r="L251" s="170"/>
      <c r="M251" s="170"/>
      <c r="N251" s="170"/>
      <c r="O251" s="184"/>
      <c r="P251" s="71" t="s">
        <v>1207</v>
      </c>
      <c r="Q251" s="89" t="s">
        <v>89</v>
      </c>
      <c r="R251" s="145" t="s">
        <v>1208</v>
      </c>
      <c r="S251" s="52" t="s">
        <v>384</v>
      </c>
      <c r="T251" s="53"/>
      <c r="U251" s="54"/>
      <c r="V251" s="55"/>
      <c r="W251" s="56"/>
      <c r="X251" s="54"/>
      <c r="Y251" s="170"/>
      <c r="Z251" s="170"/>
      <c r="AA251" s="170"/>
      <c r="AB251" s="170"/>
      <c r="AC251" s="173"/>
      <c r="AD251"/>
    </row>
    <row r="252" spans="1:30" ht="17.100000000000001" customHeight="1" thickTop="1">
      <c r="A252" s="176" t="s">
        <v>1209</v>
      </c>
      <c r="B252" s="33">
        <v>44081</v>
      </c>
      <c r="C252" s="78" t="s">
        <v>1210</v>
      </c>
      <c r="D252" s="35" t="s">
        <v>1211</v>
      </c>
      <c r="E252" s="185"/>
      <c r="F252" s="131" t="s">
        <v>1212</v>
      </c>
      <c r="G252" s="37"/>
      <c r="H252" s="180">
        <v>4</v>
      </c>
      <c r="I252" s="169">
        <v>1885000</v>
      </c>
      <c r="J252" s="169">
        <v>188500</v>
      </c>
      <c r="K252" s="169">
        <v>0</v>
      </c>
      <c r="L252" s="169">
        <v>17540</v>
      </c>
      <c r="M252" s="169">
        <v>11000</v>
      </c>
      <c r="N252" s="169">
        <f>SUM(I252:M252)</f>
        <v>2102040</v>
      </c>
      <c r="O252" s="183">
        <v>1200000</v>
      </c>
      <c r="P252" s="160" t="s">
        <v>1213</v>
      </c>
      <c r="Q252" s="82" t="s">
        <v>88</v>
      </c>
      <c r="R252" s="83"/>
      <c r="S252" s="84" t="s">
        <v>717</v>
      </c>
      <c r="T252" s="85"/>
      <c r="U252" s="42"/>
      <c r="V252" s="43"/>
      <c r="W252" s="44"/>
      <c r="X252" s="45"/>
      <c r="Y252" s="169"/>
      <c r="Z252" s="171">
        <f>Y252*0.1</f>
        <v>0</v>
      </c>
      <c r="AA252" s="169"/>
      <c r="AB252" s="169">
        <f>SUM(Y252:AA252)</f>
        <v>0</v>
      </c>
      <c r="AC252" s="172"/>
      <c r="AD252"/>
    </row>
    <row r="253" spans="1:30" ht="17.100000000000001" customHeight="1" thickBot="1">
      <c r="A253" s="177"/>
      <c r="B253" s="46" t="s">
        <v>804</v>
      </c>
      <c r="C253" s="46">
        <v>37029</v>
      </c>
      <c r="D253" s="47" t="s">
        <v>1076</v>
      </c>
      <c r="E253" s="186"/>
      <c r="F253" s="70" t="s">
        <v>1214</v>
      </c>
      <c r="G253" s="49">
        <v>45267</v>
      </c>
      <c r="H253" s="181"/>
      <c r="I253" s="170"/>
      <c r="J253" s="170"/>
      <c r="K253" s="170"/>
      <c r="L253" s="170"/>
      <c r="M253" s="170"/>
      <c r="N253" s="170"/>
      <c r="O253" s="184"/>
      <c r="P253" s="71" t="s">
        <v>826</v>
      </c>
      <c r="Q253" s="89" t="s">
        <v>89</v>
      </c>
      <c r="R253" s="145" t="s">
        <v>1215</v>
      </c>
      <c r="S253" s="52" t="s">
        <v>943</v>
      </c>
      <c r="T253" s="53"/>
      <c r="U253" s="54"/>
      <c r="V253" s="55"/>
      <c r="W253" s="56"/>
      <c r="X253" s="54"/>
      <c r="Y253" s="170"/>
      <c r="Z253" s="170"/>
      <c r="AA253" s="170"/>
      <c r="AB253" s="170"/>
      <c r="AC253" s="173"/>
      <c r="AD253"/>
    </row>
    <row r="254" spans="1:30" ht="17.100000000000001" customHeight="1" thickTop="1">
      <c r="A254" s="176" t="s">
        <v>1216</v>
      </c>
      <c r="B254" s="33">
        <v>44084</v>
      </c>
      <c r="C254" s="78" t="s">
        <v>1217</v>
      </c>
      <c r="D254" s="35" t="s">
        <v>387</v>
      </c>
      <c r="E254" s="185"/>
      <c r="F254" s="131" t="s">
        <v>1218</v>
      </c>
      <c r="G254" s="37"/>
      <c r="H254" s="180">
        <v>4.5</v>
      </c>
      <c r="I254" s="169">
        <v>3170000</v>
      </c>
      <c r="J254" s="169">
        <v>317000</v>
      </c>
      <c r="K254" s="169">
        <v>0</v>
      </c>
      <c r="L254" s="169">
        <v>27600</v>
      </c>
      <c r="M254" s="169">
        <v>13200</v>
      </c>
      <c r="N254" s="169">
        <f>SUM(I254:M254)</f>
        <v>3527800</v>
      </c>
      <c r="O254" s="183">
        <v>2500000</v>
      </c>
      <c r="P254" s="160" t="s">
        <v>1219</v>
      </c>
      <c r="Q254" s="82" t="s">
        <v>88</v>
      </c>
      <c r="R254" s="83"/>
      <c r="S254" s="84" t="s">
        <v>1220</v>
      </c>
      <c r="T254" s="85"/>
      <c r="U254" s="42"/>
      <c r="V254" s="43"/>
      <c r="W254" s="44"/>
      <c r="X254" s="45"/>
      <c r="Y254" s="169"/>
      <c r="Z254" s="171">
        <f>Y254*0.1</f>
        <v>0</v>
      </c>
      <c r="AA254" s="169"/>
      <c r="AB254" s="169">
        <f>SUM(Y254:AA254)</f>
        <v>0</v>
      </c>
      <c r="AC254" s="172"/>
      <c r="AD254"/>
    </row>
    <row r="255" spans="1:30" ht="17.100000000000001" customHeight="1" thickBot="1">
      <c r="A255" s="177"/>
      <c r="B255" s="46" t="s">
        <v>345</v>
      </c>
      <c r="C255" s="46">
        <v>35</v>
      </c>
      <c r="D255" s="47" t="s">
        <v>45</v>
      </c>
      <c r="E255" s="186"/>
      <c r="F255" s="70" t="s">
        <v>1221</v>
      </c>
      <c r="G255" s="49">
        <v>46183</v>
      </c>
      <c r="H255" s="181"/>
      <c r="I255" s="170"/>
      <c r="J255" s="170"/>
      <c r="K255" s="170"/>
      <c r="L255" s="170"/>
      <c r="M255" s="170"/>
      <c r="N255" s="170"/>
      <c r="O255" s="184"/>
      <c r="P255" s="71" t="s">
        <v>720</v>
      </c>
      <c r="Q255" s="89" t="s">
        <v>89</v>
      </c>
      <c r="R255" s="145" t="s">
        <v>1222</v>
      </c>
      <c r="S255" s="52" t="s">
        <v>938</v>
      </c>
      <c r="T255" s="53"/>
      <c r="U255" s="54"/>
      <c r="V255" s="55"/>
      <c r="W255" s="56"/>
      <c r="X255" s="54"/>
      <c r="Y255" s="170"/>
      <c r="Z255" s="170"/>
      <c r="AA255" s="170"/>
      <c r="AB255" s="170"/>
      <c r="AC255" s="173"/>
      <c r="AD255"/>
    </row>
    <row r="256" spans="1:30" ht="17.100000000000001" customHeight="1" thickTop="1">
      <c r="A256" s="176" t="s">
        <v>1223</v>
      </c>
      <c r="B256" s="33">
        <v>44084</v>
      </c>
      <c r="C256" s="78" t="s">
        <v>1224</v>
      </c>
      <c r="D256" s="35" t="s">
        <v>787</v>
      </c>
      <c r="E256" s="185"/>
      <c r="F256" s="131" t="s">
        <v>1225</v>
      </c>
      <c r="G256" s="37" t="s">
        <v>1226</v>
      </c>
      <c r="H256" s="180">
        <v>4.5</v>
      </c>
      <c r="I256" s="169">
        <v>1555000</v>
      </c>
      <c r="J256" s="169">
        <v>155500</v>
      </c>
      <c r="K256" s="169">
        <v>17200</v>
      </c>
      <c r="L256" s="169">
        <v>18960</v>
      </c>
      <c r="M256" s="169">
        <v>13200</v>
      </c>
      <c r="N256" s="169">
        <f>SUM(I256:M256)</f>
        <v>1759860</v>
      </c>
      <c r="O256" s="183">
        <v>1200000</v>
      </c>
      <c r="P256" s="160" t="s">
        <v>1227</v>
      </c>
      <c r="Q256" s="82" t="s">
        <v>88</v>
      </c>
      <c r="R256" s="83"/>
      <c r="S256" s="84" t="s">
        <v>1228</v>
      </c>
      <c r="T256" s="85"/>
      <c r="U256" s="42" t="s">
        <v>1229</v>
      </c>
      <c r="V256" s="43" t="s">
        <v>1230</v>
      </c>
      <c r="W256" s="44"/>
      <c r="X256" s="45"/>
      <c r="Y256" s="169"/>
      <c r="Z256" s="171">
        <f>Y256*0.1</f>
        <v>0</v>
      </c>
      <c r="AA256" s="169"/>
      <c r="AB256" s="169">
        <f>SUM(Y256:AA256)</f>
        <v>0</v>
      </c>
      <c r="AC256" s="172"/>
      <c r="AD256"/>
    </row>
    <row r="257" spans="1:30" ht="17.100000000000001" customHeight="1" thickBot="1">
      <c r="A257" s="177"/>
      <c r="B257" s="46" t="s">
        <v>229</v>
      </c>
      <c r="C257" s="46">
        <v>75085</v>
      </c>
      <c r="D257" s="47" t="s">
        <v>1231</v>
      </c>
      <c r="E257" s="186"/>
      <c r="F257" s="70" t="s">
        <v>1232</v>
      </c>
      <c r="G257" s="49">
        <v>45417</v>
      </c>
      <c r="H257" s="181"/>
      <c r="I257" s="170"/>
      <c r="J257" s="170"/>
      <c r="K257" s="170"/>
      <c r="L257" s="170"/>
      <c r="M257" s="170"/>
      <c r="N257" s="170"/>
      <c r="O257" s="184"/>
      <c r="P257" s="71" t="s">
        <v>1233</v>
      </c>
      <c r="Q257" s="89" t="s">
        <v>89</v>
      </c>
      <c r="R257" s="145" t="s">
        <v>1234</v>
      </c>
      <c r="S257" s="52" t="s">
        <v>615</v>
      </c>
      <c r="T257" s="53"/>
      <c r="U257" s="54"/>
      <c r="V257" s="55" t="s">
        <v>1235</v>
      </c>
      <c r="W257" s="56"/>
      <c r="X257" s="54"/>
      <c r="Y257" s="170"/>
      <c r="Z257" s="170"/>
      <c r="AA257" s="170"/>
      <c r="AB257" s="170"/>
      <c r="AC257" s="173"/>
      <c r="AD257"/>
    </row>
    <row r="258" spans="1:30" ht="17.100000000000001" customHeight="1" thickTop="1">
      <c r="A258" s="176" t="s">
        <v>1236</v>
      </c>
      <c r="B258" s="33">
        <v>44088</v>
      </c>
      <c r="C258" s="78" t="s">
        <v>1081</v>
      </c>
      <c r="D258" s="35" t="s">
        <v>1237</v>
      </c>
      <c r="E258" s="185"/>
      <c r="F258" s="131" t="s">
        <v>1238</v>
      </c>
      <c r="G258" s="37" t="s">
        <v>1239</v>
      </c>
      <c r="H258" s="180">
        <v>4</v>
      </c>
      <c r="I258" s="169">
        <v>2970000</v>
      </c>
      <c r="J258" s="169">
        <v>297000</v>
      </c>
      <c r="K258" s="169">
        <v>25500</v>
      </c>
      <c r="L258" s="169">
        <v>18110</v>
      </c>
      <c r="M258" s="169">
        <v>11000</v>
      </c>
      <c r="N258" s="169">
        <f>SUM(I258:M258)</f>
        <v>3321610</v>
      </c>
      <c r="O258" s="183">
        <v>2200000</v>
      </c>
      <c r="P258" s="160" t="s">
        <v>1240</v>
      </c>
      <c r="Q258" s="82" t="s">
        <v>88</v>
      </c>
      <c r="R258" s="83"/>
      <c r="S258" s="84" t="s">
        <v>717</v>
      </c>
      <c r="T258" s="85"/>
      <c r="U258" s="42"/>
      <c r="V258" s="43" t="s">
        <v>1241</v>
      </c>
      <c r="W258" s="44"/>
      <c r="X258" s="45"/>
      <c r="Y258" s="169"/>
      <c r="Z258" s="171">
        <f>Y258*0.1</f>
        <v>0</v>
      </c>
      <c r="AA258" s="169"/>
      <c r="AB258" s="169">
        <f>SUM(Y258:AA258)</f>
        <v>0</v>
      </c>
      <c r="AC258" s="172"/>
      <c r="AD258"/>
    </row>
    <row r="259" spans="1:30" ht="17.100000000000001" customHeight="1" thickBot="1">
      <c r="A259" s="177"/>
      <c r="B259" s="46" t="s">
        <v>804</v>
      </c>
      <c r="C259" s="46">
        <v>36036</v>
      </c>
      <c r="D259" s="47" t="s">
        <v>312</v>
      </c>
      <c r="E259" s="186"/>
      <c r="F259" s="70" t="s">
        <v>1242</v>
      </c>
      <c r="G259" s="49">
        <v>37780</v>
      </c>
      <c r="H259" s="181"/>
      <c r="I259" s="170"/>
      <c r="J259" s="170"/>
      <c r="K259" s="170"/>
      <c r="L259" s="170"/>
      <c r="M259" s="170"/>
      <c r="N259" s="170"/>
      <c r="O259" s="184"/>
      <c r="P259" s="71" t="s">
        <v>1243</v>
      </c>
      <c r="Q259" s="89" t="s">
        <v>89</v>
      </c>
      <c r="R259" s="145" t="s">
        <v>1244</v>
      </c>
      <c r="S259" s="52" t="s">
        <v>1245</v>
      </c>
      <c r="T259" s="53"/>
      <c r="U259" s="54"/>
      <c r="V259" s="55" t="s">
        <v>1079</v>
      </c>
      <c r="W259" s="56"/>
      <c r="X259" s="54"/>
      <c r="Y259" s="170"/>
      <c r="Z259" s="170"/>
      <c r="AA259" s="170"/>
      <c r="AB259" s="170"/>
      <c r="AC259" s="173"/>
      <c r="AD259"/>
    </row>
    <row r="260" spans="1:30" ht="17.100000000000001" customHeight="1" thickTop="1">
      <c r="A260" s="176" t="s">
        <v>1246</v>
      </c>
      <c r="B260" s="33">
        <v>44091</v>
      </c>
      <c r="C260" s="78" t="s">
        <v>1247</v>
      </c>
      <c r="D260" s="35" t="s">
        <v>1248</v>
      </c>
      <c r="E260" s="185"/>
      <c r="F260" s="131" t="s">
        <v>1249</v>
      </c>
      <c r="G260" s="37" t="s">
        <v>862</v>
      </c>
      <c r="H260" s="180">
        <v>4</v>
      </c>
      <c r="I260" s="169">
        <v>2350000</v>
      </c>
      <c r="J260" s="169">
        <v>235000</v>
      </c>
      <c r="K260" s="169">
        <v>0</v>
      </c>
      <c r="L260" s="169">
        <v>18170</v>
      </c>
      <c r="M260" s="169">
        <v>13200</v>
      </c>
      <c r="N260" s="169">
        <f>SUM(I260:M260)</f>
        <v>2616370</v>
      </c>
      <c r="O260" s="183">
        <v>1600000</v>
      </c>
      <c r="P260" s="160" t="s">
        <v>1250</v>
      </c>
      <c r="Q260" s="82" t="s">
        <v>88</v>
      </c>
      <c r="R260" s="83"/>
      <c r="S260" s="84" t="s">
        <v>943</v>
      </c>
      <c r="T260" s="85"/>
      <c r="U260" s="165"/>
      <c r="V260" s="43"/>
      <c r="W260" s="44"/>
      <c r="X260" s="45"/>
      <c r="Y260" s="169"/>
      <c r="Z260" s="171">
        <f>Y260*0.1</f>
        <v>0</v>
      </c>
      <c r="AA260" s="169"/>
      <c r="AB260" s="169">
        <f>SUM(Y260:AA260)</f>
        <v>0</v>
      </c>
      <c r="AC260" s="172"/>
      <c r="AD260"/>
    </row>
    <row r="261" spans="1:30" ht="17.100000000000001" customHeight="1" thickBot="1">
      <c r="A261" s="177"/>
      <c r="B261" s="46" t="s">
        <v>229</v>
      </c>
      <c r="C261" s="46">
        <v>75293</v>
      </c>
      <c r="D261" s="47" t="s">
        <v>196</v>
      </c>
      <c r="E261" s="186"/>
      <c r="F261" s="70" t="s">
        <v>1251</v>
      </c>
      <c r="G261" s="49">
        <v>50320</v>
      </c>
      <c r="H261" s="181"/>
      <c r="I261" s="170"/>
      <c r="J261" s="170"/>
      <c r="K261" s="170"/>
      <c r="L261" s="170"/>
      <c r="M261" s="170"/>
      <c r="N261" s="170"/>
      <c r="O261" s="184"/>
      <c r="P261" s="71" t="s">
        <v>1252</v>
      </c>
      <c r="Q261" s="89" t="s">
        <v>89</v>
      </c>
      <c r="R261" s="145" t="s">
        <v>1253</v>
      </c>
      <c r="S261" s="52" t="s">
        <v>1254</v>
      </c>
      <c r="T261" s="53"/>
      <c r="U261" s="54"/>
      <c r="V261" s="55"/>
      <c r="W261" s="56"/>
      <c r="X261" s="54"/>
      <c r="Y261" s="170"/>
      <c r="Z261" s="170"/>
      <c r="AA261" s="170"/>
      <c r="AB261" s="170"/>
      <c r="AC261" s="173"/>
      <c r="AD261"/>
    </row>
    <row r="262" spans="1:30" ht="17.100000000000001" customHeight="1" thickTop="1">
      <c r="A262" s="176" t="s">
        <v>1255</v>
      </c>
      <c r="B262" s="33">
        <v>44096</v>
      </c>
      <c r="C262" s="78"/>
      <c r="D262" s="35" t="s">
        <v>1256</v>
      </c>
      <c r="E262" s="185"/>
      <c r="F262" s="131" t="s">
        <v>1257</v>
      </c>
      <c r="G262" s="37" t="s">
        <v>1258</v>
      </c>
      <c r="H262" s="180" t="s">
        <v>802</v>
      </c>
      <c r="I262" s="169">
        <v>305000</v>
      </c>
      <c r="J262" s="169">
        <v>30500</v>
      </c>
      <c r="K262" s="169"/>
      <c r="L262" s="169">
        <v>8400</v>
      </c>
      <c r="M262" s="169">
        <f>39737+3974</f>
        <v>43711</v>
      </c>
      <c r="N262" s="169">
        <f>SUM(I262:M262)</f>
        <v>387611</v>
      </c>
      <c r="O262" s="183">
        <v>150000</v>
      </c>
      <c r="P262" s="160" t="s">
        <v>1259</v>
      </c>
      <c r="Q262" s="82" t="s">
        <v>88</v>
      </c>
      <c r="R262" s="83"/>
      <c r="S262" s="84" t="s">
        <v>1260</v>
      </c>
      <c r="T262" s="85"/>
      <c r="U262" s="42" t="s">
        <v>1261</v>
      </c>
      <c r="V262" s="43" t="s">
        <v>1262</v>
      </c>
      <c r="W262" s="44"/>
      <c r="X262" s="45"/>
      <c r="Y262" s="169"/>
      <c r="Z262" s="171">
        <f>Y262*0.1</f>
        <v>0</v>
      </c>
      <c r="AA262" s="169"/>
      <c r="AB262" s="169">
        <f>SUM(Y262:AA262)</f>
        <v>0</v>
      </c>
      <c r="AC262" s="172"/>
      <c r="AD262"/>
    </row>
    <row r="263" spans="1:30" ht="17.100000000000001" customHeight="1" thickBot="1">
      <c r="A263" s="177"/>
      <c r="B263" s="46" t="s">
        <v>779</v>
      </c>
      <c r="C263" s="46" t="s">
        <v>1263</v>
      </c>
      <c r="D263" s="47" t="s">
        <v>674</v>
      </c>
      <c r="E263" s="186"/>
      <c r="F263" s="70" t="s">
        <v>1264</v>
      </c>
      <c r="G263" s="49">
        <v>51451</v>
      </c>
      <c r="H263" s="181"/>
      <c r="I263" s="170"/>
      <c r="J263" s="170"/>
      <c r="K263" s="170"/>
      <c r="L263" s="170"/>
      <c r="M263" s="170"/>
      <c r="N263" s="170"/>
      <c r="O263" s="184"/>
      <c r="P263" s="71" t="s">
        <v>1265</v>
      </c>
      <c r="Q263" s="89" t="s">
        <v>89</v>
      </c>
      <c r="R263" s="145" t="s">
        <v>1266</v>
      </c>
      <c r="S263" s="52" t="s">
        <v>1260</v>
      </c>
      <c r="T263" s="53"/>
      <c r="U263" s="54" t="s">
        <v>1267</v>
      </c>
      <c r="V263" s="55" t="s">
        <v>1235</v>
      </c>
      <c r="W263" s="56"/>
      <c r="X263" s="54"/>
      <c r="Y263" s="170"/>
      <c r="Z263" s="170"/>
      <c r="AA263" s="170"/>
      <c r="AB263" s="170"/>
      <c r="AC263" s="173"/>
      <c r="AD263"/>
    </row>
    <row r="264" spans="1:30" ht="17.100000000000001" customHeight="1" thickTop="1">
      <c r="A264" s="176" t="s">
        <v>1268</v>
      </c>
      <c r="B264" s="33">
        <v>44105</v>
      </c>
      <c r="C264" s="78" t="s">
        <v>1269</v>
      </c>
      <c r="D264" s="35" t="s">
        <v>916</v>
      </c>
      <c r="E264" s="185"/>
      <c r="F264" s="131" t="s">
        <v>1270</v>
      </c>
      <c r="G264" s="37" t="s">
        <v>1271</v>
      </c>
      <c r="H264" s="180">
        <v>4</v>
      </c>
      <c r="I264" s="169">
        <v>1470000</v>
      </c>
      <c r="J264" s="169">
        <v>147000</v>
      </c>
      <c r="K264" s="169">
        <v>16400</v>
      </c>
      <c r="L264" s="169">
        <v>20310</v>
      </c>
      <c r="M264" s="169">
        <v>13200</v>
      </c>
      <c r="N264" s="169">
        <f>SUM(I264:M264)</f>
        <v>1666910</v>
      </c>
      <c r="O264" s="183">
        <v>1000000</v>
      </c>
      <c r="P264" s="160" t="s">
        <v>1272</v>
      </c>
      <c r="Q264" s="82" t="s">
        <v>88</v>
      </c>
      <c r="R264" s="83"/>
      <c r="S264" s="84" t="s">
        <v>1161</v>
      </c>
      <c r="T264" s="85"/>
      <c r="U264" s="42"/>
      <c r="V264" s="43"/>
      <c r="W264" s="44"/>
      <c r="X264" s="45"/>
      <c r="Y264" s="169"/>
      <c r="Z264" s="171">
        <f>Y264*0.1</f>
        <v>0</v>
      </c>
      <c r="AA264" s="169"/>
      <c r="AB264" s="169">
        <f>SUM(Y264:AA264)</f>
        <v>0</v>
      </c>
      <c r="AC264" s="172"/>
      <c r="AD264"/>
    </row>
    <row r="265" spans="1:30" ht="17.100000000000001" customHeight="1" thickBot="1">
      <c r="A265" s="177"/>
      <c r="B265" s="46" t="s">
        <v>345</v>
      </c>
      <c r="C265" s="46">
        <v>94</v>
      </c>
      <c r="D265" s="47" t="s">
        <v>312</v>
      </c>
      <c r="E265" s="186"/>
      <c r="F265" s="70" t="s">
        <v>1273</v>
      </c>
      <c r="G265" s="49">
        <v>56559</v>
      </c>
      <c r="H265" s="181"/>
      <c r="I265" s="170"/>
      <c r="J265" s="170"/>
      <c r="K265" s="170"/>
      <c r="L265" s="170"/>
      <c r="M265" s="170"/>
      <c r="N265" s="170"/>
      <c r="O265" s="184"/>
      <c r="P265" s="71" t="s">
        <v>881</v>
      </c>
      <c r="Q265" s="89" t="s">
        <v>89</v>
      </c>
      <c r="R265" s="145" t="s">
        <v>1274</v>
      </c>
      <c r="S265" s="52" t="s">
        <v>1132</v>
      </c>
      <c r="T265" s="53"/>
      <c r="U265" s="54"/>
      <c r="V265" s="55" t="s">
        <v>1145</v>
      </c>
      <c r="W265" s="56"/>
      <c r="X265" s="54"/>
      <c r="Y265" s="170"/>
      <c r="Z265" s="170"/>
      <c r="AA265" s="170"/>
      <c r="AB265" s="170"/>
      <c r="AC265" s="173"/>
      <c r="AD265"/>
    </row>
    <row r="266" spans="1:30" ht="17.100000000000001" customHeight="1" thickTop="1">
      <c r="A266" s="176" t="s">
        <v>1275</v>
      </c>
      <c r="B266" s="33">
        <v>44112</v>
      </c>
      <c r="C266" s="78" t="s">
        <v>1276</v>
      </c>
      <c r="D266" s="35" t="s">
        <v>629</v>
      </c>
      <c r="E266" s="185"/>
      <c r="F266" s="131" t="s">
        <v>1277</v>
      </c>
      <c r="G266" s="37"/>
      <c r="H266" s="180">
        <v>4.5</v>
      </c>
      <c r="I266" s="169">
        <v>3065000</v>
      </c>
      <c r="J266" s="169">
        <v>306500</v>
      </c>
      <c r="K266" s="169">
        <v>0</v>
      </c>
      <c r="L266" s="169">
        <v>19630</v>
      </c>
      <c r="M266" s="169">
        <v>13200</v>
      </c>
      <c r="N266" s="169">
        <f>SUM(I266:M266)</f>
        <v>3404330</v>
      </c>
      <c r="O266" s="183">
        <v>2200000</v>
      </c>
      <c r="P266" s="160" t="s">
        <v>1278</v>
      </c>
      <c r="Q266" s="82" t="s">
        <v>88</v>
      </c>
      <c r="R266" s="83"/>
      <c r="S266" s="84" t="s">
        <v>717</v>
      </c>
      <c r="T266" s="85"/>
      <c r="U266" s="42" t="s">
        <v>1279</v>
      </c>
      <c r="V266" s="43"/>
      <c r="W266" s="44"/>
      <c r="X266" s="45"/>
      <c r="Y266" s="169"/>
      <c r="Z266" s="171">
        <f>Y266*0.1</f>
        <v>0</v>
      </c>
      <c r="AA266" s="169"/>
      <c r="AB266" s="169">
        <f>SUM(Y266:AA266)</f>
        <v>0</v>
      </c>
      <c r="AC266" s="172"/>
      <c r="AD266"/>
    </row>
    <row r="267" spans="1:30" ht="17.100000000000001" customHeight="1" thickBot="1">
      <c r="A267" s="177"/>
      <c r="B267" s="46" t="s">
        <v>345</v>
      </c>
      <c r="C267" s="46">
        <v>15</v>
      </c>
      <c r="D267" s="47" t="s">
        <v>50</v>
      </c>
      <c r="E267" s="186"/>
      <c r="F267" s="70" t="s">
        <v>1280</v>
      </c>
      <c r="G267" s="49">
        <v>16542</v>
      </c>
      <c r="H267" s="181"/>
      <c r="I267" s="170"/>
      <c r="J267" s="170"/>
      <c r="K267" s="170"/>
      <c r="L267" s="170"/>
      <c r="M267" s="170"/>
      <c r="N267" s="170"/>
      <c r="O267" s="184"/>
      <c r="P267" s="71" t="s">
        <v>1281</v>
      </c>
      <c r="Q267" s="89" t="s">
        <v>89</v>
      </c>
      <c r="R267" s="145" t="s">
        <v>1282</v>
      </c>
      <c r="S267" s="52" t="s">
        <v>1283</v>
      </c>
      <c r="T267" s="53"/>
      <c r="U267" s="54"/>
      <c r="V267" s="55"/>
      <c r="W267" s="56"/>
      <c r="X267" s="54"/>
      <c r="Y267" s="170"/>
      <c r="Z267" s="170"/>
      <c r="AA267" s="170"/>
      <c r="AB267" s="170"/>
      <c r="AC267" s="173"/>
      <c r="AD267"/>
    </row>
    <row r="268" spans="1:30" ht="17.100000000000001" customHeight="1" thickTop="1">
      <c r="A268" s="176" t="s">
        <v>1284</v>
      </c>
      <c r="B268" s="33">
        <v>44119</v>
      </c>
      <c r="C268" s="78" t="s">
        <v>1285</v>
      </c>
      <c r="D268" s="35" t="s">
        <v>1286</v>
      </c>
      <c r="E268" s="178"/>
      <c r="F268" s="128" t="s">
        <v>1287</v>
      </c>
      <c r="G268" s="37" t="s">
        <v>1288</v>
      </c>
      <c r="H268" s="180">
        <v>4.5</v>
      </c>
      <c r="I268" s="169">
        <v>2625000</v>
      </c>
      <c r="J268" s="169">
        <v>262500</v>
      </c>
      <c r="K268" s="169">
        <v>21200</v>
      </c>
      <c r="L268" s="169">
        <v>26150</v>
      </c>
      <c r="M268" s="169">
        <v>13200</v>
      </c>
      <c r="N268" s="169">
        <f>SUM(I268:M268)</f>
        <v>2948050</v>
      </c>
      <c r="O268" s="174">
        <v>2000000</v>
      </c>
      <c r="P268" s="160" t="s">
        <v>1289</v>
      </c>
      <c r="Q268" s="38" t="s">
        <v>88</v>
      </c>
      <c r="R268" s="39"/>
      <c r="S268" s="40"/>
      <c r="T268" s="41"/>
      <c r="U268" s="42"/>
      <c r="V268" s="43" t="s">
        <v>1290</v>
      </c>
      <c r="W268" s="44"/>
      <c r="X268" s="45"/>
      <c r="Y268" s="169"/>
      <c r="Z268" s="171">
        <f>Y268*0.1</f>
        <v>0</v>
      </c>
      <c r="AA268" s="169"/>
      <c r="AB268" s="169">
        <f>SUM(Y268:AA268)</f>
        <v>0</v>
      </c>
      <c r="AC268" s="172"/>
      <c r="AD268"/>
    </row>
    <row r="269" spans="1:30" ht="17.100000000000001" customHeight="1" thickBot="1">
      <c r="A269" s="177"/>
      <c r="B269" s="46" t="s">
        <v>229</v>
      </c>
      <c r="C269" s="46">
        <v>75256</v>
      </c>
      <c r="D269" s="47" t="s">
        <v>568</v>
      </c>
      <c r="E269" s="179"/>
      <c r="F269" s="48" t="s">
        <v>1291</v>
      </c>
      <c r="G269" s="49">
        <v>48597</v>
      </c>
      <c r="H269" s="181"/>
      <c r="I269" s="170"/>
      <c r="J269" s="170"/>
      <c r="K269" s="170"/>
      <c r="L269" s="170"/>
      <c r="M269" s="170"/>
      <c r="N269" s="170"/>
      <c r="O269" s="175"/>
      <c r="P269" s="71" t="s">
        <v>1292</v>
      </c>
      <c r="Q269" s="50" t="s">
        <v>89</v>
      </c>
      <c r="R269" s="51" t="s">
        <v>1293</v>
      </c>
      <c r="S269" s="52"/>
      <c r="T269" s="53"/>
      <c r="U269" s="54"/>
      <c r="V269" s="55" t="s">
        <v>183</v>
      </c>
      <c r="W269" s="56"/>
      <c r="X269" s="54"/>
      <c r="Y269" s="170"/>
      <c r="Z269" s="170"/>
      <c r="AA269" s="170"/>
      <c r="AB269" s="170"/>
      <c r="AC269" s="173"/>
      <c r="AD269"/>
    </row>
    <row r="270" spans="1:30" ht="17.100000000000001" customHeight="1" thickTop="1">
      <c r="A270" s="176" t="s">
        <v>1294</v>
      </c>
      <c r="B270" s="33">
        <v>44119</v>
      </c>
      <c r="C270" s="78" t="s">
        <v>1295</v>
      </c>
      <c r="D270" s="35" t="s">
        <v>916</v>
      </c>
      <c r="E270" s="178"/>
      <c r="F270" s="128" t="s">
        <v>1296</v>
      </c>
      <c r="G270" s="37" t="s">
        <v>1297</v>
      </c>
      <c r="H270" s="180">
        <v>4</v>
      </c>
      <c r="I270" s="169">
        <v>2490000</v>
      </c>
      <c r="J270" s="169">
        <v>249000</v>
      </c>
      <c r="K270" s="169">
        <v>21200</v>
      </c>
      <c r="L270" s="169">
        <v>18110</v>
      </c>
      <c r="M270" s="169">
        <v>22000</v>
      </c>
      <c r="N270" s="169">
        <f>SUM(I270:M270)</f>
        <v>2800310</v>
      </c>
      <c r="O270" s="174">
        <v>1800000</v>
      </c>
      <c r="P270" s="160" t="s">
        <v>1298</v>
      </c>
      <c r="Q270" s="38" t="s">
        <v>88</v>
      </c>
      <c r="R270" s="39"/>
      <c r="S270" s="40" t="s">
        <v>1299</v>
      </c>
      <c r="T270" s="41"/>
      <c r="U270" s="42"/>
      <c r="V270" s="43" t="s">
        <v>1300</v>
      </c>
      <c r="W270" s="44"/>
      <c r="X270" s="45"/>
      <c r="Y270" s="169"/>
      <c r="Z270" s="171">
        <f>Y270*0.1</f>
        <v>0</v>
      </c>
      <c r="AA270" s="169"/>
      <c r="AB270" s="169">
        <f>SUM(Y270:AA270)</f>
        <v>0</v>
      </c>
      <c r="AC270" s="172"/>
      <c r="AD270"/>
    </row>
    <row r="271" spans="1:30" ht="17.100000000000001" customHeight="1" thickBot="1">
      <c r="A271" s="177"/>
      <c r="B271" s="46" t="s">
        <v>1301</v>
      </c>
      <c r="C271" s="46">
        <v>30264</v>
      </c>
      <c r="D271" s="47" t="s">
        <v>312</v>
      </c>
      <c r="E271" s="179"/>
      <c r="F271" s="48" t="s">
        <v>1302</v>
      </c>
      <c r="G271" s="49">
        <v>31939</v>
      </c>
      <c r="H271" s="181"/>
      <c r="I271" s="170"/>
      <c r="J271" s="170"/>
      <c r="K271" s="170"/>
      <c r="L271" s="170"/>
      <c r="M271" s="170"/>
      <c r="N271" s="170"/>
      <c r="O271" s="175"/>
      <c r="P271" s="71" t="s">
        <v>1303</v>
      </c>
      <c r="Q271" s="50" t="s">
        <v>89</v>
      </c>
      <c r="R271" s="51" t="s">
        <v>1293</v>
      </c>
      <c r="S271" s="52" t="s">
        <v>1304</v>
      </c>
      <c r="T271" s="53"/>
      <c r="U271" s="54"/>
      <c r="V271" s="55" t="s">
        <v>183</v>
      </c>
      <c r="W271" s="56"/>
      <c r="X271" s="54"/>
      <c r="Y271" s="170"/>
      <c r="Z271" s="170"/>
      <c r="AA271" s="170"/>
      <c r="AB271" s="170"/>
      <c r="AC271" s="173"/>
      <c r="AD271"/>
    </row>
    <row r="272" spans="1:30" ht="17.100000000000001" customHeight="1" thickTop="1">
      <c r="A272" s="176" t="s">
        <v>1305</v>
      </c>
      <c r="B272" s="33">
        <v>44127</v>
      </c>
      <c r="C272" s="78" t="s">
        <v>1306</v>
      </c>
      <c r="D272" s="35" t="s">
        <v>1307</v>
      </c>
      <c r="E272" s="178"/>
      <c r="F272" s="128" t="s">
        <v>1308</v>
      </c>
      <c r="G272" s="37" t="s">
        <v>1309</v>
      </c>
      <c r="H272" s="180">
        <v>4</v>
      </c>
      <c r="I272" s="169">
        <v>2600000</v>
      </c>
      <c r="J272" s="169">
        <v>260000</v>
      </c>
      <c r="K272" s="169">
        <v>27700</v>
      </c>
      <c r="L272" s="169">
        <v>18070</v>
      </c>
      <c r="M272" s="169">
        <v>13200</v>
      </c>
      <c r="N272" s="169">
        <f>SUM(I272:M272)</f>
        <v>2918970</v>
      </c>
      <c r="O272" s="174">
        <v>2000000</v>
      </c>
      <c r="P272" s="160" t="s">
        <v>1310</v>
      </c>
      <c r="Q272" s="38" t="s">
        <v>88</v>
      </c>
      <c r="R272" s="39"/>
      <c r="S272" s="40" t="s">
        <v>1311</v>
      </c>
      <c r="T272" s="41"/>
      <c r="U272" s="42"/>
      <c r="V272" s="43"/>
      <c r="W272" s="44"/>
      <c r="X272" s="45"/>
      <c r="Y272" s="169"/>
      <c r="Z272" s="171">
        <f>Y272*0.1</f>
        <v>0</v>
      </c>
      <c r="AA272" s="169"/>
      <c r="AB272" s="169">
        <f>SUM(Y272:AA272)</f>
        <v>0</v>
      </c>
      <c r="AC272" s="172"/>
      <c r="AD272"/>
    </row>
    <row r="273" spans="1:30" ht="17.100000000000001" customHeight="1" thickBot="1">
      <c r="A273" s="177"/>
      <c r="B273" s="46" t="s">
        <v>294</v>
      </c>
      <c r="C273" s="46">
        <v>58285</v>
      </c>
      <c r="D273" s="47" t="s">
        <v>362</v>
      </c>
      <c r="E273" s="179"/>
      <c r="F273" s="48" t="s">
        <v>1312</v>
      </c>
      <c r="G273" s="49">
        <v>20175</v>
      </c>
      <c r="H273" s="181"/>
      <c r="I273" s="170"/>
      <c r="J273" s="170"/>
      <c r="K273" s="170"/>
      <c r="L273" s="170"/>
      <c r="M273" s="170"/>
      <c r="N273" s="170"/>
      <c r="O273" s="175"/>
      <c r="P273" s="71" t="s">
        <v>1313</v>
      </c>
      <c r="Q273" s="50" t="s">
        <v>89</v>
      </c>
      <c r="R273" s="51" t="s">
        <v>1314</v>
      </c>
      <c r="S273" s="52" t="s">
        <v>1315</v>
      </c>
      <c r="T273" s="53"/>
      <c r="U273" s="54"/>
      <c r="V273" s="55" t="s">
        <v>1079</v>
      </c>
      <c r="W273" s="56"/>
      <c r="X273" s="54"/>
      <c r="Y273" s="170"/>
      <c r="Z273" s="170"/>
      <c r="AA273" s="170"/>
      <c r="AB273" s="170"/>
      <c r="AC273" s="173"/>
      <c r="AD273"/>
    </row>
    <row r="274" spans="1:30" ht="17.100000000000001" customHeight="1" thickTop="1">
      <c r="A274" s="176" t="s">
        <v>1316</v>
      </c>
      <c r="B274" s="33">
        <v>44132</v>
      </c>
      <c r="C274" s="78" t="s">
        <v>1269</v>
      </c>
      <c r="D274" s="35" t="s">
        <v>419</v>
      </c>
      <c r="E274" s="178"/>
      <c r="F274" s="128" t="s">
        <v>788</v>
      </c>
      <c r="G274" s="37" t="s">
        <v>1297</v>
      </c>
      <c r="H274" s="180">
        <v>4.5</v>
      </c>
      <c r="I274" s="169">
        <v>2143000</v>
      </c>
      <c r="J274" s="169">
        <v>214300</v>
      </c>
      <c r="K274" s="169">
        <v>16400</v>
      </c>
      <c r="L274" s="169">
        <v>18960</v>
      </c>
      <c r="M274" s="169">
        <v>22000</v>
      </c>
      <c r="N274" s="169">
        <f>SUM(I274:M274)</f>
        <v>2414660</v>
      </c>
      <c r="O274" s="174">
        <v>1700000</v>
      </c>
      <c r="P274" s="160" t="s">
        <v>1317</v>
      </c>
      <c r="Q274" s="38" t="s">
        <v>88</v>
      </c>
      <c r="R274" s="39"/>
      <c r="S274" s="40" t="s">
        <v>652</v>
      </c>
      <c r="T274" s="41"/>
      <c r="U274" s="42"/>
      <c r="V274" s="43"/>
      <c r="W274" s="44"/>
      <c r="X274" s="45"/>
      <c r="Y274" s="169"/>
      <c r="Z274" s="171">
        <f>Y274*0.1</f>
        <v>0</v>
      </c>
      <c r="AA274" s="169"/>
      <c r="AB274" s="169">
        <f>SUM(Y274:AA274)</f>
        <v>0</v>
      </c>
      <c r="AC274" s="172"/>
      <c r="AD274"/>
    </row>
    <row r="275" spans="1:30" ht="17.100000000000001" customHeight="1" thickBot="1">
      <c r="A275" s="177"/>
      <c r="B275" s="46" t="s">
        <v>1318</v>
      </c>
      <c r="C275" s="46">
        <v>35142</v>
      </c>
      <c r="D275" s="47" t="s">
        <v>196</v>
      </c>
      <c r="E275" s="179"/>
      <c r="F275" s="48" t="s">
        <v>1319</v>
      </c>
      <c r="G275" s="49">
        <v>38451</v>
      </c>
      <c r="H275" s="181"/>
      <c r="I275" s="170"/>
      <c r="J275" s="170"/>
      <c r="K275" s="170"/>
      <c r="L275" s="170"/>
      <c r="M275" s="170"/>
      <c r="N275" s="170"/>
      <c r="O275" s="175"/>
      <c r="P275" s="71" t="s">
        <v>1320</v>
      </c>
      <c r="Q275" s="50" t="s">
        <v>89</v>
      </c>
      <c r="R275" s="51" t="s">
        <v>1321</v>
      </c>
      <c r="S275" s="52" t="s">
        <v>615</v>
      </c>
      <c r="T275" s="53"/>
      <c r="U275" s="54"/>
      <c r="V275" s="55"/>
      <c r="W275" s="56"/>
      <c r="X275" s="54"/>
      <c r="Y275" s="170"/>
      <c r="Z275" s="170"/>
      <c r="AA275" s="170"/>
      <c r="AB275" s="170"/>
      <c r="AC275" s="173"/>
      <c r="AD275"/>
    </row>
    <row r="276" spans="1:30" ht="17.100000000000001" customHeight="1" thickTop="1">
      <c r="A276" s="176" t="s">
        <v>1322</v>
      </c>
      <c r="B276" s="33">
        <v>44137</v>
      </c>
      <c r="C276" s="78" t="s">
        <v>1323</v>
      </c>
      <c r="D276" s="35" t="s">
        <v>517</v>
      </c>
      <c r="E276" s="178"/>
      <c r="F276" s="128" t="s">
        <v>379</v>
      </c>
      <c r="G276" s="37"/>
      <c r="H276" s="180">
        <v>4</v>
      </c>
      <c r="I276" s="169">
        <v>2240000</v>
      </c>
      <c r="J276" s="169">
        <v>224000</v>
      </c>
      <c r="K276" s="169">
        <v>0</v>
      </c>
      <c r="L276" s="169">
        <v>18960</v>
      </c>
      <c r="M276" s="169">
        <v>11000</v>
      </c>
      <c r="N276" s="169">
        <f>SUM(I276:M276)</f>
        <v>2493960</v>
      </c>
      <c r="O276" s="174">
        <v>1600000</v>
      </c>
      <c r="P276" s="160" t="s">
        <v>1324</v>
      </c>
      <c r="Q276" s="38" t="s">
        <v>88</v>
      </c>
      <c r="R276" s="39"/>
      <c r="S276" s="40" t="s">
        <v>1260</v>
      </c>
      <c r="T276" s="41"/>
      <c r="U276" s="42"/>
      <c r="V276" s="43"/>
      <c r="W276" s="44"/>
      <c r="X276" s="45"/>
      <c r="Y276" s="169"/>
      <c r="Z276" s="171">
        <f>Y276*0.1</f>
        <v>0</v>
      </c>
      <c r="AA276" s="169"/>
      <c r="AB276" s="169">
        <f>SUM(Y276:AA276)</f>
        <v>0</v>
      </c>
      <c r="AC276" s="172"/>
      <c r="AD276"/>
    </row>
    <row r="277" spans="1:30" ht="17.100000000000001" customHeight="1" thickBot="1">
      <c r="A277" s="177"/>
      <c r="B277" s="46" t="s">
        <v>804</v>
      </c>
      <c r="C277" s="46">
        <v>30505</v>
      </c>
      <c r="D277" s="47" t="s">
        <v>430</v>
      </c>
      <c r="E277" s="179"/>
      <c r="F277" s="48" t="s">
        <v>1325</v>
      </c>
      <c r="G277" s="49">
        <v>29687</v>
      </c>
      <c r="H277" s="181"/>
      <c r="I277" s="170"/>
      <c r="J277" s="170"/>
      <c r="K277" s="170"/>
      <c r="L277" s="170"/>
      <c r="M277" s="170"/>
      <c r="N277" s="170"/>
      <c r="O277" s="175"/>
      <c r="P277" s="71" t="s">
        <v>1326</v>
      </c>
      <c r="Q277" s="50" t="s">
        <v>89</v>
      </c>
      <c r="R277" s="51" t="s">
        <v>1327</v>
      </c>
      <c r="S277" s="52" t="s">
        <v>1328</v>
      </c>
      <c r="T277" s="53"/>
      <c r="U277" s="54"/>
      <c r="V277" s="55"/>
      <c r="W277" s="56"/>
      <c r="X277" s="54"/>
      <c r="Y277" s="170"/>
      <c r="Z277" s="170"/>
      <c r="AA277" s="170"/>
      <c r="AB277" s="170"/>
      <c r="AC277" s="173"/>
      <c r="AD277"/>
    </row>
    <row r="278" spans="1:30" ht="17.100000000000001" customHeight="1" thickTop="1">
      <c r="A278" s="176" t="s">
        <v>1329</v>
      </c>
      <c r="B278" s="33">
        <v>44140</v>
      </c>
      <c r="C278" s="78" t="s">
        <v>1330</v>
      </c>
      <c r="D278" s="35" t="s">
        <v>1331</v>
      </c>
      <c r="E278" s="178"/>
      <c r="F278" s="36" t="s">
        <v>1332</v>
      </c>
      <c r="G278" s="37" t="s">
        <v>1333</v>
      </c>
      <c r="H278" s="180">
        <v>4.5</v>
      </c>
      <c r="I278" s="169">
        <v>2850000</v>
      </c>
      <c r="J278" s="169">
        <v>285000</v>
      </c>
      <c r="K278" s="169">
        <v>13100</v>
      </c>
      <c r="L278" s="169">
        <v>17600</v>
      </c>
      <c r="M278" s="169">
        <v>22000</v>
      </c>
      <c r="N278" s="169">
        <f>SUM(I278:M278)</f>
        <v>3187700</v>
      </c>
      <c r="O278" s="174">
        <v>2200000</v>
      </c>
      <c r="P278" s="160" t="s">
        <v>1334</v>
      </c>
      <c r="Q278" s="38" t="s">
        <v>88</v>
      </c>
      <c r="R278" s="39"/>
      <c r="S278" s="40" t="s">
        <v>717</v>
      </c>
      <c r="T278" s="41"/>
      <c r="U278" s="42"/>
      <c r="V278" s="43" t="s">
        <v>1335</v>
      </c>
      <c r="W278" s="44"/>
      <c r="X278" s="45"/>
      <c r="Y278" s="169"/>
      <c r="Z278" s="171">
        <f>Y278*0.1</f>
        <v>0</v>
      </c>
      <c r="AA278" s="169"/>
      <c r="AB278" s="169">
        <f>SUM(Y278:AA278)</f>
        <v>0</v>
      </c>
      <c r="AC278" s="172"/>
      <c r="AD278"/>
    </row>
    <row r="279" spans="1:30" ht="17.100000000000001" customHeight="1" thickBot="1">
      <c r="A279" s="177"/>
      <c r="B279" s="46" t="s">
        <v>345</v>
      </c>
      <c r="C279" s="46">
        <v>145</v>
      </c>
      <c r="D279" s="47" t="s">
        <v>430</v>
      </c>
      <c r="E279" s="179"/>
      <c r="F279" s="48" t="s">
        <v>1336</v>
      </c>
      <c r="G279" s="49">
        <v>5682</v>
      </c>
      <c r="H279" s="181"/>
      <c r="I279" s="170"/>
      <c r="J279" s="170"/>
      <c r="K279" s="170"/>
      <c r="L279" s="170"/>
      <c r="M279" s="170"/>
      <c r="N279" s="170"/>
      <c r="O279" s="175"/>
      <c r="P279" s="71" t="s">
        <v>749</v>
      </c>
      <c r="Q279" s="50" t="s">
        <v>89</v>
      </c>
      <c r="R279" s="51" t="s">
        <v>1337</v>
      </c>
      <c r="S279" s="52" t="s">
        <v>1338</v>
      </c>
      <c r="T279" s="53"/>
      <c r="U279" s="54"/>
      <c r="V279" s="55" t="s">
        <v>1339</v>
      </c>
      <c r="W279" s="56"/>
      <c r="X279" s="54"/>
      <c r="Y279" s="170"/>
      <c r="Z279" s="170"/>
      <c r="AA279" s="170"/>
      <c r="AB279" s="170"/>
      <c r="AC279" s="173"/>
      <c r="AD279"/>
    </row>
    <row r="280" spans="1:30" ht="17.100000000000001" customHeight="1" thickTop="1">
      <c r="A280" s="176" t="s">
        <v>1340</v>
      </c>
      <c r="B280" s="33">
        <v>44146</v>
      </c>
      <c r="C280" s="78" t="s">
        <v>523</v>
      </c>
      <c r="D280" s="35" t="s">
        <v>1173</v>
      </c>
      <c r="E280" s="178"/>
      <c r="F280" s="128" t="s">
        <v>1341</v>
      </c>
      <c r="G280" s="37"/>
      <c r="H280" s="180">
        <v>4</v>
      </c>
      <c r="I280" s="169">
        <v>1700000</v>
      </c>
      <c r="J280" s="169">
        <v>170000</v>
      </c>
      <c r="K280" s="169">
        <v>0</v>
      </c>
      <c r="L280" s="169">
        <v>15570</v>
      </c>
      <c r="M280" s="169">
        <v>15950</v>
      </c>
      <c r="N280" s="169">
        <f>SUM(I280:M280)</f>
        <v>1901520</v>
      </c>
      <c r="O280" s="174">
        <v>1300000</v>
      </c>
      <c r="P280" s="160" t="s">
        <v>1342</v>
      </c>
      <c r="Q280" s="38" t="s">
        <v>88</v>
      </c>
      <c r="R280" s="39"/>
      <c r="S280" s="40" t="s">
        <v>1343</v>
      </c>
      <c r="T280" s="41"/>
      <c r="U280" s="42"/>
      <c r="V280" s="43"/>
      <c r="W280" s="44"/>
      <c r="X280" s="45"/>
      <c r="Y280" s="169"/>
      <c r="Z280" s="171">
        <f>Y280*0.1</f>
        <v>0</v>
      </c>
      <c r="AA280" s="169"/>
      <c r="AB280" s="169">
        <f>SUM(Y280:AA280)</f>
        <v>0</v>
      </c>
      <c r="AC280" s="172"/>
      <c r="AD280"/>
    </row>
    <row r="281" spans="1:30" ht="17.100000000000001" customHeight="1" thickBot="1">
      <c r="A281" s="177"/>
      <c r="B281" s="46" t="s">
        <v>792</v>
      </c>
      <c r="C281" s="46">
        <v>33235</v>
      </c>
      <c r="D281" s="47" t="s">
        <v>50</v>
      </c>
      <c r="E281" s="179"/>
      <c r="F281" s="48" t="s">
        <v>1344</v>
      </c>
      <c r="G281" s="49">
        <v>50111</v>
      </c>
      <c r="H281" s="181"/>
      <c r="I281" s="170"/>
      <c r="J281" s="170"/>
      <c r="K281" s="170"/>
      <c r="L281" s="170"/>
      <c r="M281" s="170"/>
      <c r="N281" s="170"/>
      <c r="O281" s="175"/>
      <c r="P281" s="71" t="s">
        <v>1345</v>
      </c>
      <c r="Q281" s="50" t="s">
        <v>89</v>
      </c>
      <c r="R281" s="51" t="s">
        <v>1346</v>
      </c>
      <c r="S281" s="52" t="s">
        <v>1347</v>
      </c>
      <c r="T281" s="53"/>
      <c r="U281" s="54"/>
      <c r="V281" s="55"/>
      <c r="W281" s="56"/>
      <c r="X281" s="54"/>
      <c r="Y281" s="170"/>
      <c r="Z281" s="170"/>
      <c r="AA281" s="170"/>
      <c r="AB281" s="170"/>
      <c r="AC281" s="173"/>
      <c r="AD281"/>
    </row>
    <row r="282" spans="1:30" ht="17.100000000000001" customHeight="1" thickTop="1">
      <c r="A282" s="176" t="s">
        <v>1348</v>
      </c>
      <c r="B282" s="33">
        <v>44146</v>
      </c>
      <c r="C282" s="78"/>
      <c r="D282" s="35" t="s">
        <v>468</v>
      </c>
      <c r="E282" s="178" t="s">
        <v>250</v>
      </c>
      <c r="F282" s="128" t="s">
        <v>1349</v>
      </c>
      <c r="G282" s="37" t="s">
        <v>1194</v>
      </c>
      <c r="H282" s="180">
        <v>4</v>
      </c>
      <c r="I282" s="169">
        <v>2504000</v>
      </c>
      <c r="J282" s="169">
        <v>250400</v>
      </c>
      <c r="K282" s="169">
        <v>11500</v>
      </c>
      <c r="L282" s="169">
        <v>11740</v>
      </c>
      <c r="M282" s="169">
        <v>22000</v>
      </c>
      <c r="N282" s="169">
        <f>SUM(I282:M282)</f>
        <v>2799640</v>
      </c>
      <c r="O282" s="174">
        <v>2000000</v>
      </c>
      <c r="P282" s="160" t="s">
        <v>1350</v>
      </c>
      <c r="Q282" s="38" t="s">
        <v>88</v>
      </c>
      <c r="R282" s="39"/>
      <c r="S282" s="40" t="s">
        <v>93</v>
      </c>
      <c r="T282" s="41"/>
      <c r="U282" s="42"/>
      <c r="V282" s="43" t="s">
        <v>1351</v>
      </c>
      <c r="W282" s="44"/>
      <c r="X282" s="45"/>
      <c r="Y282" s="169"/>
      <c r="Z282" s="171">
        <f>Y282*0.1</f>
        <v>0</v>
      </c>
      <c r="AA282" s="169"/>
      <c r="AB282" s="169">
        <f>SUM(Y282:AA282)</f>
        <v>0</v>
      </c>
      <c r="AC282" s="172"/>
      <c r="AD282"/>
    </row>
    <row r="283" spans="1:30" ht="17.100000000000001" customHeight="1" thickBot="1">
      <c r="A283" s="177"/>
      <c r="B283" s="46" t="s">
        <v>1318</v>
      </c>
      <c r="C283" s="46">
        <v>35079</v>
      </c>
      <c r="D283" s="47" t="s">
        <v>295</v>
      </c>
      <c r="E283" s="179"/>
      <c r="F283" s="48" t="s">
        <v>1352</v>
      </c>
      <c r="G283" s="49">
        <v>23841</v>
      </c>
      <c r="H283" s="181"/>
      <c r="I283" s="170"/>
      <c r="J283" s="170"/>
      <c r="K283" s="170"/>
      <c r="L283" s="170"/>
      <c r="M283" s="170"/>
      <c r="N283" s="170"/>
      <c r="O283" s="175"/>
      <c r="P283" s="71" t="s">
        <v>1353</v>
      </c>
      <c r="Q283" s="50" t="s">
        <v>89</v>
      </c>
      <c r="R283" s="51" t="s">
        <v>1354</v>
      </c>
      <c r="S283" s="52" t="s">
        <v>652</v>
      </c>
      <c r="T283" s="53"/>
      <c r="U283" s="54"/>
      <c r="V283" s="55" t="s">
        <v>1235</v>
      </c>
      <c r="W283" s="56"/>
      <c r="X283" s="54"/>
      <c r="Y283" s="170"/>
      <c r="Z283" s="170"/>
      <c r="AA283" s="170"/>
      <c r="AB283" s="170"/>
      <c r="AC283" s="173"/>
      <c r="AD283"/>
    </row>
    <row r="284" spans="1:30" ht="17.100000000000001" customHeight="1" thickTop="1">
      <c r="A284" s="176" t="s">
        <v>1355</v>
      </c>
      <c r="B284" s="33">
        <v>44147</v>
      </c>
      <c r="C284" s="78" t="s">
        <v>1356</v>
      </c>
      <c r="D284" s="35" t="s">
        <v>608</v>
      </c>
      <c r="E284" s="178"/>
      <c r="F284" s="128" t="s">
        <v>1357</v>
      </c>
      <c r="G284" s="37"/>
      <c r="H284" s="180">
        <v>4</v>
      </c>
      <c r="I284" s="169">
        <v>1690000</v>
      </c>
      <c r="J284" s="169">
        <v>169000</v>
      </c>
      <c r="K284" s="169">
        <v>0</v>
      </c>
      <c r="L284" s="169">
        <v>17700</v>
      </c>
      <c r="M284" s="169">
        <v>13200</v>
      </c>
      <c r="N284" s="169">
        <f>SUM(I284:M284)</f>
        <v>1889900</v>
      </c>
      <c r="O284" s="174">
        <v>1200000</v>
      </c>
      <c r="P284" s="160" t="s">
        <v>1358</v>
      </c>
      <c r="Q284" s="38" t="s">
        <v>88</v>
      </c>
      <c r="R284" s="39"/>
      <c r="S284" s="40" t="s">
        <v>1038</v>
      </c>
      <c r="T284" s="41"/>
      <c r="U284" s="42"/>
      <c r="V284" s="43"/>
      <c r="W284" s="44"/>
      <c r="X284" s="45"/>
      <c r="Y284" s="169"/>
      <c r="Z284" s="171">
        <f>Y284*0.1</f>
        <v>0</v>
      </c>
      <c r="AA284" s="169"/>
      <c r="AB284" s="169">
        <f>SUM(Y284:AA284)</f>
        <v>0</v>
      </c>
      <c r="AC284" s="172"/>
      <c r="AD284"/>
    </row>
    <row r="285" spans="1:30" ht="17.100000000000001" customHeight="1" thickBot="1">
      <c r="A285" s="177"/>
      <c r="B285" s="46" t="s">
        <v>229</v>
      </c>
      <c r="C285" s="46">
        <v>75432</v>
      </c>
      <c r="D285" s="47" t="s">
        <v>870</v>
      </c>
      <c r="E285" s="179"/>
      <c r="F285" s="48" t="s">
        <v>1359</v>
      </c>
      <c r="G285" s="49">
        <v>11941</v>
      </c>
      <c r="H285" s="181"/>
      <c r="I285" s="170"/>
      <c r="J285" s="170"/>
      <c r="K285" s="170"/>
      <c r="L285" s="170"/>
      <c r="M285" s="170"/>
      <c r="N285" s="170"/>
      <c r="O285" s="175"/>
      <c r="P285" s="71" t="s">
        <v>1360</v>
      </c>
      <c r="Q285" s="50" t="s">
        <v>89</v>
      </c>
      <c r="R285" s="51" t="s">
        <v>1354</v>
      </c>
      <c r="S285" s="52" t="s">
        <v>722</v>
      </c>
      <c r="T285" s="53"/>
      <c r="U285" s="54"/>
      <c r="V285" s="55"/>
      <c r="W285" s="56"/>
      <c r="X285" s="54"/>
      <c r="Y285" s="170"/>
      <c r="Z285" s="170"/>
      <c r="AA285" s="170"/>
      <c r="AB285" s="170"/>
      <c r="AC285" s="173"/>
      <c r="AD285"/>
    </row>
    <row r="286" spans="1:30" ht="17.100000000000001" customHeight="1" thickTop="1">
      <c r="A286" s="176" t="s">
        <v>1361</v>
      </c>
      <c r="B286" s="33">
        <v>44147</v>
      </c>
      <c r="C286" s="78" t="s">
        <v>1356</v>
      </c>
      <c r="D286" s="35" t="s">
        <v>1362</v>
      </c>
      <c r="E286" s="178" t="s">
        <v>250</v>
      </c>
      <c r="F286" s="128" t="s">
        <v>1363</v>
      </c>
      <c r="G286" s="37" t="s">
        <v>1364</v>
      </c>
      <c r="H286" s="180">
        <v>4</v>
      </c>
      <c r="I286" s="169">
        <v>2345000</v>
      </c>
      <c r="J286" s="169">
        <v>234500</v>
      </c>
      <c r="K286" s="169">
        <v>13100</v>
      </c>
      <c r="L286" s="169">
        <v>22640</v>
      </c>
      <c r="M286" s="169">
        <v>13200</v>
      </c>
      <c r="N286" s="169">
        <f>SUM(I286:M286)</f>
        <v>2628440</v>
      </c>
      <c r="O286" s="174">
        <v>2000000</v>
      </c>
      <c r="P286" s="160" t="s">
        <v>1365</v>
      </c>
      <c r="Q286" s="38" t="s">
        <v>88</v>
      </c>
      <c r="R286" s="39"/>
      <c r="S286" s="40" t="s">
        <v>1038</v>
      </c>
      <c r="T286" s="41"/>
      <c r="U286" s="42"/>
      <c r="V286" s="43" t="s">
        <v>1366</v>
      </c>
      <c r="W286" s="44"/>
      <c r="X286" s="45"/>
      <c r="Y286" s="169"/>
      <c r="Z286" s="171">
        <f>Y286*0.1</f>
        <v>0</v>
      </c>
      <c r="AA286" s="169"/>
      <c r="AB286" s="169">
        <f>SUM(Y286:AA286)</f>
        <v>0</v>
      </c>
      <c r="AC286" s="172"/>
      <c r="AD286"/>
    </row>
    <row r="287" spans="1:30" ht="17.100000000000001" customHeight="1" thickBot="1">
      <c r="A287" s="177"/>
      <c r="B287" s="46" t="s">
        <v>229</v>
      </c>
      <c r="C287" s="46">
        <v>75632</v>
      </c>
      <c r="D287" s="47" t="s">
        <v>362</v>
      </c>
      <c r="E287" s="179"/>
      <c r="F287" s="48" t="s">
        <v>1367</v>
      </c>
      <c r="G287" s="49">
        <v>40126</v>
      </c>
      <c r="H287" s="181"/>
      <c r="I287" s="170"/>
      <c r="J287" s="170"/>
      <c r="K287" s="170"/>
      <c r="L287" s="170"/>
      <c r="M287" s="170"/>
      <c r="N287" s="170"/>
      <c r="O287" s="175"/>
      <c r="P287" s="71" t="s">
        <v>1368</v>
      </c>
      <c r="Q287" s="50" t="s">
        <v>89</v>
      </c>
      <c r="R287" s="51" t="s">
        <v>1354</v>
      </c>
      <c r="S287" s="52" t="s">
        <v>1369</v>
      </c>
      <c r="T287" s="53"/>
      <c r="U287" s="54"/>
      <c r="V287" s="55" t="s">
        <v>183</v>
      </c>
      <c r="W287" s="56"/>
      <c r="X287" s="54"/>
      <c r="Y287" s="170"/>
      <c r="Z287" s="170"/>
      <c r="AA287" s="170"/>
      <c r="AB287" s="170"/>
      <c r="AC287" s="173"/>
      <c r="AD287"/>
    </row>
    <row r="288" spans="1:30" ht="17.100000000000001" customHeight="1" thickTop="1">
      <c r="A288" s="176" t="s">
        <v>1370</v>
      </c>
      <c r="B288" s="33">
        <v>44148</v>
      </c>
      <c r="C288" s="78" t="s">
        <v>1371</v>
      </c>
      <c r="D288" s="35" t="s">
        <v>1082</v>
      </c>
      <c r="E288" s="178"/>
      <c r="F288" s="128" t="s">
        <v>1372</v>
      </c>
      <c r="G288" s="37"/>
      <c r="H288" s="180">
        <v>4.5</v>
      </c>
      <c r="I288" s="169">
        <v>1705000</v>
      </c>
      <c r="J288" s="169">
        <v>170500</v>
      </c>
      <c r="K288" s="169">
        <v>0</v>
      </c>
      <c r="L288" s="169">
        <v>18110</v>
      </c>
      <c r="M288" s="169">
        <v>13200</v>
      </c>
      <c r="N288" s="169">
        <f>SUM(I288:M288)</f>
        <v>1906810</v>
      </c>
      <c r="O288" s="174">
        <v>1300000</v>
      </c>
      <c r="P288" s="160" t="s">
        <v>1373</v>
      </c>
      <c r="Q288" s="38" t="s">
        <v>88</v>
      </c>
      <c r="R288" s="39"/>
      <c r="S288" s="40" t="s">
        <v>1299</v>
      </c>
      <c r="T288" s="41"/>
      <c r="U288" s="42"/>
      <c r="V288" s="43"/>
      <c r="W288" s="44"/>
      <c r="X288" s="45"/>
      <c r="Y288" s="169"/>
      <c r="Z288" s="171">
        <f>Y288*0.1</f>
        <v>0</v>
      </c>
      <c r="AA288" s="169"/>
      <c r="AB288" s="169">
        <f>SUM(Y288:AA288)</f>
        <v>0</v>
      </c>
      <c r="AC288" s="172"/>
      <c r="AD288"/>
    </row>
    <row r="289" spans="1:30" ht="17.100000000000001" customHeight="1" thickBot="1">
      <c r="A289" s="177"/>
      <c r="B289" s="46" t="s">
        <v>1374</v>
      </c>
      <c r="C289" s="46">
        <v>80054</v>
      </c>
      <c r="D289" s="47" t="s">
        <v>568</v>
      </c>
      <c r="E289" s="179"/>
      <c r="F289" s="48" t="s">
        <v>1375</v>
      </c>
      <c r="G289" s="49">
        <v>14079</v>
      </c>
      <c r="H289" s="181"/>
      <c r="I289" s="170"/>
      <c r="J289" s="170"/>
      <c r="K289" s="170"/>
      <c r="L289" s="170"/>
      <c r="M289" s="170"/>
      <c r="N289" s="170"/>
      <c r="O289" s="175"/>
      <c r="P289" s="71" t="s">
        <v>1376</v>
      </c>
      <c r="Q289" s="50" t="s">
        <v>89</v>
      </c>
      <c r="R289" s="51" t="s">
        <v>1354</v>
      </c>
      <c r="S289" s="52" t="s">
        <v>722</v>
      </c>
      <c r="T289" s="53"/>
      <c r="U289" s="54"/>
      <c r="V289" s="55"/>
      <c r="W289" s="56"/>
      <c r="X289" s="54"/>
      <c r="Y289" s="170"/>
      <c r="Z289" s="170"/>
      <c r="AA289" s="170"/>
      <c r="AB289" s="170"/>
      <c r="AC289" s="173"/>
      <c r="AD289"/>
    </row>
    <row r="290" spans="1:30" ht="17.100000000000001" customHeight="1" thickTop="1">
      <c r="A290" s="176" t="s">
        <v>1377</v>
      </c>
      <c r="B290" s="33">
        <v>44148</v>
      </c>
      <c r="C290" s="78" t="s">
        <v>1378</v>
      </c>
      <c r="D290" s="35" t="s">
        <v>1379</v>
      </c>
      <c r="E290" s="178"/>
      <c r="F290" s="128" t="s">
        <v>267</v>
      </c>
      <c r="G290" s="37" t="s">
        <v>1380</v>
      </c>
      <c r="H290" s="180">
        <v>4.5</v>
      </c>
      <c r="I290" s="169">
        <v>1788000</v>
      </c>
      <c r="J290" s="169">
        <v>178800</v>
      </c>
      <c r="K290" s="169">
        <v>13100</v>
      </c>
      <c r="L290" s="169">
        <v>17700</v>
      </c>
      <c r="M290" s="169">
        <v>22000</v>
      </c>
      <c r="N290" s="169">
        <f>SUM(I290:M290)</f>
        <v>2019600</v>
      </c>
      <c r="O290" s="174">
        <v>1300000</v>
      </c>
      <c r="P290" s="160" t="s">
        <v>1381</v>
      </c>
      <c r="Q290" s="38" t="s">
        <v>88</v>
      </c>
      <c r="R290" s="39"/>
      <c r="S290" s="40" t="s">
        <v>1299</v>
      </c>
      <c r="T290" s="41"/>
      <c r="U290" s="42"/>
      <c r="V290" s="43" t="s">
        <v>1382</v>
      </c>
      <c r="W290" s="44"/>
      <c r="X290" s="45"/>
      <c r="Y290" s="169"/>
      <c r="Z290" s="171">
        <f>Y290*0.1</f>
        <v>0</v>
      </c>
      <c r="AA290" s="169"/>
      <c r="AB290" s="169">
        <f>SUM(Y290:AA290)</f>
        <v>0</v>
      </c>
      <c r="AC290" s="172"/>
      <c r="AD290"/>
    </row>
    <row r="291" spans="1:30" ht="17.100000000000001" customHeight="1" thickBot="1">
      <c r="A291" s="177"/>
      <c r="B291" s="46" t="s">
        <v>1383</v>
      </c>
      <c r="C291" s="46">
        <v>40046</v>
      </c>
      <c r="D291" s="47" t="s">
        <v>793</v>
      </c>
      <c r="E291" s="179"/>
      <c r="F291" s="48" t="s">
        <v>1384</v>
      </c>
      <c r="G291" s="49">
        <v>40515</v>
      </c>
      <c r="H291" s="181"/>
      <c r="I291" s="170"/>
      <c r="J291" s="170"/>
      <c r="K291" s="170"/>
      <c r="L291" s="170"/>
      <c r="M291" s="170"/>
      <c r="N291" s="170"/>
      <c r="O291" s="175"/>
      <c r="P291" s="71" t="s">
        <v>1385</v>
      </c>
      <c r="Q291" s="50" t="s">
        <v>89</v>
      </c>
      <c r="R291" s="51" t="s">
        <v>1354</v>
      </c>
      <c r="S291" s="52" t="s">
        <v>1386</v>
      </c>
      <c r="T291" s="53"/>
      <c r="U291" s="54" t="s">
        <v>1387</v>
      </c>
      <c r="V291" s="55" t="s">
        <v>183</v>
      </c>
      <c r="W291" s="56"/>
      <c r="X291" s="54"/>
      <c r="Y291" s="170"/>
      <c r="Z291" s="170"/>
      <c r="AA291" s="170"/>
      <c r="AB291" s="170"/>
      <c r="AC291" s="173"/>
      <c r="AD291"/>
    </row>
    <row r="292" spans="1:30" ht="17.100000000000001" customHeight="1" thickTop="1">
      <c r="A292" s="176" t="s">
        <v>1388</v>
      </c>
      <c r="B292" s="33">
        <v>44148</v>
      </c>
      <c r="C292" s="78" t="s">
        <v>1389</v>
      </c>
      <c r="D292" s="35" t="s">
        <v>1390</v>
      </c>
      <c r="E292" s="178"/>
      <c r="F292" s="128" t="s">
        <v>1193</v>
      </c>
      <c r="G292" s="37" t="s">
        <v>1391</v>
      </c>
      <c r="H292" s="180">
        <v>4.5</v>
      </c>
      <c r="I292" s="169">
        <v>1555000</v>
      </c>
      <c r="J292" s="169">
        <v>155500</v>
      </c>
      <c r="K292" s="169">
        <v>13100</v>
      </c>
      <c r="L292" s="169">
        <v>14620</v>
      </c>
      <c r="M292" s="169">
        <v>13200</v>
      </c>
      <c r="N292" s="169">
        <f>SUM(I292:M292)</f>
        <v>1751420</v>
      </c>
      <c r="O292" s="174">
        <v>1100000</v>
      </c>
      <c r="P292" s="160" t="s">
        <v>1392</v>
      </c>
      <c r="Q292" s="38" t="s">
        <v>88</v>
      </c>
      <c r="R292" s="39"/>
      <c r="S292" s="40" t="s">
        <v>943</v>
      </c>
      <c r="T292" s="41"/>
      <c r="U292" s="42"/>
      <c r="V292" s="43"/>
      <c r="W292" s="44"/>
      <c r="X292" s="45"/>
      <c r="Y292" s="169"/>
      <c r="Z292" s="171">
        <f>Y292*0.1</f>
        <v>0</v>
      </c>
      <c r="AA292" s="169"/>
      <c r="AB292" s="169">
        <f>SUM(Y292:AA292)</f>
        <v>0</v>
      </c>
      <c r="AC292" s="172"/>
      <c r="AD292"/>
    </row>
    <row r="293" spans="1:30" ht="17.100000000000001" customHeight="1" thickBot="1">
      <c r="A293" s="177"/>
      <c r="B293" s="46" t="s">
        <v>294</v>
      </c>
      <c r="C293" s="46">
        <v>58317</v>
      </c>
      <c r="D293" s="47" t="s">
        <v>1393</v>
      </c>
      <c r="E293" s="179"/>
      <c r="F293" s="48" t="s">
        <v>1394</v>
      </c>
      <c r="G293" s="49">
        <v>16820</v>
      </c>
      <c r="H293" s="181"/>
      <c r="I293" s="170"/>
      <c r="J293" s="170"/>
      <c r="K293" s="170"/>
      <c r="L293" s="170"/>
      <c r="M293" s="170"/>
      <c r="N293" s="170"/>
      <c r="O293" s="175"/>
      <c r="P293" s="71" t="s">
        <v>1395</v>
      </c>
      <c r="Q293" s="50" t="s">
        <v>89</v>
      </c>
      <c r="R293" s="51" t="s">
        <v>1354</v>
      </c>
      <c r="S293" s="52" t="s">
        <v>1396</v>
      </c>
      <c r="T293" s="53"/>
      <c r="U293" s="54"/>
      <c r="V293" s="55"/>
      <c r="W293" s="56"/>
      <c r="X293" s="54"/>
      <c r="Y293" s="170"/>
      <c r="Z293" s="170"/>
      <c r="AA293" s="170"/>
      <c r="AB293" s="170"/>
      <c r="AC293" s="173"/>
      <c r="AD293"/>
    </row>
    <row r="294" spans="1:30" ht="17.100000000000001" customHeight="1" thickTop="1">
      <c r="A294" s="176" t="s">
        <v>1397</v>
      </c>
      <c r="B294" s="33">
        <v>44149</v>
      </c>
      <c r="C294" s="78" t="s">
        <v>1398</v>
      </c>
      <c r="D294" s="35" t="s">
        <v>629</v>
      </c>
      <c r="E294" s="178"/>
      <c r="F294" s="128" t="s">
        <v>1399</v>
      </c>
      <c r="G294" s="37" t="s">
        <v>1364</v>
      </c>
      <c r="H294" s="180">
        <v>4</v>
      </c>
      <c r="I294" s="169">
        <v>1410000</v>
      </c>
      <c r="J294" s="169">
        <v>141000</v>
      </c>
      <c r="K294" s="169">
        <v>13100</v>
      </c>
      <c r="L294" s="169">
        <v>19750</v>
      </c>
      <c r="M294" s="169">
        <v>13200</v>
      </c>
      <c r="N294" s="169">
        <f>SUM(I294:M294)</f>
        <v>1597050</v>
      </c>
      <c r="O294" s="174">
        <v>900000</v>
      </c>
      <c r="P294" s="160" t="s">
        <v>1400</v>
      </c>
      <c r="Q294" s="38" t="s">
        <v>88</v>
      </c>
      <c r="R294" s="39"/>
      <c r="S294" s="40" t="s">
        <v>943</v>
      </c>
      <c r="T294" s="41"/>
      <c r="U294" s="42"/>
      <c r="V294" s="43" t="s">
        <v>1401</v>
      </c>
      <c r="W294" s="44"/>
      <c r="X294" s="45"/>
      <c r="Y294" s="169"/>
      <c r="Z294" s="171">
        <f>Y294*0.1</f>
        <v>0</v>
      </c>
      <c r="AA294" s="169"/>
      <c r="AB294" s="169">
        <f>SUM(Y294:AA294)</f>
        <v>0</v>
      </c>
      <c r="AC294" s="172"/>
      <c r="AD294"/>
    </row>
    <row r="295" spans="1:30" ht="17.100000000000001" customHeight="1" thickBot="1">
      <c r="A295" s="177"/>
      <c r="B295" s="46" t="s">
        <v>115</v>
      </c>
      <c r="C295" s="46">
        <v>82283</v>
      </c>
      <c r="D295" s="47" t="s">
        <v>312</v>
      </c>
      <c r="E295" s="179"/>
      <c r="F295" s="48" t="s">
        <v>1402</v>
      </c>
      <c r="G295" s="49">
        <v>41488</v>
      </c>
      <c r="H295" s="181"/>
      <c r="I295" s="170"/>
      <c r="J295" s="170"/>
      <c r="K295" s="170"/>
      <c r="L295" s="170"/>
      <c r="M295" s="170"/>
      <c r="N295" s="170"/>
      <c r="O295" s="175"/>
      <c r="P295" s="71" t="s">
        <v>1403</v>
      </c>
      <c r="Q295" s="50" t="s">
        <v>89</v>
      </c>
      <c r="R295" s="51" t="s">
        <v>1404</v>
      </c>
      <c r="S295" s="52" t="s">
        <v>1405</v>
      </c>
      <c r="T295" s="53"/>
      <c r="U295" s="54" t="s">
        <v>1406</v>
      </c>
      <c r="V295" s="55" t="s">
        <v>183</v>
      </c>
      <c r="W295" s="56"/>
      <c r="X295" s="54"/>
      <c r="Y295" s="170"/>
      <c r="Z295" s="170"/>
      <c r="AA295" s="170"/>
      <c r="AB295" s="170"/>
      <c r="AC295" s="173"/>
      <c r="AD295"/>
    </row>
    <row r="296" spans="1:30" ht="17.100000000000001" customHeight="1" thickTop="1">
      <c r="A296" s="176" t="s">
        <v>1407</v>
      </c>
      <c r="B296" s="33">
        <v>44154</v>
      </c>
      <c r="C296" s="78" t="s">
        <v>1408</v>
      </c>
      <c r="D296" s="35" t="s">
        <v>1409</v>
      </c>
      <c r="E296" s="178"/>
      <c r="F296" s="128" t="s">
        <v>1410</v>
      </c>
      <c r="G296" s="37" t="s">
        <v>1309</v>
      </c>
      <c r="H296" s="180">
        <v>4</v>
      </c>
      <c r="I296" s="169">
        <v>2850000</v>
      </c>
      <c r="J296" s="169">
        <v>285000</v>
      </c>
      <c r="K296" s="169">
        <v>13100</v>
      </c>
      <c r="L296" s="169">
        <v>19540</v>
      </c>
      <c r="M296" s="169">
        <v>13200</v>
      </c>
      <c r="N296" s="169">
        <f>SUM(I296:M296)</f>
        <v>3180840</v>
      </c>
      <c r="O296" s="174">
        <v>2500000</v>
      </c>
      <c r="P296" s="160" t="s">
        <v>1411</v>
      </c>
      <c r="Q296" s="38" t="s">
        <v>88</v>
      </c>
      <c r="R296" s="39"/>
      <c r="S296" s="40" t="s">
        <v>1038</v>
      </c>
      <c r="T296" s="41"/>
      <c r="U296" s="42"/>
      <c r="V296" s="43" t="s">
        <v>1412</v>
      </c>
      <c r="W296" s="44"/>
      <c r="X296" s="45"/>
      <c r="Y296" s="169"/>
      <c r="Z296" s="171">
        <f>Y296*0.1</f>
        <v>0</v>
      </c>
      <c r="AA296" s="169"/>
      <c r="AB296" s="169">
        <f>SUM(Y296:AA296)</f>
        <v>0</v>
      </c>
      <c r="AC296" s="172"/>
      <c r="AD296"/>
    </row>
    <row r="297" spans="1:30" ht="17.100000000000001" customHeight="1" thickBot="1">
      <c r="A297" s="177"/>
      <c r="B297" s="46" t="s">
        <v>345</v>
      </c>
      <c r="C297" s="46">
        <v>7</v>
      </c>
      <c r="D297" s="47" t="s">
        <v>45</v>
      </c>
      <c r="E297" s="179"/>
      <c r="F297" s="48" t="s">
        <v>1413</v>
      </c>
      <c r="G297" s="49">
        <v>27191</v>
      </c>
      <c r="H297" s="181"/>
      <c r="I297" s="170"/>
      <c r="J297" s="170"/>
      <c r="K297" s="170"/>
      <c r="L297" s="170"/>
      <c r="M297" s="170"/>
      <c r="N297" s="170"/>
      <c r="O297" s="175"/>
      <c r="P297" s="71" t="s">
        <v>1414</v>
      </c>
      <c r="Q297" s="50" t="s">
        <v>89</v>
      </c>
      <c r="R297" s="51" t="s">
        <v>796</v>
      </c>
      <c r="S297" s="52" t="s">
        <v>722</v>
      </c>
      <c r="T297" s="53"/>
      <c r="U297" s="54"/>
      <c r="V297" s="55" t="s">
        <v>183</v>
      </c>
      <c r="W297" s="56"/>
      <c r="X297" s="54"/>
      <c r="Y297" s="170"/>
      <c r="Z297" s="170"/>
      <c r="AA297" s="170"/>
      <c r="AB297" s="170"/>
      <c r="AC297" s="173"/>
      <c r="AD297"/>
    </row>
    <row r="298" spans="1:30" ht="17.100000000000001" customHeight="1" thickTop="1">
      <c r="A298" s="176" t="s">
        <v>1415</v>
      </c>
      <c r="B298" s="33">
        <v>44154</v>
      </c>
      <c r="C298" s="78" t="s">
        <v>1408</v>
      </c>
      <c r="D298" s="35" t="s">
        <v>1416</v>
      </c>
      <c r="E298" s="178"/>
      <c r="F298" s="128" t="s">
        <v>379</v>
      </c>
      <c r="G298" s="37" t="s">
        <v>1417</v>
      </c>
      <c r="H298" s="180">
        <v>4</v>
      </c>
      <c r="I298" s="169">
        <v>1275000</v>
      </c>
      <c r="J298" s="169">
        <v>127500</v>
      </c>
      <c r="K298" s="169">
        <v>11500</v>
      </c>
      <c r="L298" s="169">
        <v>18960</v>
      </c>
      <c r="M298" s="169">
        <v>13200</v>
      </c>
      <c r="N298" s="169">
        <f>SUM(I298:M298)</f>
        <v>1446160</v>
      </c>
      <c r="O298" s="174">
        <v>1100000</v>
      </c>
      <c r="P298" s="160" t="s">
        <v>1418</v>
      </c>
      <c r="Q298" s="38" t="s">
        <v>88</v>
      </c>
      <c r="R298" s="39"/>
      <c r="S298" s="40" t="s">
        <v>652</v>
      </c>
      <c r="T298" s="41"/>
      <c r="U298" s="42"/>
      <c r="V298" s="43"/>
      <c r="W298" s="44"/>
      <c r="X298" s="45"/>
      <c r="Y298" s="169"/>
      <c r="Z298" s="171">
        <f>Y298*0.1</f>
        <v>0</v>
      </c>
      <c r="AA298" s="169"/>
      <c r="AB298" s="169">
        <f>SUM(Y298:AA298)</f>
        <v>0</v>
      </c>
      <c r="AC298" s="172"/>
      <c r="AD298"/>
    </row>
    <row r="299" spans="1:30" ht="17.100000000000001" customHeight="1" thickBot="1">
      <c r="A299" s="177"/>
      <c r="B299" s="46" t="s">
        <v>345</v>
      </c>
      <c r="C299" s="46">
        <v>374</v>
      </c>
      <c r="D299" s="47" t="s">
        <v>1419</v>
      </c>
      <c r="E299" s="179"/>
      <c r="F299" s="48" t="s">
        <v>1420</v>
      </c>
      <c r="G299" s="49">
        <v>30344</v>
      </c>
      <c r="H299" s="181"/>
      <c r="I299" s="170"/>
      <c r="J299" s="170"/>
      <c r="K299" s="170"/>
      <c r="L299" s="170"/>
      <c r="M299" s="170"/>
      <c r="N299" s="170"/>
      <c r="O299" s="175"/>
      <c r="P299" s="71" t="s">
        <v>749</v>
      </c>
      <c r="Q299" s="50" t="s">
        <v>89</v>
      </c>
      <c r="R299" s="51" t="s">
        <v>1421</v>
      </c>
      <c r="S299" s="52" t="s">
        <v>615</v>
      </c>
      <c r="T299" s="53"/>
      <c r="U299" s="54"/>
      <c r="V299" s="55"/>
      <c r="W299" s="56"/>
      <c r="X299" s="54"/>
      <c r="Y299" s="170"/>
      <c r="Z299" s="170"/>
      <c r="AA299" s="170"/>
      <c r="AB299" s="170"/>
      <c r="AC299" s="173"/>
      <c r="AD299"/>
    </row>
    <row r="300" spans="1:30" ht="17.100000000000001" customHeight="1" thickTop="1">
      <c r="A300" s="176" t="s">
        <v>1422</v>
      </c>
      <c r="B300" s="33">
        <v>44154</v>
      </c>
      <c r="C300" s="78" t="s">
        <v>1408</v>
      </c>
      <c r="D300" s="35" t="s">
        <v>1423</v>
      </c>
      <c r="E300" s="178"/>
      <c r="F300" s="128" t="s">
        <v>1363</v>
      </c>
      <c r="G300" s="37"/>
      <c r="H300" s="180">
        <v>5</v>
      </c>
      <c r="I300" s="169">
        <v>2520000</v>
      </c>
      <c r="J300" s="169">
        <v>252000</v>
      </c>
      <c r="K300" s="169">
        <v>0</v>
      </c>
      <c r="L300" s="169">
        <v>22640</v>
      </c>
      <c r="M300" s="169">
        <v>13200</v>
      </c>
      <c r="N300" s="169">
        <f>SUM(I300:M300)</f>
        <v>2807840</v>
      </c>
      <c r="O300" s="174">
        <v>2100000</v>
      </c>
      <c r="P300" s="160" t="s">
        <v>1424</v>
      </c>
      <c r="Q300" s="38" t="s">
        <v>88</v>
      </c>
      <c r="R300" s="39"/>
      <c r="S300" s="40" t="s">
        <v>1038</v>
      </c>
      <c r="T300" s="41"/>
      <c r="U300" s="42"/>
      <c r="V300" s="43"/>
      <c r="W300" s="44"/>
      <c r="X300" s="45"/>
      <c r="Y300" s="169"/>
      <c r="Z300" s="171">
        <f>Y300*0.1</f>
        <v>0</v>
      </c>
      <c r="AA300" s="169"/>
      <c r="AB300" s="169">
        <f>SUM(Y300:AA300)</f>
        <v>0</v>
      </c>
      <c r="AC300" s="172"/>
      <c r="AD300"/>
    </row>
    <row r="301" spans="1:30" ht="17.100000000000001" customHeight="1" thickBot="1">
      <c r="A301" s="177"/>
      <c r="B301" s="46" t="s">
        <v>345</v>
      </c>
      <c r="C301" s="46">
        <v>581</v>
      </c>
      <c r="D301" s="47" t="s">
        <v>919</v>
      </c>
      <c r="E301" s="179"/>
      <c r="F301" s="48" t="s">
        <v>1425</v>
      </c>
      <c r="G301" s="49">
        <v>26534</v>
      </c>
      <c r="H301" s="181"/>
      <c r="I301" s="170"/>
      <c r="J301" s="170"/>
      <c r="K301" s="170"/>
      <c r="L301" s="170"/>
      <c r="M301" s="170"/>
      <c r="N301" s="170"/>
      <c r="O301" s="175"/>
      <c r="P301" s="71" t="s">
        <v>1111</v>
      </c>
      <c r="Q301" s="50" t="s">
        <v>89</v>
      </c>
      <c r="R301" s="51" t="s">
        <v>1421</v>
      </c>
      <c r="S301" s="52" t="s">
        <v>1426</v>
      </c>
      <c r="T301" s="53"/>
      <c r="U301" s="54" t="s">
        <v>1406</v>
      </c>
      <c r="V301" s="55"/>
      <c r="W301" s="56"/>
      <c r="X301" s="54"/>
      <c r="Y301" s="170"/>
      <c r="Z301" s="170"/>
      <c r="AA301" s="170"/>
      <c r="AB301" s="170"/>
      <c r="AC301" s="173"/>
      <c r="AD301"/>
    </row>
    <row r="302" spans="1:30" ht="17.100000000000001" customHeight="1" thickTop="1">
      <c r="A302" s="176" t="s">
        <v>1427</v>
      </c>
      <c r="B302" s="33">
        <v>44168</v>
      </c>
      <c r="C302" s="78" t="s">
        <v>1428</v>
      </c>
      <c r="D302" s="35" t="s">
        <v>1082</v>
      </c>
      <c r="E302" s="178"/>
      <c r="F302" s="128" t="s">
        <v>1429</v>
      </c>
      <c r="G302" s="37"/>
      <c r="H302" s="180">
        <v>4</v>
      </c>
      <c r="I302" s="169">
        <v>1520000</v>
      </c>
      <c r="J302" s="169">
        <v>152000</v>
      </c>
      <c r="K302" s="169">
        <v>0</v>
      </c>
      <c r="L302" s="169">
        <v>18960</v>
      </c>
      <c r="M302" s="169">
        <v>13200</v>
      </c>
      <c r="N302" s="169">
        <f>SUM(I302:M302)</f>
        <v>1704160</v>
      </c>
      <c r="O302" s="174">
        <v>1300000</v>
      </c>
      <c r="P302" s="160" t="s">
        <v>1430</v>
      </c>
      <c r="Q302" s="38" t="s">
        <v>88</v>
      </c>
      <c r="R302" s="39"/>
      <c r="S302" s="40" t="s">
        <v>652</v>
      </c>
      <c r="T302" s="41"/>
      <c r="U302" s="42"/>
      <c r="V302" s="43"/>
      <c r="W302" s="44"/>
      <c r="X302" s="45"/>
      <c r="Y302" s="169"/>
      <c r="Z302" s="171">
        <f>Y302*0.1</f>
        <v>0</v>
      </c>
      <c r="AA302" s="169"/>
      <c r="AB302" s="169">
        <f>SUM(Y302:AA302)</f>
        <v>0</v>
      </c>
      <c r="AC302" s="172"/>
      <c r="AD302"/>
    </row>
    <row r="303" spans="1:30" ht="17.100000000000001" customHeight="1" thickBot="1">
      <c r="A303" s="177"/>
      <c r="B303" s="46" t="s">
        <v>345</v>
      </c>
      <c r="C303" s="46">
        <v>365</v>
      </c>
      <c r="D303" s="47" t="s">
        <v>1431</v>
      </c>
      <c r="E303" s="179"/>
      <c r="F303" s="48" t="s">
        <v>1432</v>
      </c>
      <c r="G303" s="49">
        <v>56438</v>
      </c>
      <c r="H303" s="181"/>
      <c r="I303" s="170"/>
      <c r="J303" s="170"/>
      <c r="K303" s="170"/>
      <c r="L303" s="170"/>
      <c r="M303" s="170"/>
      <c r="N303" s="170"/>
      <c r="O303" s="175"/>
      <c r="P303" s="71" t="s">
        <v>749</v>
      </c>
      <c r="Q303" s="50" t="s">
        <v>89</v>
      </c>
      <c r="R303" s="51" t="s">
        <v>1433</v>
      </c>
      <c r="S303" s="52"/>
      <c r="T303" s="53"/>
      <c r="U303" s="54"/>
      <c r="V303" s="55"/>
      <c r="W303" s="56"/>
      <c r="X303" s="54"/>
      <c r="Y303" s="170"/>
      <c r="Z303" s="170"/>
      <c r="AA303" s="170"/>
      <c r="AB303" s="170"/>
      <c r="AC303" s="173"/>
      <c r="AD303"/>
    </row>
    <row r="304" spans="1:30" ht="17.100000000000001" customHeight="1" thickTop="1">
      <c r="A304" s="176" t="s">
        <v>1434</v>
      </c>
      <c r="B304" s="33">
        <v>44175</v>
      </c>
      <c r="C304" s="78" t="s">
        <v>1435</v>
      </c>
      <c r="D304" s="35" t="s">
        <v>369</v>
      </c>
      <c r="E304" s="178"/>
      <c r="F304" s="128" t="s">
        <v>1436</v>
      </c>
      <c r="G304" s="37" t="s">
        <v>1437</v>
      </c>
      <c r="H304" s="180">
        <v>4</v>
      </c>
      <c r="I304" s="169">
        <v>2658000</v>
      </c>
      <c r="J304" s="169">
        <v>265800</v>
      </c>
      <c r="K304" s="169">
        <v>9800</v>
      </c>
      <c r="L304" s="169">
        <v>17990</v>
      </c>
      <c r="M304" s="169">
        <v>19800</v>
      </c>
      <c r="N304" s="169">
        <f>SUM(I304:M304)</f>
        <v>2971390</v>
      </c>
      <c r="O304" s="174">
        <v>1700000</v>
      </c>
      <c r="P304" s="160" t="s">
        <v>1438</v>
      </c>
      <c r="Q304" s="38" t="s">
        <v>88</v>
      </c>
      <c r="R304" s="39"/>
      <c r="S304" s="40" t="s">
        <v>93</v>
      </c>
      <c r="T304" s="41"/>
      <c r="U304" s="42"/>
      <c r="V304" s="43"/>
      <c r="W304" s="44"/>
      <c r="X304" s="45"/>
      <c r="Y304" s="169"/>
      <c r="Z304" s="171">
        <f>Y304*0.1</f>
        <v>0</v>
      </c>
      <c r="AA304" s="169"/>
      <c r="AB304" s="169">
        <f>SUM(Y304:AA304)</f>
        <v>0</v>
      </c>
      <c r="AC304" s="172"/>
      <c r="AD304"/>
    </row>
    <row r="305" spans="1:30" ht="17.100000000000001" customHeight="1" thickBot="1">
      <c r="A305" s="177"/>
      <c r="B305" s="46" t="s">
        <v>1439</v>
      </c>
      <c r="C305" s="46">
        <v>10076</v>
      </c>
      <c r="D305" s="47" t="s">
        <v>137</v>
      </c>
      <c r="E305" s="179"/>
      <c r="F305" s="48" t="s">
        <v>1440</v>
      </c>
      <c r="G305" s="49">
        <v>48403</v>
      </c>
      <c r="H305" s="181"/>
      <c r="I305" s="170"/>
      <c r="J305" s="170"/>
      <c r="K305" s="170"/>
      <c r="L305" s="170"/>
      <c r="M305" s="170"/>
      <c r="N305" s="170"/>
      <c r="O305" s="175"/>
      <c r="P305" s="71" t="s">
        <v>1441</v>
      </c>
      <c r="Q305" s="50" t="s">
        <v>89</v>
      </c>
      <c r="R305" s="51" t="s">
        <v>1442</v>
      </c>
      <c r="S305" s="52" t="s">
        <v>615</v>
      </c>
      <c r="T305" s="53"/>
      <c r="U305" s="54"/>
      <c r="V305" s="55" t="s">
        <v>1079</v>
      </c>
      <c r="W305" s="56"/>
      <c r="X305" s="54"/>
      <c r="Y305" s="170"/>
      <c r="Z305" s="170"/>
      <c r="AA305" s="170"/>
      <c r="AB305" s="170"/>
      <c r="AC305" s="173"/>
      <c r="AD305"/>
    </row>
    <row r="306" spans="1:30" ht="17.100000000000001" customHeight="1" thickTop="1">
      <c r="A306" s="176" t="s">
        <v>1443</v>
      </c>
      <c r="B306" s="33">
        <v>44182</v>
      </c>
      <c r="C306" s="78" t="s">
        <v>1444</v>
      </c>
      <c r="D306" s="35" t="s">
        <v>1445</v>
      </c>
      <c r="E306" s="178"/>
      <c r="F306" s="128" t="s">
        <v>1446</v>
      </c>
      <c r="G306" s="37" t="s">
        <v>1288</v>
      </c>
      <c r="H306" s="180">
        <v>4</v>
      </c>
      <c r="I306" s="169">
        <v>3600000</v>
      </c>
      <c r="J306" s="169">
        <v>360000</v>
      </c>
      <c r="K306" s="169">
        <v>19100</v>
      </c>
      <c r="L306" s="169">
        <v>23320</v>
      </c>
      <c r="M306" s="169">
        <v>13200</v>
      </c>
      <c r="N306" s="169">
        <f>SUM(I306:M306)</f>
        <v>4015620</v>
      </c>
      <c r="O306" s="174">
        <v>3100000</v>
      </c>
      <c r="P306" s="160" t="s">
        <v>1447</v>
      </c>
      <c r="Q306" s="38" t="s">
        <v>88</v>
      </c>
      <c r="R306" s="39"/>
      <c r="S306" s="40" t="s">
        <v>1038</v>
      </c>
      <c r="T306" s="41"/>
      <c r="U306" s="42"/>
      <c r="V306" s="43"/>
      <c r="W306" s="44"/>
      <c r="X306" s="45"/>
      <c r="Y306" s="169"/>
      <c r="Z306" s="171">
        <f>Y306*0.1</f>
        <v>0</v>
      </c>
      <c r="AA306" s="169"/>
      <c r="AB306" s="169">
        <f>SUM(Y306:AA306)</f>
        <v>0</v>
      </c>
      <c r="AC306" s="172"/>
      <c r="AD306"/>
    </row>
    <row r="307" spans="1:30" ht="17.100000000000001" customHeight="1" thickBot="1">
      <c r="A307" s="177"/>
      <c r="B307" s="46" t="s">
        <v>345</v>
      </c>
      <c r="C307" s="46">
        <v>197</v>
      </c>
      <c r="D307" s="47" t="s">
        <v>1448</v>
      </c>
      <c r="E307" s="179"/>
      <c r="F307" s="48" t="s">
        <v>1449</v>
      </c>
      <c r="G307" s="49">
        <v>38279</v>
      </c>
      <c r="H307" s="181"/>
      <c r="I307" s="170"/>
      <c r="J307" s="170"/>
      <c r="K307" s="170"/>
      <c r="L307" s="170"/>
      <c r="M307" s="170"/>
      <c r="N307" s="170"/>
      <c r="O307" s="175"/>
      <c r="P307" s="71" t="s">
        <v>1450</v>
      </c>
      <c r="Q307" s="50" t="s">
        <v>89</v>
      </c>
      <c r="R307" s="51" t="s">
        <v>1451</v>
      </c>
      <c r="S307" s="52" t="s">
        <v>722</v>
      </c>
      <c r="T307" s="53"/>
      <c r="U307" s="54"/>
      <c r="V307" s="55" t="s">
        <v>1079</v>
      </c>
      <c r="W307" s="56"/>
      <c r="X307" s="54"/>
      <c r="Y307" s="170"/>
      <c r="Z307" s="170"/>
      <c r="AA307" s="170"/>
      <c r="AB307" s="170"/>
      <c r="AC307" s="173"/>
      <c r="AD307"/>
    </row>
    <row r="308" spans="1:30" ht="17.100000000000001" customHeight="1" thickTop="1">
      <c r="A308" s="176" t="s">
        <v>1452</v>
      </c>
      <c r="B308" s="33">
        <v>44183</v>
      </c>
      <c r="C308" s="78" t="s">
        <v>1453</v>
      </c>
      <c r="D308" s="35" t="s">
        <v>1454</v>
      </c>
      <c r="E308" s="178"/>
      <c r="F308" s="128" t="s">
        <v>1455</v>
      </c>
      <c r="G308" s="37" t="s">
        <v>1456</v>
      </c>
      <c r="H308" s="180">
        <v>5</v>
      </c>
      <c r="I308" s="169">
        <v>2235000</v>
      </c>
      <c r="J308" s="169">
        <v>223500</v>
      </c>
      <c r="K308" s="169">
        <v>12700</v>
      </c>
      <c r="L308" s="169">
        <v>18110</v>
      </c>
      <c r="M308" s="169">
        <v>13200</v>
      </c>
      <c r="N308" s="169">
        <f>SUM(I308:M308)</f>
        <v>2502510</v>
      </c>
      <c r="O308" s="174">
        <v>1800000</v>
      </c>
      <c r="P308" s="160" t="s">
        <v>1457</v>
      </c>
      <c r="Q308" s="38" t="s">
        <v>88</v>
      </c>
      <c r="R308" s="39"/>
      <c r="S308" s="40" t="s">
        <v>1196</v>
      </c>
      <c r="T308" s="41"/>
      <c r="U308" s="42"/>
      <c r="V308" s="43"/>
      <c r="W308" s="44"/>
      <c r="X308" s="45"/>
      <c r="Y308" s="169"/>
      <c r="Z308" s="171">
        <f>Y308*0.1</f>
        <v>0</v>
      </c>
      <c r="AA308" s="169"/>
      <c r="AB308" s="169">
        <f>SUM(Y308:AA308)</f>
        <v>0</v>
      </c>
      <c r="AC308" s="172"/>
      <c r="AD308"/>
    </row>
    <row r="309" spans="1:30" ht="17.100000000000001" customHeight="1" thickBot="1">
      <c r="A309" s="177"/>
      <c r="B309" s="46" t="s">
        <v>294</v>
      </c>
      <c r="C309" s="46">
        <v>58182</v>
      </c>
      <c r="D309" s="47" t="s">
        <v>1458</v>
      </c>
      <c r="E309" s="179"/>
      <c r="F309" s="48" t="s">
        <v>1459</v>
      </c>
      <c r="G309" s="49">
        <v>47800</v>
      </c>
      <c r="H309" s="181"/>
      <c r="I309" s="170"/>
      <c r="J309" s="170"/>
      <c r="K309" s="170"/>
      <c r="L309" s="170"/>
      <c r="M309" s="170"/>
      <c r="N309" s="170"/>
      <c r="O309" s="175"/>
      <c r="P309" s="71" t="s">
        <v>1460</v>
      </c>
      <c r="Q309" s="50" t="s">
        <v>89</v>
      </c>
      <c r="R309" s="51" t="s">
        <v>1461</v>
      </c>
      <c r="S309" s="52" t="s">
        <v>1462</v>
      </c>
      <c r="T309" s="53"/>
      <c r="U309" s="54"/>
      <c r="V309" s="55" t="s">
        <v>1145</v>
      </c>
      <c r="W309" s="56"/>
      <c r="X309" s="54"/>
      <c r="Y309" s="170"/>
      <c r="Z309" s="170"/>
      <c r="AA309" s="170"/>
      <c r="AB309" s="170"/>
      <c r="AC309" s="173"/>
      <c r="AD309"/>
    </row>
    <row r="310" spans="1:30" ht="17.100000000000001" customHeight="1" thickTop="1">
      <c r="A310" s="176" t="s">
        <v>1463</v>
      </c>
      <c r="B310" s="33">
        <v>44190</v>
      </c>
      <c r="C310" s="78"/>
      <c r="D310" s="35" t="s">
        <v>1464</v>
      </c>
      <c r="E310" s="178"/>
      <c r="F310" s="128" t="s">
        <v>1465</v>
      </c>
      <c r="G310" s="37" t="s">
        <v>1466</v>
      </c>
      <c r="H310" s="180" t="s">
        <v>802</v>
      </c>
      <c r="I310" s="169">
        <v>355000</v>
      </c>
      <c r="J310" s="169">
        <v>35500</v>
      </c>
      <c r="K310" s="169">
        <v>0</v>
      </c>
      <c r="L310" s="169">
        <v>7860</v>
      </c>
      <c r="M310" s="169">
        <f>42369+4237</f>
        <v>46606</v>
      </c>
      <c r="N310" s="169">
        <f>SUM(I310:M310)</f>
        <v>444966</v>
      </c>
      <c r="O310" s="174">
        <v>150000</v>
      </c>
      <c r="P310" s="160" t="s">
        <v>1467</v>
      </c>
      <c r="Q310" s="38" t="s">
        <v>88</v>
      </c>
      <c r="R310" s="39"/>
      <c r="S310" s="40" t="s">
        <v>1468</v>
      </c>
      <c r="T310" s="41"/>
      <c r="U310" s="42"/>
      <c r="V310" s="43" t="s">
        <v>1469</v>
      </c>
      <c r="W310" s="44"/>
      <c r="X310" s="45"/>
      <c r="Y310" s="169"/>
      <c r="Z310" s="171">
        <f>Y310*0.1</f>
        <v>0</v>
      </c>
      <c r="AA310" s="169"/>
      <c r="AB310" s="169">
        <f>SUM(Y310:AA310)</f>
        <v>0</v>
      </c>
      <c r="AC310" s="172"/>
      <c r="AD310"/>
    </row>
    <row r="311" spans="1:30" ht="17.100000000000001" customHeight="1" thickBot="1">
      <c r="A311" s="177"/>
      <c r="B311" s="46" t="s">
        <v>779</v>
      </c>
      <c r="C311" s="46" t="s">
        <v>1470</v>
      </c>
      <c r="D311" s="47" t="s">
        <v>312</v>
      </c>
      <c r="E311" s="179"/>
      <c r="F311" s="48" t="s">
        <v>1471</v>
      </c>
      <c r="G311" s="49">
        <v>54394</v>
      </c>
      <c r="H311" s="181"/>
      <c r="I311" s="170"/>
      <c r="J311" s="170"/>
      <c r="K311" s="170"/>
      <c r="L311" s="170"/>
      <c r="M311" s="170"/>
      <c r="N311" s="170"/>
      <c r="O311" s="175"/>
      <c r="P311" s="71" t="s">
        <v>1472</v>
      </c>
      <c r="Q311" s="50" t="s">
        <v>89</v>
      </c>
      <c r="R311" s="51" t="s">
        <v>1473</v>
      </c>
      <c r="S311" s="52" t="s">
        <v>1474</v>
      </c>
      <c r="T311" s="53"/>
      <c r="U311" s="54" t="s">
        <v>1475</v>
      </c>
      <c r="V311" s="55" t="s">
        <v>1235</v>
      </c>
      <c r="W311" s="56"/>
      <c r="X311" s="54"/>
      <c r="Y311" s="170"/>
      <c r="Z311" s="170"/>
      <c r="AA311" s="170"/>
      <c r="AB311" s="170"/>
      <c r="AC311" s="173"/>
      <c r="AD311"/>
    </row>
    <row r="312" spans="1:30" ht="17.100000000000001" customHeight="1" thickTop="1">
      <c r="A312" s="176" t="s">
        <v>1476</v>
      </c>
      <c r="B312" s="33">
        <v>44208</v>
      </c>
      <c r="C312" s="78" t="s">
        <v>1477</v>
      </c>
      <c r="D312" s="35" t="s">
        <v>360</v>
      </c>
      <c r="E312" s="178"/>
      <c r="F312" s="128" t="s">
        <v>1478</v>
      </c>
      <c r="G312" s="37" t="s">
        <v>1479</v>
      </c>
      <c r="H312" s="180">
        <v>4.5</v>
      </c>
      <c r="I312" s="169">
        <v>2050000</v>
      </c>
      <c r="J312" s="169">
        <v>205000</v>
      </c>
      <c r="K312" s="169">
        <v>8500</v>
      </c>
      <c r="L312" s="169">
        <v>18110</v>
      </c>
      <c r="M312" s="169">
        <v>13200</v>
      </c>
      <c r="N312" s="169">
        <f>SUM(I312:M312)</f>
        <v>2294810</v>
      </c>
      <c r="O312" s="174">
        <v>1700000</v>
      </c>
      <c r="P312" s="160" t="s">
        <v>1480</v>
      </c>
      <c r="Q312" s="38" t="s">
        <v>88</v>
      </c>
      <c r="R312" s="39"/>
      <c r="S312" s="40" t="s">
        <v>1481</v>
      </c>
      <c r="T312" s="41"/>
      <c r="U312" s="42"/>
      <c r="V312" s="43"/>
      <c r="W312" s="44"/>
      <c r="X312" s="45"/>
      <c r="Y312" s="169"/>
      <c r="Z312" s="171">
        <f>Y312*0.1</f>
        <v>0</v>
      </c>
      <c r="AA312" s="169"/>
      <c r="AB312" s="169">
        <f>SUM(Y312:AA312)</f>
        <v>0</v>
      </c>
      <c r="AC312" s="172"/>
      <c r="AD312"/>
    </row>
    <row r="313" spans="1:30" ht="17.100000000000001" customHeight="1" thickBot="1">
      <c r="A313" s="177"/>
      <c r="B313" s="46" t="s">
        <v>211</v>
      </c>
      <c r="C313" s="46">
        <v>82027</v>
      </c>
      <c r="D313" s="47" t="s">
        <v>312</v>
      </c>
      <c r="E313" s="179"/>
      <c r="F313" s="48" t="s">
        <v>1482</v>
      </c>
      <c r="G313" s="49">
        <v>58355</v>
      </c>
      <c r="H313" s="181"/>
      <c r="I313" s="170"/>
      <c r="J313" s="170"/>
      <c r="K313" s="170"/>
      <c r="L313" s="170"/>
      <c r="M313" s="170"/>
      <c r="N313" s="170"/>
      <c r="O313" s="175"/>
      <c r="P313" s="71" t="s">
        <v>1483</v>
      </c>
      <c r="Q313" s="50" t="s">
        <v>89</v>
      </c>
      <c r="R313" s="51" t="s">
        <v>1484</v>
      </c>
      <c r="S313" s="52" t="s">
        <v>1485</v>
      </c>
      <c r="T313" s="53"/>
      <c r="U313" s="54"/>
      <c r="V313" s="55" t="s">
        <v>1079</v>
      </c>
      <c r="W313" s="56"/>
      <c r="X313" s="54"/>
      <c r="Y313" s="170"/>
      <c r="Z313" s="170"/>
      <c r="AA313" s="170"/>
      <c r="AB313" s="170"/>
      <c r="AC313" s="173"/>
      <c r="AD313"/>
    </row>
    <row r="314" spans="1:30" ht="17.100000000000001" customHeight="1" thickTop="1">
      <c r="A314" s="176" t="s">
        <v>1486</v>
      </c>
      <c r="B314" s="33">
        <v>44210</v>
      </c>
      <c r="C314" s="78" t="s">
        <v>1487</v>
      </c>
      <c r="D314" s="35" t="s">
        <v>1286</v>
      </c>
      <c r="E314" s="178"/>
      <c r="F314" s="128" t="s">
        <v>1488</v>
      </c>
      <c r="G314" s="37" t="s">
        <v>1489</v>
      </c>
      <c r="H314" s="180">
        <v>4.5</v>
      </c>
      <c r="I314" s="169">
        <v>2875000</v>
      </c>
      <c r="J314" s="169">
        <v>287500</v>
      </c>
      <c r="K314" s="169">
        <v>8500</v>
      </c>
      <c r="L314" s="169">
        <v>23470</v>
      </c>
      <c r="M314" s="169">
        <v>13200</v>
      </c>
      <c r="N314" s="169">
        <f>SUM(I314:M314)</f>
        <v>3207670</v>
      </c>
      <c r="O314" s="174">
        <v>2200000</v>
      </c>
      <c r="P314" s="160" t="s">
        <v>1490</v>
      </c>
      <c r="Q314" s="38" t="s">
        <v>88</v>
      </c>
      <c r="R314" s="39"/>
      <c r="S314" s="40" t="s">
        <v>1474</v>
      </c>
      <c r="T314" s="41"/>
      <c r="U314" s="42"/>
      <c r="V314" s="43" t="s">
        <v>1491</v>
      </c>
      <c r="W314" s="44"/>
      <c r="X314" s="45"/>
      <c r="Y314" s="169"/>
      <c r="Z314" s="171">
        <f>Y314*0.1</f>
        <v>0</v>
      </c>
      <c r="AA314" s="169"/>
      <c r="AB314" s="169">
        <f>SUM(Y314:AA314)</f>
        <v>0</v>
      </c>
      <c r="AC314" s="172"/>
      <c r="AD314"/>
    </row>
    <row r="315" spans="1:30" ht="17.100000000000001" customHeight="1" thickBot="1">
      <c r="A315" s="177"/>
      <c r="B315" s="46" t="s">
        <v>229</v>
      </c>
      <c r="C315" s="46">
        <v>75677</v>
      </c>
      <c r="D315" s="47" t="s">
        <v>312</v>
      </c>
      <c r="E315" s="179"/>
      <c r="F315" s="48" t="s">
        <v>1492</v>
      </c>
      <c r="G315" s="49">
        <v>46871</v>
      </c>
      <c r="H315" s="181"/>
      <c r="I315" s="170"/>
      <c r="J315" s="170"/>
      <c r="K315" s="170"/>
      <c r="L315" s="170"/>
      <c r="M315" s="170"/>
      <c r="N315" s="170"/>
      <c r="O315" s="175"/>
      <c r="P315" s="71" t="s">
        <v>1493</v>
      </c>
      <c r="Q315" s="50" t="s">
        <v>89</v>
      </c>
      <c r="R315" s="51" t="s">
        <v>1494</v>
      </c>
      <c r="S315" s="52" t="s">
        <v>1495</v>
      </c>
      <c r="T315" s="53"/>
      <c r="U315" s="54"/>
      <c r="V315" s="55" t="s">
        <v>1496</v>
      </c>
      <c r="W315" s="56"/>
      <c r="X315" s="54"/>
      <c r="Y315" s="170"/>
      <c r="Z315" s="170"/>
      <c r="AA315" s="170"/>
      <c r="AB315" s="170"/>
      <c r="AC315" s="173"/>
      <c r="AD315"/>
    </row>
    <row r="316" spans="1:30" ht="17.100000000000001" customHeight="1" thickTop="1">
      <c r="A316" s="176" t="s">
        <v>1497</v>
      </c>
      <c r="B316" s="33">
        <v>44214</v>
      </c>
      <c r="C316" s="78"/>
      <c r="D316" s="35" t="s">
        <v>1498</v>
      </c>
      <c r="E316" s="178"/>
      <c r="F316" s="128" t="s">
        <v>1499</v>
      </c>
      <c r="G316" s="37" t="s">
        <v>1500</v>
      </c>
      <c r="H316" s="180">
        <v>3.5</v>
      </c>
      <c r="I316" s="169">
        <v>630000</v>
      </c>
      <c r="J316" s="169">
        <v>63000</v>
      </c>
      <c r="K316" s="169">
        <v>0</v>
      </c>
      <c r="L316" s="169">
        <v>9550</v>
      </c>
      <c r="M316" s="169">
        <v>11000</v>
      </c>
      <c r="N316" s="169">
        <f>SUM(I316:M316)</f>
        <v>713550</v>
      </c>
      <c r="O316" s="174">
        <v>400000</v>
      </c>
      <c r="P316" s="160" t="s">
        <v>1501</v>
      </c>
      <c r="Q316" s="38" t="s">
        <v>88</v>
      </c>
      <c r="R316" s="39"/>
      <c r="S316" s="40"/>
      <c r="T316" s="41"/>
      <c r="U316" s="42"/>
      <c r="V316" s="43" t="s">
        <v>1502</v>
      </c>
      <c r="W316" s="44"/>
      <c r="X316" s="45"/>
      <c r="Y316" s="169"/>
      <c r="Z316" s="171">
        <f>Y316*0.1</f>
        <v>0</v>
      </c>
      <c r="AA316" s="169"/>
      <c r="AB316" s="169">
        <f>SUM(Y316:AA316)</f>
        <v>0</v>
      </c>
      <c r="AC316" s="172"/>
      <c r="AD316"/>
    </row>
    <row r="317" spans="1:30" ht="17.100000000000001" customHeight="1" thickBot="1">
      <c r="A317" s="177"/>
      <c r="B317" s="46" t="s">
        <v>1176</v>
      </c>
      <c r="C317" s="46" t="s">
        <v>1503</v>
      </c>
      <c r="D317" s="47" t="s">
        <v>1504</v>
      </c>
      <c r="E317" s="179"/>
      <c r="F317" s="48" t="s">
        <v>1505</v>
      </c>
      <c r="G317" s="49">
        <v>51000</v>
      </c>
      <c r="H317" s="181"/>
      <c r="I317" s="170"/>
      <c r="J317" s="170"/>
      <c r="K317" s="170"/>
      <c r="L317" s="170"/>
      <c r="M317" s="170"/>
      <c r="N317" s="170"/>
      <c r="O317" s="175"/>
      <c r="P317" s="71" t="s">
        <v>1506</v>
      </c>
      <c r="Q317" s="50" t="s">
        <v>89</v>
      </c>
      <c r="R317" s="51" t="s">
        <v>1507</v>
      </c>
      <c r="S317" s="52" t="s">
        <v>1508</v>
      </c>
      <c r="T317" s="53"/>
      <c r="U317" s="54"/>
      <c r="V317" s="55" t="s">
        <v>1509</v>
      </c>
      <c r="W317" s="56"/>
      <c r="X317" s="54"/>
      <c r="Y317" s="170"/>
      <c r="Z317" s="170"/>
      <c r="AA317" s="170"/>
      <c r="AB317" s="170"/>
      <c r="AC317" s="173"/>
      <c r="AD317"/>
    </row>
    <row r="318" spans="1:30" ht="17.100000000000001" customHeight="1" thickTop="1">
      <c r="A318" s="176" t="s">
        <v>1510</v>
      </c>
      <c r="B318" s="33">
        <v>44225</v>
      </c>
      <c r="C318" s="78" t="s">
        <v>1511</v>
      </c>
      <c r="D318" s="35" t="s">
        <v>1464</v>
      </c>
      <c r="E318" s="178"/>
      <c r="F318" s="128" t="s">
        <v>1512</v>
      </c>
      <c r="G318" s="37" t="s">
        <v>1391</v>
      </c>
      <c r="H318" s="180">
        <v>4.5</v>
      </c>
      <c r="I318" s="169">
        <v>2390000</v>
      </c>
      <c r="J318" s="169">
        <v>239000</v>
      </c>
      <c r="K318" s="169">
        <v>6500</v>
      </c>
      <c r="L318" s="169">
        <v>16240</v>
      </c>
      <c r="M318" s="169">
        <v>13200</v>
      </c>
      <c r="N318" s="169">
        <f>SUM(I318:M318)</f>
        <v>2664940</v>
      </c>
      <c r="O318" s="174">
        <v>2000000</v>
      </c>
      <c r="P318" s="160" t="s">
        <v>1513</v>
      </c>
      <c r="Q318" s="38" t="s">
        <v>88</v>
      </c>
      <c r="R318" s="39"/>
      <c r="S318" s="40" t="s">
        <v>1514</v>
      </c>
      <c r="T318" s="41"/>
      <c r="U318" s="42"/>
      <c r="V318" s="43"/>
      <c r="W318" s="44"/>
      <c r="X318" s="45"/>
      <c r="Y318" s="169"/>
      <c r="Z318" s="171">
        <f>Y318*0.1</f>
        <v>0</v>
      </c>
      <c r="AA318" s="169"/>
      <c r="AB318" s="169">
        <f>SUM(Y318:AA318)</f>
        <v>0</v>
      </c>
      <c r="AC318" s="172"/>
      <c r="AD318"/>
    </row>
    <row r="319" spans="1:30" ht="17.100000000000001" customHeight="1" thickBot="1">
      <c r="A319" s="177"/>
      <c r="B319" s="46" t="s">
        <v>1374</v>
      </c>
      <c r="C319" s="46">
        <v>88022</v>
      </c>
      <c r="D319" s="47" t="s">
        <v>602</v>
      </c>
      <c r="E319" s="179"/>
      <c r="F319" s="48" t="s">
        <v>1515</v>
      </c>
      <c r="G319" s="49">
        <v>30828</v>
      </c>
      <c r="H319" s="181"/>
      <c r="I319" s="170"/>
      <c r="J319" s="170"/>
      <c r="K319" s="170"/>
      <c r="L319" s="170"/>
      <c r="M319" s="170"/>
      <c r="N319" s="170"/>
      <c r="O319" s="175"/>
      <c r="P319" s="71" t="s">
        <v>1516</v>
      </c>
      <c r="Q319" s="50" t="s">
        <v>89</v>
      </c>
      <c r="R319" s="51" t="s">
        <v>1517</v>
      </c>
      <c r="S319" s="52" t="s">
        <v>1485</v>
      </c>
      <c r="T319" s="53"/>
      <c r="U319" s="54"/>
      <c r="V319" s="55"/>
      <c r="W319" s="56"/>
      <c r="X319" s="54"/>
      <c r="Y319" s="170"/>
      <c r="Z319" s="170"/>
      <c r="AA319" s="170"/>
      <c r="AB319" s="170"/>
      <c r="AC319" s="173"/>
      <c r="AD319"/>
    </row>
    <row r="320" spans="1:30" ht="17.100000000000001" customHeight="1" thickTop="1">
      <c r="A320" s="176" t="s">
        <v>1518</v>
      </c>
      <c r="B320" s="33">
        <v>44226</v>
      </c>
      <c r="C320" s="78" t="s">
        <v>1519</v>
      </c>
      <c r="D320" s="35" t="s">
        <v>427</v>
      </c>
      <c r="E320" s="178"/>
      <c r="F320" s="128" t="s">
        <v>1520</v>
      </c>
      <c r="G320" s="37"/>
      <c r="H320" s="180">
        <v>4.5</v>
      </c>
      <c r="I320" s="169">
        <v>1580000</v>
      </c>
      <c r="J320" s="169">
        <v>158000</v>
      </c>
      <c r="K320" s="169">
        <v>0</v>
      </c>
      <c r="L320" s="169">
        <v>14590</v>
      </c>
      <c r="M320" s="169">
        <v>13200</v>
      </c>
      <c r="N320" s="169">
        <f>SUM(I320:M320)</f>
        <v>1765790</v>
      </c>
      <c r="O320" s="174">
        <v>1300000</v>
      </c>
      <c r="P320" s="160" t="s">
        <v>1521</v>
      </c>
      <c r="Q320" s="38" t="s">
        <v>88</v>
      </c>
      <c r="R320" s="39"/>
      <c r="S320" s="40" t="s">
        <v>1522</v>
      </c>
      <c r="T320" s="41"/>
      <c r="U320" s="42"/>
      <c r="V320" s="43"/>
      <c r="W320" s="44"/>
      <c r="X320" s="45"/>
      <c r="Y320" s="169"/>
      <c r="Z320" s="171">
        <f>Y320*0.1</f>
        <v>0</v>
      </c>
      <c r="AA320" s="169"/>
      <c r="AB320" s="169">
        <f>SUM(Y320:AA320)</f>
        <v>0</v>
      </c>
      <c r="AC320" s="172"/>
      <c r="AD320"/>
    </row>
    <row r="321" spans="1:30" ht="17.100000000000001" customHeight="1" thickBot="1">
      <c r="A321" s="177"/>
      <c r="B321" s="46" t="s">
        <v>115</v>
      </c>
      <c r="C321" s="46">
        <v>82193</v>
      </c>
      <c r="D321" s="47" t="s">
        <v>50</v>
      </c>
      <c r="E321" s="179"/>
      <c r="F321" s="48" t="s">
        <v>1523</v>
      </c>
      <c r="G321" s="49">
        <v>38372</v>
      </c>
      <c r="H321" s="181"/>
      <c r="I321" s="170"/>
      <c r="J321" s="170"/>
      <c r="K321" s="170"/>
      <c r="L321" s="170"/>
      <c r="M321" s="170"/>
      <c r="N321" s="170"/>
      <c r="O321" s="175"/>
      <c r="P321" s="71" t="s">
        <v>1524</v>
      </c>
      <c r="Q321" s="50" t="s">
        <v>89</v>
      </c>
      <c r="R321" s="51" t="s">
        <v>1507</v>
      </c>
      <c r="S321" s="52" t="s">
        <v>1525</v>
      </c>
      <c r="T321" s="53"/>
      <c r="U321" s="166" t="s">
        <v>1526</v>
      </c>
      <c r="V321" s="55"/>
      <c r="W321" s="56"/>
      <c r="X321" s="54"/>
      <c r="Y321" s="170"/>
      <c r="Z321" s="170"/>
      <c r="AA321" s="170"/>
      <c r="AB321" s="170"/>
      <c r="AC321" s="173"/>
      <c r="AD321"/>
    </row>
    <row r="322" spans="1:30" ht="17.100000000000001" customHeight="1" thickTop="1">
      <c r="A322" s="176" t="s">
        <v>1527</v>
      </c>
      <c r="B322" s="33">
        <v>44233</v>
      </c>
      <c r="C322" s="78" t="s">
        <v>1528</v>
      </c>
      <c r="D322" s="35" t="s">
        <v>640</v>
      </c>
      <c r="E322" s="178"/>
      <c r="F322" s="128" t="s">
        <v>1529</v>
      </c>
      <c r="G322" s="37" t="s">
        <v>1309</v>
      </c>
      <c r="H322" s="180">
        <v>4.5</v>
      </c>
      <c r="I322" s="169">
        <v>3680000</v>
      </c>
      <c r="J322" s="169">
        <v>368000</v>
      </c>
      <c r="K322" s="169">
        <v>4200</v>
      </c>
      <c r="L322" s="169">
        <v>27360</v>
      </c>
      <c r="M322" s="169">
        <v>13200</v>
      </c>
      <c r="N322" s="169">
        <f>SUM(I322:M322)</f>
        <v>4092760</v>
      </c>
      <c r="O322" s="174">
        <v>3200000</v>
      </c>
      <c r="P322" s="160" t="s">
        <v>1530</v>
      </c>
      <c r="Q322" s="38" t="s">
        <v>88</v>
      </c>
      <c r="R322" s="39"/>
      <c r="S322" s="40" t="s">
        <v>1474</v>
      </c>
      <c r="T322" s="41"/>
      <c r="U322" s="42"/>
      <c r="V322" s="43"/>
      <c r="W322" s="44"/>
      <c r="X322" s="45"/>
      <c r="Y322" s="169"/>
      <c r="Z322" s="171">
        <f>Y322*0.1</f>
        <v>0</v>
      </c>
      <c r="AA322" s="169"/>
      <c r="AB322" s="169">
        <f>SUM(Y322:AA322)</f>
        <v>0</v>
      </c>
      <c r="AC322" s="172"/>
      <c r="AD322"/>
    </row>
    <row r="323" spans="1:30" ht="17.100000000000001" customHeight="1" thickBot="1">
      <c r="A323" s="177"/>
      <c r="B323" s="46" t="s">
        <v>115</v>
      </c>
      <c r="C323" s="46">
        <v>82018</v>
      </c>
      <c r="D323" s="47" t="s">
        <v>312</v>
      </c>
      <c r="E323" s="179"/>
      <c r="F323" s="48" t="s">
        <v>1531</v>
      </c>
      <c r="G323" s="49">
        <v>22528</v>
      </c>
      <c r="H323" s="181"/>
      <c r="I323" s="170"/>
      <c r="J323" s="170"/>
      <c r="K323" s="170"/>
      <c r="L323" s="170"/>
      <c r="M323" s="170"/>
      <c r="N323" s="170"/>
      <c r="O323" s="175"/>
      <c r="P323" s="71" t="s">
        <v>1532</v>
      </c>
      <c r="Q323" s="50" t="s">
        <v>89</v>
      </c>
      <c r="R323" s="51" t="s">
        <v>1102</v>
      </c>
      <c r="S323" s="52" t="s">
        <v>1533</v>
      </c>
      <c r="T323" s="53"/>
      <c r="U323" s="166" t="s">
        <v>1526</v>
      </c>
      <c r="V323" s="55" t="s">
        <v>1145</v>
      </c>
      <c r="W323" s="56"/>
      <c r="X323" s="54"/>
      <c r="Y323" s="170"/>
      <c r="Z323" s="170"/>
      <c r="AA323" s="170"/>
      <c r="AB323" s="170"/>
      <c r="AC323" s="173"/>
      <c r="AD323"/>
    </row>
    <row r="324" spans="1:30" ht="17.100000000000001" customHeight="1" thickTop="1">
      <c r="A324" s="176" t="s">
        <v>1534</v>
      </c>
      <c r="B324" s="33">
        <v>44266</v>
      </c>
      <c r="C324" s="78" t="s">
        <v>1535</v>
      </c>
      <c r="D324" s="35" t="s">
        <v>360</v>
      </c>
      <c r="E324" s="178"/>
      <c r="F324" s="128" t="s">
        <v>1536</v>
      </c>
      <c r="G324" s="37"/>
      <c r="H324" s="180">
        <v>4.5</v>
      </c>
      <c r="I324" s="169">
        <v>1660000</v>
      </c>
      <c r="J324" s="169">
        <v>166000</v>
      </c>
      <c r="K324" s="169">
        <v>0</v>
      </c>
      <c r="L324" s="169">
        <v>18960</v>
      </c>
      <c r="M324" s="169">
        <v>13200</v>
      </c>
      <c r="N324" s="169">
        <f>SUM(I324:M324)</f>
        <v>1858160</v>
      </c>
      <c r="O324" s="174">
        <v>1600000</v>
      </c>
      <c r="P324" s="160" t="s">
        <v>1537</v>
      </c>
      <c r="Q324" s="38" t="s">
        <v>88</v>
      </c>
      <c r="R324" s="39"/>
      <c r="S324" s="40" t="s">
        <v>1299</v>
      </c>
      <c r="T324" s="41"/>
      <c r="U324" s="42"/>
      <c r="V324" s="43"/>
      <c r="W324" s="44"/>
      <c r="X324" s="45"/>
      <c r="Y324" s="169"/>
      <c r="Z324" s="171">
        <f>Y324*0.1</f>
        <v>0</v>
      </c>
      <c r="AA324" s="169"/>
      <c r="AB324" s="169">
        <f>SUM(Y324:AA324)</f>
        <v>0</v>
      </c>
      <c r="AC324" s="172"/>
      <c r="AD324"/>
    </row>
    <row r="325" spans="1:30" ht="17.100000000000001" customHeight="1" thickBot="1">
      <c r="A325" s="177"/>
      <c r="B325" s="46" t="s">
        <v>229</v>
      </c>
      <c r="C325" s="46">
        <v>76135</v>
      </c>
      <c r="D325" s="47" t="s">
        <v>919</v>
      </c>
      <c r="E325" s="179"/>
      <c r="F325" s="48" t="s">
        <v>1538</v>
      </c>
      <c r="G325" s="49">
        <v>45392</v>
      </c>
      <c r="H325" s="181"/>
      <c r="I325" s="170"/>
      <c r="J325" s="170"/>
      <c r="K325" s="170"/>
      <c r="L325" s="170"/>
      <c r="M325" s="170"/>
      <c r="N325" s="170"/>
      <c r="O325" s="175"/>
      <c r="P325" s="71" t="s">
        <v>1539</v>
      </c>
      <c r="Q325" s="50" t="s">
        <v>89</v>
      </c>
      <c r="R325" s="51" t="s">
        <v>1540</v>
      </c>
      <c r="S325" s="52" t="s">
        <v>1541</v>
      </c>
      <c r="T325" s="53"/>
      <c r="U325" s="54"/>
      <c r="V325" s="55"/>
      <c r="W325" s="56"/>
      <c r="X325" s="54"/>
      <c r="Y325" s="170"/>
      <c r="Z325" s="170"/>
      <c r="AA325" s="170"/>
      <c r="AB325" s="170"/>
      <c r="AC325" s="173"/>
      <c r="AD325"/>
    </row>
    <row r="326" spans="1:30" ht="17.100000000000001" customHeight="1" thickTop="1">
      <c r="A326" s="176" t="s">
        <v>1542</v>
      </c>
      <c r="B326" s="33">
        <v>44268</v>
      </c>
      <c r="C326" s="78" t="s">
        <v>1543</v>
      </c>
      <c r="D326" s="35" t="s">
        <v>787</v>
      </c>
      <c r="E326" s="178" t="s">
        <v>250</v>
      </c>
      <c r="F326" s="128" t="s">
        <v>1544</v>
      </c>
      <c r="G326" s="37" t="s">
        <v>1545</v>
      </c>
      <c r="H326" s="180">
        <v>4.5</v>
      </c>
      <c r="I326" s="169">
        <v>3585000</v>
      </c>
      <c r="J326" s="169">
        <v>358500</v>
      </c>
      <c r="K326" s="169">
        <v>51000</v>
      </c>
      <c r="L326" s="169">
        <v>26010</v>
      </c>
      <c r="M326" s="169">
        <v>13200</v>
      </c>
      <c r="N326" s="169">
        <f>SUM(I326:M326)</f>
        <v>4033710</v>
      </c>
      <c r="O326" s="174"/>
      <c r="P326" s="160" t="s">
        <v>1546</v>
      </c>
      <c r="Q326" s="38" t="s">
        <v>88</v>
      </c>
      <c r="R326" s="39"/>
      <c r="S326" s="40" t="s">
        <v>1474</v>
      </c>
      <c r="T326" s="41"/>
      <c r="U326" s="42"/>
      <c r="V326" s="43" t="s">
        <v>1547</v>
      </c>
      <c r="W326" s="44"/>
      <c r="X326" s="45"/>
      <c r="Y326" s="169"/>
      <c r="Z326" s="171">
        <f>Y326*0.1</f>
        <v>0</v>
      </c>
      <c r="AA326" s="169"/>
      <c r="AB326" s="169">
        <f>SUM(Y326:AA326)</f>
        <v>0</v>
      </c>
      <c r="AC326" s="172"/>
      <c r="AD326"/>
    </row>
    <row r="327" spans="1:30" ht="17.100000000000001" customHeight="1" thickBot="1">
      <c r="A327" s="177"/>
      <c r="B327" s="46" t="s">
        <v>892</v>
      </c>
      <c r="C327" s="46">
        <v>60019</v>
      </c>
      <c r="D327" s="47" t="s">
        <v>568</v>
      </c>
      <c r="E327" s="179"/>
      <c r="F327" s="48" t="s">
        <v>1548</v>
      </c>
      <c r="G327" s="49">
        <v>46309</v>
      </c>
      <c r="H327" s="181"/>
      <c r="I327" s="170"/>
      <c r="J327" s="170"/>
      <c r="K327" s="170"/>
      <c r="L327" s="170"/>
      <c r="M327" s="170"/>
      <c r="N327" s="170"/>
      <c r="O327" s="175"/>
      <c r="P327" s="71" t="s">
        <v>1549</v>
      </c>
      <c r="Q327" s="50" t="s">
        <v>89</v>
      </c>
      <c r="R327" s="51" t="s">
        <v>1540</v>
      </c>
      <c r="S327" s="52" t="s">
        <v>1550</v>
      </c>
      <c r="T327" s="53"/>
      <c r="U327" s="54"/>
      <c r="V327" s="55"/>
      <c r="W327" s="56"/>
      <c r="X327" s="54"/>
      <c r="Y327" s="170"/>
      <c r="Z327" s="170"/>
      <c r="AA327" s="170"/>
      <c r="AB327" s="170"/>
      <c r="AC327" s="173"/>
      <c r="AD327"/>
    </row>
    <row r="328" spans="1:30" ht="17.100000000000001" customHeight="1" thickTop="1">
      <c r="A328" s="176" t="s">
        <v>1551</v>
      </c>
      <c r="B328" s="33">
        <v>44268</v>
      </c>
      <c r="C328" s="78" t="s">
        <v>1543</v>
      </c>
      <c r="D328" s="35" t="s">
        <v>1552</v>
      </c>
      <c r="E328" s="178"/>
      <c r="F328" s="128" t="s">
        <v>1553</v>
      </c>
      <c r="G328" s="37"/>
      <c r="H328" s="180">
        <v>4.5</v>
      </c>
      <c r="I328" s="169">
        <v>1405000</v>
      </c>
      <c r="J328" s="169">
        <v>140500</v>
      </c>
      <c r="K328" s="169">
        <v>0</v>
      </c>
      <c r="L328" s="169">
        <v>18110</v>
      </c>
      <c r="M328" s="169">
        <v>13200</v>
      </c>
      <c r="N328" s="169">
        <f>SUM(I328:M328)</f>
        <v>1576810</v>
      </c>
      <c r="O328" s="174">
        <v>1000000</v>
      </c>
      <c r="P328" s="160" t="s">
        <v>1554</v>
      </c>
      <c r="Q328" s="38" t="s">
        <v>88</v>
      </c>
      <c r="R328" s="39"/>
      <c r="S328" s="40" t="s">
        <v>1555</v>
      </c>
      <c r="T328" s="41"/>
      <c r="U328" s="42"/>
      <c r="V328" s="43"/>
      <c r="W328" s="44"/>
      <c r="X328" s="45"/>
      <c r="Y328" s="169"/>
      <c r="Z328" s="171">
        <f>Y328*0.1</f>
        <v>0</v>
      </c>
      <c r="AA328" s="169"/>
      <c r="AB328" s="169">
        <f>SUM(Y328:AA328)</f>
        <v>0</v>
      </c>
      <c r="AC328" s="172"/>
      <c r="AD328"/>
    </row>
    <row r="329" spans="1:30" ht="17.100000000000001" customHeight="1" thickBot="1">
      <c r="A329" s="177"/>
      <c r="B329" s="46" t="s">
        <v>892</v>
      </c>
      <c r="C329" s="46">
        <v>72019</v>
      </c>
      <c r="D329" s="47" t="s">
        <v>50</v>
      </c>
      <c r="E329" s="179"/>
      <c r="F329" s="48" t="s">
        <v>1556</v>
      </c>
      <c r="G329" s="49">
        <v>47410</v>
      </c>
      <c r="H329" s="181"/>
      <c r="I329" s="170"/>
      <c r="J329" s="170"/>
      <c r="K329" s="170"/>
      <c r="L329" s="170"/>
      <c r="M329" s="170"/>
      <c r="N329" s="170"/>
      <c r="O329" s="175"/>
      <c r="P329" s="71" t="s">
        <v>1557</v>
      </c>
      <c r="Q329" s="50" t="s">
        <v>89</v>
      </c>
      <c r="R329" s="51" t="s">
        <v>1540</v>
      </c>
      <c r="S329" s="52" t="s">
        <v>1541</v>
      </c>
      <c r="T329" s="53"/>
      <c r="U329" s="54"/>
      <c r="V329" s="55"/>
      <c r="W329" s="56"/>
      <c r="X329" s="54"/>
      <c r="Y329" s="170"/>
      <c r="Z329" s="170"/>
      <c r="AA329" s="170"/>
      <c r="AB329" s="170"/>
      <c r="AC329" s="173"/>
      <c r="AD329"/>
    </row>
    <row r="330" spans="1:30" ht="17.100000000000001" customHeight="1" thickTop="1">
      <c r="A330" s="176" t="s">
        <v>1558</v>
      </c>
      <c r="B330" s="33">
        <v>44275</v>
      </c>
      <c r="C330" s="78" t="s">
        <v>1559</v>
      </c>
      <c r="D330" s="35" t="s">
        <v>360</v>
      </c>
      <c r="E330" s="178"/>
      <c r="F330" s="128" t="s">
        <v>1560</v>
      </c>
      <c r="G330" s="37"/>
      <c r="H330" s="180">
        <v>4</v>
      </c>
      <c r="I330" s="169">
        <v>1090000</v>
      </c>
      <c r="J330" s="169">
        <v>109000</v>
      </c>
      <c r="K330" s="169">
        <v>0</v>
      </c>
      <c r="L330" s="169">
        <v>17420</v>
      </c>
      <c r="M330" s="169">
        <v>13200</v>
      </c>
      <c r="N330" s="169">
        <f>SUM(I330:M330)</f>
        <v>1229620</v>
      </c>
      <c r="O330" s="174">
        <v>1000000</v>
      </c>
      <c r="P330" s="160" t="s">
        <v>1561</v>
      </c>
      <c r="Q330" s="38" t="s">
        <v>88</v>
      </c>
      <c r="R330" s="39"/>
      <c r="S330" s="40" t="s">
        <v>1299</v>
      </c>
      <c r="T330" s="41"/>
      <c r="U330" s="42"/>
      <c r="V330" s="43"/>
      <c r="W330" s="44"/>
      <c r="X330" s="45"/>
      <c r="Y330" s="169"/>
      <c r="Z330" s="171">
        <f>Y330*0.1</f>
        <v>0</v>
      </c>
      <c r="AA330" s="169"/>
      <c r="AB330" s="169">
        <f>SUM(Y330:AA330)</f>
        <v>0</v>
      </c>
      <c r="AC330" s="172"/>
      <c r="AD330"/>
    </row>
    <row r="331" spans="1:30" ht="17.100000000000001" customHeight="1" thickBot="1">
      <c r="A331" s="177"/>
      <c r="B331" s="46" t="s">
        <v>892</v>
      </c>
      <c r="C331" s="46">
        <v>60109</v>
      </c>
      <c r="D331" s="47" t="s">
        <v>50</v>
      </c>
      <c r="E331" s="179"/>
      <c r="F331" s="48" t="s">
        <v>1562</v>
      </c>
      <c r="G331" s="49">
        <v>33507</v>
      </c>
      <c r="H331" s="181"/>
      <c r="I331" s="170"/>
      <c r="J331" s="170"/>
      <c r="K331" s="170"/>
      <c r="L331" s="170"/>
      <c r="M331" s="170"/>
      <c r="N331" s="170"/>
      <c r="O331" s="175"/>
      <c r="P331" s="71" t="s">
        <v>1563</v>
      </c>
      <c r="Q331" s="50" t="s">
        <v>89</v>
      </c>
      <c r="R331" s="51" t="s">
        <v>1564</v>
      </c>
      <c r="S331" s="52" t="s">
        <v>1565</v>
      </c>
      <c r="T331" s="53"/>
      <c r="U331" s="54"/>
      <c r="V331" s="55"/>
      <c r="W331" s="56"/>
      <c r="X331" s="54"/>
      <c r="Y331" s="170"/>
      <c r="Z331" s="170"/>
      <c r="AA331" s="170"/>
      <c r="AB331" s="170"/>
      <c r="AC331" s="173"/>
      <c r="AD331"/>
    </row>
    <row r="332" spans="1:30" ht="17.100000000000001" customHeight="1" thickTop="1">
      <c r="A332" s="176" t="s">
        <v>1566</v>
      </c>
      <c r="B332" s="33">
        <v>44291</v>
      </c>
      <c r="C332" s="78"/>
      <c r="D332" s="35" t="s">
        <v>1567</v>
      </c>
      <c r="E332" s="178"/>
      <c r="F332" s="128" t="s">
        <v>1568</v>
      </c>
      <c r="G332" s="37"/>
      <c r="H332" s="180">
        <v>3.5</v>
      </c>
      <c r="I332" s="169">
        <v>1282000</v>
      </c>
      <c r="J332" s="169">
        <v>128200</v>
      </c>
      <c r="K332" s="169">
        <v>0</v>
      </c>
      <c r="L332" s="169">
        <v>15440</v>
      </c>
      <c r="M332" s="169">
        <v>13200</v>
      </c>
      <c r="N332" s="169">
        <f>SUM(I332:M332)</f>
        <v>1438840</v>
      </c>
      <c r="O332" s="174">
        <v>1000000</v>
      </c>
      <c r="P332" s="160" t="s">
        <v>1569</v>
      </c>
      <c r="Q332" s="38" t="s">
        <v>88</v>
      </c>
      <c r="R332" s="39"/>
      <c r="S332" s="40" t="s">
        <v>93</v>
      </c>
      <c r="T332" s="41"/>
      <c r="U332" s="42"/>
      <c r="V332" s="43"/>
      <c r="W332" s="44"/>
      <c r="X332" s="45"/>
      <c r="Y332" s="169"/>
      <c r="Z332" s="171">
        <f>Y332*0.1</f>
        <v>0</v>
      </c>
      <c r="AA332" s="169"/>
      <c r="AB332" s="169">
        <f>SUM(Y332:AA332)</f>
        <v>0</v>
      </c>
      <c r="AC332" s="172"/>
      <c r="AD332"/>
    </row>
    <row r="333" spans="1:30" ht="17.100000000000001" customHeight="1" thickBot="1">
      <c r="A333" s="177"/>
      <c r="B333" s="46" t="s">
        <v>1570</v>
      </c>
      <c r="C333" s="46">
        <v>70393</v>
      </c>
      <c r="D333" s="47" t="s">
        <v>1419</v>
      </c>
      <c r="E333" s="179"/>
      <c r="F333" s="48" t="s">
        <v>1571</v>
      </c>
      <c r="G333" s="49">
        <v>51387</v>
      </c>
      <c r="H333" s="181"/>
      <c r="I333" s="170"/>
      <c r="J333" s="170"/>
      <c r="K333" s="170"/>
      <c r="L333" s="170"/>
      <c r="M333" s="170"/>
      <c r="N333" s="170"/>
      <c r="O333" s="175"/>
      <c r="P333" s="71" t="s">
        <v>1572</v>
      </c>
      <c r="Q333" s="50" t="s">
        <v>89</v>
      </c>
      <c r="R333" s="51" t="s">
        <v>1573</v>
      </c>
      <c r="S333" s="52" t="s">
        <v>1495</v>
      </c>
      <c r="T333" s="53"/>
      <c r="U333" s="54"/>
      <c r="V333" s="55"/>
      <c r="W333" s="56"/>
      <c r="X333" s="54"/>
      <c r="Y333" s="170"/>
      <c r="Z333" s="170"/>
      <c r="AA333" s="170"/>
      <c r="AB333" s="170"/>
      <c r="AC333" s="173"/>
      <c r="AD333"/>
    </row>
    <row r="334" spans="1:30" ht="17.100000000000001" customHeight="1" thickTop="1">
      <c r="A334" s="176" t="s">
        <v>1574</v>
      </c>
      <c r="B334" s="33">
        <v>44294</v>
      </c>
      <c r="C334" s="78" t="s">
        <v>1575</v>
      </c>
      <c r="D334" s="35" t="s">
        <v>1409</v>
      </c>
      <c r="E334" s="178"/>
      <c r="F334" s="128" t="s">
        <v>1576</v>
      </c>
      <c r="G334" s="37" t="s">
        <v>1309</v>
      </c>
      <c r="H334" s="180">
        <v>4.5</v>
      </c>
      <c r="I334" s="169">
        <v>2043000</v>
      </c>
      <c r="J334" s="169">
        <v>204300</v>
      </c>
      <c r="K334" s="169">
        <v>36200</v>
      </c>
      <c r="L334" s="169">
        <v>17700</v>
      </c>
      <c r="M334" s="169">
        <v>19800</v>
      </c>
      <c r="N334" s="169">
        <f>SUM(I334:M334)</f>
        <v>2321000</v>
      </c>
      <c r="O334" s="174">
        <v>1900000</v>
      </c>
      <c r="P334" s="160" t="s">
        <v>1577</v>
      </c>
      <c r="Q334" s="38" t="s">
        <v>88</v>
      </c>
      <c r="R334" s="39"/>
      <c r="S334" s="40" t="s">
        <v>1578</v>
      </c>
      <c r="T334" s="41"/>
      <c r="U334" s="42"/>
      <c r="V334" s="43"/>
      <c r="W334" s="44"/>
      <c r="X334" s="45"/>
      <c r="Y334" s="169"/>
      <c r="Z334" s="171">
        <f>Y334*0.1</f>
        <v>0</v>
      </c>
      <c r="AA334" s="169"/>
      <c r="AB334" s="169">
        <f>SUM(Y334:AA334)</f>
        <v>0</v>
      </c>
      <c r="AC334" s="172"/>
      <c r="AD334"/>
    </row>
    <row r="335" spans="1:30" ht="17.100000000000001" customHeight="1" thickBot="1">
      <c r="A335" s="177"/>
      <c r="B335" s="46" t="s">
        <v>1579</v>
      </c>
      <c r="C335" s="46">
        <v>10205</v>
      </c>
      <c r="D335" s="47" t="s">
        <v>1419</v>
      </c>
      <c r="E335" s="179"/>
      <c r="F335" s="48" t="s">
        <v>1580</v>
      </c>
      <c r="G335" s="49">
        <v>30408</v>
      </c>
      <c r="H335" s="181"/>
      <c r="I335" s="170"/>
      <c r="J335" s="170"/>
      <c r="K335" s="170"/>
      <c r="L335" s="170"/>
      <c r="M335" s="170"/>
      <c r="N335" s="170"/>
      <c r="O335" s="175"/>
      <c r="P335" s="71" t="s">
        <v>1581</v>
      </c>
      <c r="Q335" s="50" t="s">
        <v>89</v>
      </c>
      <c r="R335" s="51" t="s">
        <v>1582</v>
      </c>
      <c r="S335" s="52" t="s">
        <v>271</v>
      </c>
      <c r="T335" s="53"/>
      <c r="U335" s="54"/>
      <c r="V335" s="55"/>
      <c r="W335" s="56"/>
      <c r="X335" s="54"/>
      <c r="Y335" s="170"/>
      <c r="Z335" s="170"/>
      <c r="AA335" s="170"/>
      <c r="AB335" s="170"/>
      <c r="AC335" s="173"/>
      <c r="AD335"/>
    </row>
    <row r="336" spans="1:30" ht="17.100000000000001" customHeight="1" thickTop="1">
      <c r="A336" s="176" t="s">
        <v>1583</v>
      </c>
      <c r="B336" s="33">
        <v>44299</v>
      </c>
      <c r="C336" s="78" t="s">
        <v>1584</v>
      </c>
      <c r="D336" s="35" t="s">
        <v>300</v>
      </c>
      <c r="E336" s="178"/>
      <c r="F336" s="128" t="s">
        <v>1585</v>
      </c>
      <c r="G336" s="37"/>
      <c r="H336" s="180">
        <v>3</v>
      </c>
      <c r="I336" s="169">
        <v>930000</v>
      </c>
      <c r="J336" s="169">
        <v>93000</v>
      </c>
      <c r="K336" s="169">
        <v>0</v>
      </c>
      <c r="L336" s="169">
        <v>15590</v>
      </c>
      <c r="M336" s="169">
        <v>13200</v>
      </c>
      <c r="N336" s="169">
        <f>SUM(I336:M336)</f>
        <v>1051790</v>
      </c>
      <c r="O336" s="174">
        <v>700000</v>
      </c>
      <c r="P336" s="160" t="s">
        <v>1586</v>
      </c>
      <c r="Q336" s="38" t="s">
        <v>88</v>
      </c>
      <c r="R336" s="39"/>
      <c r="S336" s="40"/>
      <c r="T336" s="41"/>
      <c r="U336" s="42"/>
      <c r="V336" s="43"/>
      <c r="W336" s="44"/>
      <c r="X336" s="45"/>
      <c r="Y336" s="169"/>
      <c r="Z336" s="171">
        <f>Y336*0.1</f>
        <v>0</v>
      </c>
      <c r="AA336" s="169"/>
      <c r="AB336" s="169">
        <f>SUM(Y336:AA336)</f>
        <v>0</v>
      </c>
      <c r="AC336" s="172"/>
      <c r="AD336"/>
    </row>
    <row r="337" spans="1:30" ht="17.100000000000001" customHeight="1" thickBot="1">
      <c r="A337" s="177"/>
      <c r="B337" s="46" t="s">
        <v>211</v>
      </c>
      <c r="C337" s="46">
        <v>84155</v>
      </c>
      <c r="D337" s="47" t="s">
        <v>165</v>
      </c>
      <c r="E337" s="179"/>
      <c r="F337" s="48" t="s">
        <v>1587</v>
      </c>
      <c r="G337" s="49">
        <v>59138</v>
      </c>
      <c r="H337" s="181"/>
      <c r="I337" s="170"/>
      <c r="J337" s="170"/>
      <c r="K337" s="170"/>
      <c r="L337" s="170"/>
      <c r="M337" s="170"/>
      <c r="N337" s="170"/>
      <c r="O337" s="175"/>
      <c r="P337" s="71" t="s">
        <v>1588</v>
      </c>
      <c r="Q337" s="50" t="s">
        <v>89</v>
      </c>
      <c r="R337" s="51" t="s">
        <v>1589</v>
      </c>
      <c r="S337" s="52" t="s">
        <v>1590</v>
      </c>
      <c r="T337" s="53"/>
      <c r="U337" s="54"/>
      <c r="V337" s="55"/>
      <c r="W337" s="56"/>
      <c r="X337" s="54"/>
      <c r="Y337" s="170"/>
      <c r="Z337" s="170"/>
      <c r="AA337" s="170"/>
      <c r="AB337" s="170"/>
      <c r="AC337" s="173"/>
      <c r="AD337"/>
    </row>
    <row r="338" spans="1:30" ht="17.100000000000001" customHeight="1" thickTop="1">
      <c r="A338" s="176" t="s">
        <v>1591</v>
      </c>
      <c r="B338" s="33">
        <v>44303</v>
      </c>
      <c r="C338" s="78" t="s">
        <v>1592</v>
      </c>
      <c r="D338" s="35" t="s">
        <v>1593</v>
      </c>
      <c r="E338" s="178"/>
      <c r="F338" s="128" t="s">
        <v>1594</v>
      </c>
      <c r="G338" s="37"/>
      <c r="H338" s="180">
        <v>3.5</v>
      </c>
      <c r="I338" s="169">
        <v>500000</v>
      </c>
      <c r="J338" s="169">
        <v>50000</v>
      </c>
      <c r="K338" s="169">
        <v>0</v>
      </c>
      <c r="L338" s="169">
        <v>10010</v>
      </c>
      <c r="M338" s="169">
        <v>9900</v>
      </c>
      <c r="N338" s="169">
        <f>SUM(I338:M338)</f>
        <v>569910</v>
      </c>
      <c r="O338" s="174">
        <v>300000</v>
      </c>
      <c r="P338" s="160" t="s">
        <v>1595</v>
      </c>
      <c r="Q338" s="38" t="s">
        <v>88</v>
      </c>
      <c r="R338" s="39"/>
      <c r="S338" s="40"/>
      <c r="T338" s="41"/>
      <c r="U338" s="42"/>
      <c r="V338" s="43"/>
      <c r="W338" s="44"/>
      <c r="X338" s="45"/>
      <c r="Y338" s="169"/>
      <c r="Z338" s="171">
        <f>Y338*0.1</f>
        <v>0</v>
      </c>
      <c r="AA338" s="169"/>
      <c r="AB338" s="169">
        <f>SUM(Y338:AA338)</f>
        <v>0</v>
      </c>
      <c r="AC338" s="172"/>
      <c r="AD338"/>
    </row>
    <row r="339" spans="1:30" ht="17.100000000000001" customHeight="1" thickBot="1">
      <c r="A339" s="177"/>
      <c r="B339" s="46" t="s">
        <v>115</v>
      </c>
      <c r="C339" s="46">
        <v>33185</v>
      </c>
      <c r="D339" s="47" t="s">
        <v>137</v>
      </c>
      <c r="E339" s="179"/>
      <c r="F339" s="48" t="s">
        <v>1596</v>
      </c>
      <c r="G339" s="49">
        <v>37727</v>
      </c>
      <c r="H339" s="181"/>
      <c r="I339" s="170"/>
      <c r="J339" s="170"/>
      <c r="K339" s="170"/>
      <c r="L339" s="170"/>
      <c r="M339" s="170"/>
      <c r="N339" s="170"/>
      <c r="O339" s="175"/>
      <c r="P339" s="71" t="s">
        <v>1597</v>
      </c>
      <c r="Q339" s="50" t="s">
        <v>89</v>
      </c>
      <c r="R339" s="51" t="s">
        <v>1598</v>
      </c>
      <c r="S339" s="52"/>
      <c r="T339" s="53"/>
      <c r="U339" s="54"/>
      <c r="V339" s="55"/>
      <c r="W339" s="56"/>
      <c r="X339" s="54"/>
      <c r="Y339" s="170"/>
      <c r="Z339" s="170"/>
      <c r="AA339" s="170"/>
      <c r="AB339" s="170"/>
      <c r="AC339" s="173"/>
      <c r="AD339"/>
    </row>
    <row r="340" spans="1:30" ht="17.100000000000001" customHeight="1" thickTop="1">
      <c r="A340" s="176" t="s">
        <v>1599</v>
      </c>
      <c r="B340" s="33">
        <v>44330</v>
      </c>
      <c r="C340" s="78" t="s">
        <v>1600</v>
      </c>
      <c r="D340" s="35" t="s">
        <v>1256</v>
      </c>
      <c r="E340" s="178"/>
      <c r="F340" s="128" t="s">
        <v>1601</v>
      </c>
      <c r="G340" s="37"/>
      <c r="H340" s="180">
        <v>4</v>
      </c>
      <c r="I340" s="169">
        <v>2065000</v>
      </c>
      <c r="J340" s="169">
        <v>206500</v>
      </c>
      <c r="K340" s="169">
        <v>0</v>
      </c>
      <c r="L340" s="169">
        <v>18300</v>
      </c>
      <c r="M340" s="169">
        <v>13200</v>
      </c>
      <c r="N340" s="169">
        <f>SUM(I340:M340)</f>
        <v>2303000</v>
      </c>
      <c r="O340" s="174">
        <v>2000000</v>
      </c>
      <c r="P340" s="160" t="s">
        <v>1602</v>
      </c>
      <c r="Q340" s="38" t="s">
        <v>88</v>
      </c>
      <c r="R340" s="39"/>
      <c r="S340" s="40" t="s">
        <v>1481</v>
      </c>
      <c r="T340" s="41"/>
      <c r="U340" s="42"/>
      <c r="V340" s="43"/>
      <c r="W340" s="44"/>
      <c r="X340" s="45"/>
      <c r="Y340" s="169"/>
      <c r="Z340" s="171">
        <f>Y340*0.1</f>
        <v>0</v>
      </c>
      <c r="AA340" s="169"/>
      <c r="AB340" s="169">
        <f>SUM(Y340:AA340)</f>
        <v>0</v>
      </c>
      <c r="AC340" s="172"/>
      <c r="AD340"/>
    </row>
    <row r="341" spans="1:30" ht="17.100000000000001" customHeight="1" thickBot="1">
      <c r="A341" s="177"/>
      <c r="B341" s="46" t="s">
        <v>294</v>
      </c>
      <c r="C341" s="46">
        <v>58741</v>
      </c>
      <c r="D341" s="47" t="s">
        <v>919</v>
      </c>
      <c r="E341" s="179"/>
      <c r="F341" s="48" t="s">
        <v>1603</v>
      </c>
      <c r="G341" s="49">
        <v>47295</v>
      </c>
      <c r="H341" s="181"/>
      <c r="I341" s="170"/>
      <c r="J341" s="170"/>
      <c r="K341" s="170"/>
      <c r="L341" s="170"/>
      <c r="M341" s="170"/>
      <c r="N341" s="170"/>
      <c r="O341" s="175"/>
      <c r="P341" s="71" t="s">
        <v>1604</v>
      </c>
      <c r="Q341" s="50" t="s">
        <v>89</v>
      </c>
      <c r="R341" s="51" t="s">
        <v>1605</v>
      </c>
      <c r="S341" s="52" t="s">
        <v>1606</v>
      </c>
      <c r="T341" s="53"/>
      <c r="U341" s="54"/>
      <c r="V341" s="55"/>
      <c r="W341" s="56"/>
      <c r="X341" s="54"/>
      <c r="Y341" s="170"/>
      <c r="Z341" s="170"/>
      <c r="AA341" s="170"/>
      <c r="AB341" s="170"/>
      <c r="AC341" s="173"/>
      <c r="AD341"/>
    </row>
    <row r="342" spans="1:30" ht="17.100000000000001" customHeight="1" thickTop="1">
      <c r="A342" s="176" t="s">
        <v>1607</v>
      </c>
      <c r="B342" s="33">
        <v>44342</v>
      </c>
      <c r="C342" s="78" t="s">
        <v>1608</v>
      </c>
      <c r="D342" s="35" t="s">
        <v>468</v>
      </c>
      <c r="E342" s="178"/>
      <c r="F342" s="128" t="s">
        <v>1609</v>
      </c>
      <c r="G342" s="37"/>
      <c r="H342" s="180">
        <v>4.5</v>
      </c>
      <c r="I342" s="169">
        <v>1700000</v>
      </c>
      <c r="J342" s="169">
        <v>170000</v>
      </c>
      <c r="K342" s="169">
        <v>0</v>
      </c>
      <c r="L342" s="169">
        <v>21650</v>
      </c>
      <c r="M342" s="169">
        <v>15950</v>
      </c>
      <c r="N342" s="169">
        <f>SUM(I342:M342)</f>
        <v>1907600</v>
      </c>
      <c r="O342" s="174">
        <v>1600000</v>
      </c>
      <c r="P342" s="160" t="s">
        <v>1610</v>
      </c>
      <c r="Q342" s="38" t="s">
        <v>88</v>
      </c>
      <c r="R342" s="39"/>
      <c r="S342" s="40"/>
      <c r="T342" s="41"/>
      <c r="U342" s="42"/>
      <c r="V342" s="43"/>
      <c r="W342" s="44"/>
      <c r="X342" s="45"/>
      <c r="Y342" s="169"/>
      <c r="Z342" s="171">
        <f>Y342*0.1</f>
        <v>0</v>
      </c>
      <c r="AA342" s="169"/>
      <c r="AB342" s="169">
        <f>SUM(Y342:AA342)</f>
        <v>0</v>
      </c>
      <c r="AC342" s="172"/>
      <c r="AD342"/>
    </row>
    <row r="343" spans="1:30" ht="17.100000000000001" customHeight="1" thickBot="1">
      <c r="A343" s="177"/>
      <c r="B343" s="46" t="s">
        <v>792</v>
      </c>
      <c r="C343" s="46">
        <v>36118</v>
      </c>
      <c r="D343" s="47" t="s">
        <v>919</v>
      </c>
      <c r="E343" s="179"/>
      <c r="F343" s="48" t="s">
        <v>1611</v>
      </c>
      <c r="G343" s="49">
        <v>28571</v>
      </c>
      <c r="H343" s="181"/>
      <c r="I343" s="170"/>
      <c r="J343" s="170"/>
      <c r="K343" s="170"/>
      <c r="L343" s="170"/>
      <c r="M343" s="170"/>
      <c r="N343" s="170"/>
      <c r="O343" s="175"/>
      <c r="P343" s="71" t="s">
        <v>1612</v>
      </c>
      <c r="Q343" s="50" t="s">
        <v>89</v>
      </c>
      <c r="R343" s="51" t="s">
        <v>931</v>
      </c>
      <c r="S343" s="52" t="s">
        <v>1613</v>
      </c>
      <c r="T343" s="53"/>
      <c r="U343" s="54"/>
      <c r="V343" s="55"/>
      <c r="W343" s="56"/>
      <c r="X343" s="54"/>
      <c r="Y343" s="170"/>
      <c r="Z343" s="170"/>
      <c r="AA343" s="170"/>
      <c r="AB343" s="170"/>
      <c r="AC343" s="173"/>
      <c r="AD343"/>
    </row>
    <row r="344" spans="1:30" ht="17.100000000000001" customHeight="1" thickTop="1">
      <c r="A344" s="176" t="s">
        <v>1614</v>
      </c>
      <c r="B344" s="33">
        <v>44345</v>
      </c>
      <c r="C344" s="78" t="s">
        <v>1615</v>
      </c>
      <c r="D344" s="35" t="s">
        <v>1616</v>
      </c>
      <c r="E344" s="178"/>
      <c r="F344" s="128" t="s">
        <v>1617</v>
      </c>
      <c r="G344" s="37" t="s">
        <v>1618</v>
      </c>
      <c r="H344" s="180">
        <v>4.5</v>
      </c>
      <c r="I344" s="169">
        <v>1310000</v>
      </c>
      <c r="J344" s="169">
        <v>131000</v>
      </c>
      <c r="K344" s="169">
        <v>42500</v>
      </c>
      <c r="L344" s="169">
        <v>19670</v>
      </c>
      <c r="M344" s="169">
        <v>13200</v>
      </c>
      <c r="N344" s="169">
        <f>SUM(I344:M344)</f>
        <v>1516370</v>
      </c>
      <c r="O344" s="174">
        <v>1100000</v>
      </c>
      <c r="P344" s="160" t="s">
        <v>1619</v>
      </c>
      <c r="Q344" s="38" t="s">
        <v>88</v>
      </c>
      <c r="R344" s="39"/>
      <c r="S344" s="40" t="s">
        <v>1620</v>
      </c>
      <c r="T344" s="41"/>
      <c r="U344" s="42"/>
      <c r="V344" s="43" t="s">
        <v>1621</v>
      </c>
      <c r="W344" s="44"/>
      <c r="X344" s="45"/>
      <c r="Y344" s="169"/>
      <c r="Z344" s="171">
        <f>Y344*0.1</f>
        <v>0</v>
      </c>
      <c r="AA344" s="169"/>
      <c r="AB344" s="169">
        <f>SUM(Y344:AA344)</f>
        <v>0</v>
      </c>
      <c r="AC344" s="172"/>
      <c r="AD344"/>
    </row>
    <row r="345" spans="1:30" ht="17.100000000000001" customHeight="1" thickBot="1">
      <c r="A345" s="177"/>
      <c r="B345" s="46" t="s">
        <v>892</v>
      </c>
      <c r="C345" s="46">
        <v>83007</v>
      </c>
      <c r="D345" s="47" t="s">
        <v>781</v>
      </c>
      <c r="E345" s="179"/>
      <c r="F345" s="48" t="s">
        <v>1622</v>
      </c>
      <c r="G345" s="49">
        <v>28244</v>
      </c>
      <c r="H345" s="181"/>
      <c r="I345" s="170"/>
      <c r="J345" s="170"/>
      <c r="K345" s="170"/>
      <c r="L345" s="170"/>
      <c r="M345" s="170"/>
      <c r="N345" s="170"/>
      <c r="O345" s="175"/>
      <c r="P345" s="71" t="s">
        <v>1623</v>
      </c>
      <c r="Q345" s="50" t="s">
        <v>89</v>
      </c>
      <c r="R345" s="51" t="s">
        <v>740</v>
      </c>
      <c r="S345" s="52" t="s">
        <v>1624</v>
      </c>
      <c r="T345" s="53"/>
      <c r="U345" s="54"/>
      <c r="V345" s="55" t="s">
        <v>1496</v>
      </c>
      <c r="W345" s="56"/>
      <c r="X345" s="54"/>
      <c r="Y345" s="170"/>
      <c r="Z345" s="170"/>
      <c r="AA345" s="170"/>
      <c r="AB345" s="170"/>
      <c r="AC345" s="173"/>
      <c r="AD345"/>
    </row>
    <row r="346" spans="1:30" ht="17.100000000000001" customHeight="1" thickTop="1">
      <c r="A346" s="176" t="s">
        <v>1625</v>
      </c>
      <c r="B346" s="33">
        <v>44350</v>
      </c>
      <c r="C346" s="78" t="s">
        <v>1626</v>
      </c>
      <c r="D346" s="35" t="s">
        <v>266</v>
      </c>
      <c r="E346" s="178"/>
      <c r="F346" s="128" t="s">
        <v>1627</v>
      </c>
      <c r="G346" s="37"/>
      <c r="H346" s="180">
        <v>3.5</v>
      </c>
      <c r="I346" s="169">
        <v>2175000</v>
      </c>
      <c r="J346" s="169">
        <v>217500</v>
      </c>
      <c r="K346" s="169">
        <v>0</v>
      </c>
      <c r="L346" s="169">
        <v>19180</v>
      </c>
      <c r="M346" s="169">
        <v>13200</v>
      </c>
      <c r="N346" s="169">
        <f>SUM(I346:M346)</f>
        <v>2424880</v>
      </c>
      <c r="O346" s="174">
        <v>2000000</v>
      </c>
      <c r="P346" s="160" t="s">
        <v>1628</v>
      </c>
      <c r="Q346" s="38" t="s">
        <v>88</v>
      </c>
      <c r="R346" s="39"/>
      <c r="S346" s="40" t="s">
        <v>1629</v>
      </c>
      <c r="T346" s="41"/>
      <c r="U346" s="42"/>
      <c r="V346" s="43"/>
      <c r="W346" s="44"/>
      <c r="X346" s="45"/>
      <c r="Y346" s="169"/>
      <c r="Z346" s="171">
        <f>Y346*0.1</f>
        <v>0</v>
      </c>
      <c r="AA346" s="169"/>
      <c r="AB346" s="169">
        <f>SUM(Y346:AA346)</f>
        <v>0</v>
      </c>
      <c r="AC346" s="172"/>
      <c r="AD346"/>
    </row>
    <row r="347" spans="1:30" ht="17.100000000000001" customHeight="1" thickBot="1">
      <c r="A347" s="177"/>
      <c r="B347" s="46" t="s">
        <v>136</v>
      </c>
      <c r="C347" s="46">
        <v>148</v>
      </c>
      <c r="D347" s="47" t="s">
        <v>137</v>
      </c>
      <c r="E347" s="179"/>
      <c r="F347" s="48" t="s">
        <v>1630</v>
      </c>
      <c r="G347" s="49">
        <v>68042</v>
      </c>
      <c r="H347" s="181"/>
      <c r="I347" s="170"/>
      <c r="J347" s="170"/>
      <c r="K347" s="170"/>
      <c r="L347" s="170"/>
      <c r="M347" s="170"/>
      <c r="N347" s="170"/>
      <c r="O347" s="175"/>
      <c r="P347" s="71" t="s">
        <v>1631</v>
      </c>
      <c r="Q347" s="50" t="s">
        <v>89</v>
      </c>
      <c r="R347" s="51" t="s">
        <v>946</v>
      </c>
      <c r="S347" s="52" t="s">
        <v>938</v>
      </c>
      <c r="T347" s="53"/>
      <c r="U347" s="54"/>
      <c r="V347" s="55"/>
      <c r="W347" s="56"/>
      <c r="X347" s="54"/>
      <c r="Y347" s="170"/>
      <c r="Z347" s="170"/>
      <c r="AA347" s="170"/>
      <c r="AB347" s="170"/>
      <c r="AC347" s="173"/>
      <c r="AD347"/>
    </row>
    <row r="348" spans="1:30" ht="17.100000000000001" customHeight="1" thickTop="1">
      <c r="A348" s="176" t="s">
        <v>1632</v>
      </c>
      <c r="B348" s="33">
        <v>44357</v>
      </c>
      <c r="C348" s="78" t="s">
        <v>1633</v>
      </c>
      <c r="D348" s="35" t="s">
        <v>1147</v>
      </c>
      <c r="E348" s="178"/>
      <c r="F348" s="128" t="s">
        <v>1634</v>
      </c>
      <c r="G348" s="37" t="s">
        <v>721</v>
      </c>
      <c r="H348" s="180">
        <v>4.5</v>
      </c>
      <c r="I348" s="169">
        <v>2970000</v>
      </c>
      <c r="J348" s="169">
        <v>297000</v>
      </c>
      <c r="K348" s="169">
        <v>66000</v>
      </c>
      <c r="L348" s="169">
        <v>19620</v>
      </c>
      <c r="M348" s="169">
        <v>13200</v>
      </c>
      <c r="N348" s="169">
        <f>SUM(I348:M348)</f>
        <v>3365820</v>
      </c>
      <c r="O348" s="174">
        <v>3000000</v>
      </c>
      <c r="P348" s="160" t="s">
        <v>1635</v>
      </c>
      <c r="Q348" s="38" t="s">
        <v>88</v>
      </c>
      <c r="R348" s="39"/>
      <c r="S348" s="40"/>
      <c r="T348" s="41"/>
      <c r="U348" s="42"/>
      <c r="V348" s="43" t="s">
        <v>1636</v>
      </c>
      <c r="W348" s="44"/>
      <c r="X348" s="45"/>
      <c r="Y348" s="169"/>
      <c r="Z348" s="171">
        <f>Y348*0.1</f>
        <v>0</v>
      </c>
      <c r="AA348" s="169"/>
      <c r="AB348" s="169">
        <f>SUM(Y348:AA348)</f>
        <v>0</v>
      </c>
      <c r="AC348" s="172"/>
      <c r="AD348"/>
    </row>
    <row r="349" spans="1:30" ht="17.100000000000001" customHeight="1" thickBot="1">
      <c r="A349" s="177"/>
      <c r="B349" s="46" t="s">
        <v>229</v>
      </c>
      <c r="C349" s="46">
        <v>75271</v>
      </c>
      <c r="D349" s="47" t="s">
        <v>674</v>
      </c>
      <c r="E349" s="179"/>
      <c r="F349" s="48" t="s">
        <v>1637</v>
      </c>
      <c r="G349" s="49">
        <v>49543</v>
      </c>
      <c r="H349" s="181"/>
      <c r="I349" s="170"/>
      <c r="J349" s="170"/>
      <c r="K349" s="170"/>
      <c r="L349" s="170"/>
      <c r="M349" s="170"/>
      <c r="N349" s="170"/>
      <c r="O349" s="175"/>
      <c r="P349" s="71" t="s">
        <v>1539</v>
      </c>
      <c r="Q349" s="50" t="s">
        <v>89</v>
      </c>
      <c r="R349" s="51" t="s">
        <v>964</v>
      </c>
      <c r="S349" s="52" t="s">
        <v>1533</v>
      </c>
      <c r="T349" s="53"/>
      <c r="U349" s="54"/>
      <c r="V349" s="55" t="s">
        <v>1235</v>
      </c>
      <c r="W349" s="56"/>
      <c r="X349" s="54"/>
      <c r="Y349" s="170"/>
      <c r="Z349" s="170"/>
      <c r="AA349" s="170"/>
      <c r="AB349" s="170"/>
      <c r="AC349" s="173"/>
      <c r="AD349"/>
    </row>
    <row r="350" spans="1:30" ht="17.100000000000001" customHeight="1" thickTop="1">
      <c r="A350" s="176" t="s">
        <v>1638</v>
      </c>
      <c r="B350" s="33">
        <v>44358</v>
      </c>
      <c r="C350" s="78" t="s">
        <v>1639</v>
      </c>
      <c r="D350" s="35" t="s">
        <v>395</v>
      </c>
      <c r="E350" s="178"/>
      <c r="F350" s="128" t="s">
        <v>1640</v>
      </c>
      <c r="G350" s="37"/>
      <c r="H350" s="180">
        <v>4.5</v>
      </c>
      <c r="I350" s="169">
        <v>3400000</v>
      </c>
      <c r="J350" s="169">
        <v>340000</v>
      </c>
      <c r="K350" s="169">
        <v>0</v>
      </c>
      <c r="L350" s="169">
        <v>19470</v>
      </c>
      <c r="M350" s="169">
        <v>13200</v>
      </c>
      <c r="N350" s="169">
        <f>SUM(I350:M350)</f>
        <v>3772670</v>
      </c>
      <c r="O350" s="174">
        <v>3300000</v>
      </c>
      <c r="P350" s="160" t="s">
        <v>1641</v>
      </c>
      <c r="Q350" s="38" t="s">
        <v>88</v>
      </c>
      <c r="R350" s="39"/>
      <c r="S350" s="40" t="s">
        <v>1555</v>
      </c>
      <c r="T350" s="41"/>
      <c r="U350" s="42"/>
      <c r="V350" s="43"/>
      <c r="W350" s="44"/>
      <c r="X350" s="45"/>
      <c r="Y350" s="169"/>
      <c r="Z350" s="171">
        <f>Y350*0.1</f>
        <v>0</v>
      </c>
      <c r="AA350" s="169"/>
      <c r="AB350" s="169">
        <f>SUM(Y350:AA350)</f>
        <v>0</v>
      </c>
      <c r="AC350" s="172"/>
      <c r="AD350"/>
    </row>
    <row r="351" spans="1:30" ht="17.100000000000001" customHeight="1" thickBot="1">
      <c r="A351" s="177"/>
      <c r="B351" s="46" t="s">
        <v>294</v>
      </c>
      <c r="C351" s="46">
        <v>58530</v>
      </c>
      <c r="D351" s="47" t="s">
        <v>362</v>
      </c>
      <c r="E351" s="179"/>
      <c r="F351" s="48" t="s">
        <v>1642</v>
      </c>
      <c r="G351" s="49">
        <v>55552</v>
      </c>
      <c r="H351" s="181"/>
      <c r="I351" s="170"/>
      <c r="J351" s="170"/>
      <c r="K351" s="170"/>
      <c r="L351" s="170"/>
      <c r="M351" s="170"/>
      <c r="N351" s="170"/>
      <c r="O351" s="175"/>
      <c r="P351" s="71" t="s">
        <v>1643</v>
      </c>
      <c r="Q351" s="50" t="s">
        <v>89</v>
      </c>
      <c r="R351" s="51" t="s">
        <v>964</v>
      </c>
      <c r="S351" s="52" t="s">
        <v>1555</v>
      </c>
      <c r="T351" s="53"/>
      <c r="U351" s="54"/>
      <c r="V351" s="55"/>
      <c r="W351" s="56"/>
      <c r="X351" s="54"/>
      <c r="Y351" s="170"/>
      <c r="Z351" s="170"/>
      <c r="AA351" s="170"/>
      <c r="AB351" s="170"/>
      <c r="AC351" s="173"/>
      <c r="AD351"/>
    </row>
    <row r="352" spans="1:30" ht="17.100000000000001" customHeight="1" thickTop="1">
      <c r="A352" s="176" t="s">
        <v>1644</v>
      </c>
      <c r="B352" s="33">
        <v>44364</v>
      </c>
      <c r="C352" s="34">
        <v>1326</v>
      </c>
      <c r="D352" s="35" t="s">
        <v>1645</v>
      </c>
      <c r="E352" s="178"/>
      <c r="F352" s="128" t="s">
        <v>1646</v>
      </c>
      <c r="G352" s="37"/>
      <c r="H352" s="180">
        <v>4.5</v>
      </c>
      <c r="I352" s="169">
        <v>3555000</v>
      </c>
      <c r="J352" s="169">
        <v>355500</v>
      </c>
      <c r="K352" s="169">
        <v>0</v>
      </c>
      <c r="L352" s="169">
        <v>16930</v>
      </c>
      <c r="M352" s="169">
        <v>13200</v>
      </c>
      <c r="N352" s="169">
        <f>SUM(I352:M352)</f>
        <v>3940630</v>
      </c>
      <c r="O352" s="174">
        <v>3600000</v>
      </c>
      <c r="P352" s="160" t="s">
        <v>1647</v>
      </c>
      <c r="Q352" s="38" t="s">
        <v>88</v>
      </c>
      <c r="R352" s="39"/>
      <c r="S352" s="40" t="s">
        <v>1648</v>
      </c>
      <c r="T352" s="41"/>
      <c r="U352" s="42"/>
      <c r="V352" s="43"/>
      <c r="W352" s="44"/>
      <c r="X352" s="45"/>
      <c r="Y352" s="169"/>
      <c r="Z352" s="171">
        <f>Y352*0.1</f>
        <v>0</v>
      </c>
      <c r="AA352" s="169"/>
      <c r="AB352" s="169">
        <f>SUM(Y352:AA352)</f>
        <v>0</v>
      </c>
      <c r="AC352" s="172"/>
      <c r="AD352"/>
    </row>
    <row r="353" spans="1:30" ht="17.100000000000001" customHeight="1" thickBot="1">
      <c r="A353" s="177"/>
      <c r="B353" s="46" t="s">
        <v>229</v>
      </c>
      <c r="C353" s="46">
        <v>75828</v>
      </c>
      <c r="D353" s="47" t="s">
        <v>312</v>
      </c>
      <c r="E353" s="179"/>
      <c r="F353" s="48" t="s">
        <v>1649</v>
      </c>
      <c r="G353" s="49">
        <v>48701</v>
      </c>
      <c r="H353" s="181"/>
      <c r="I353" s="170"/>
      <c r="J353" s="170"/>
      <c r="K353" s="170"/>
      <c r="L353" s="170"/>
      <c r="M353" s="170"/>
      <c r="N353" s="170"/>
      <c r="O353" s="175"/>
      <c r="P353" s="71" t="s">
        <v>1650</v>
      </c>
      <c r="Q353" s="50" t="s">
        <v>89</v>
      </c>
      <c r="R353" s="51" t="s">
        <v>984</v>
      </c>
      <c r="S353" s="52" t="s">
        <v>1485</v>
      </c>
      <c r="T353" s="53"/>
      <c r="U353" s="54"/>
      <c r="V353" s="55"/>
      <c r="W353" s="56"/>
      <c r="X353" s="54"/>
      <c r="Y353" s="170"/>
      <c r="Z353" s="170"/>
      <c r="AA353" s="170"/>
      <c r="AB353" s="170"/>
      <c r="AC353" s="173"/>
      <c r="AD353"/>
    </row>
    <row r="354" spans="1:30" ht="17.100000000000001" customHeight="1" thickTop="1">
      <c r="A354" s="176" t="s">
        <v>1651</v>
      </c>
      <c r="B354" s="33">
        <v>44371</v>
      </c>
      <c r="C354" s="34">
        <v>1327</v>
      </c>
      <c r="D354" s="35" t="s">
        <v>1024</v>
      </c>
      <c r="E354" s="178"/>
      <c r="F354" s="128" t="s">
        <v>1652</v>
      </c>
      <c r="G354" s="37" t="s">
        <v>1653</v>
      </c>
      <c r="H354" s="180">
        <v>4.5</v>
      </c>
      <c r="I354" s="169">
        <v>2960000</v>
      </c>
      <c r="J354" s="169">
        <v>296000</v>
      </c>
      <c r="K354" s="169">
        <v>49800</v>
      </c>
      <c r="L354" s="169">
        <v>19270</v>
      </c>
      <c r="M354" s="169">
        <v>13200</v>
      </c>
      <c r="N354" s="169">
        <f>SUM(I354:M354)</f>
        <v>3338270</v>
      </c>
      <c r="O354" s="174">
        <v>3000000</v>
      </c>
      <c r="P354" s="160" t="s">
        <v>1654</v>
      </c>
      <c r="Q354" s="38" t="s">
        <v>88</v>
      </c>
      <c r="R354" s="39"/>
      <c r="S354" s="40" t="s">
        <v>1474</v>
      </c>
      <c r="T354" s="41"/>
      <c r="U354" s="42"/>
      <c r="V354" s="43" t="s">
        <v>1655</v>
      </c>
      <c r="W354" s="44"/>
      <c r="X354" s="45"/>
      <c r="Y354" s="169"/>
      <c r="Z354" s="171">
        <f>Y354*0.1</f>
        <v>0</v>
      </c>
      <c r="AA354" s="169"/>
      <c r="AB354" s="169">
        <f>SUM(Y354:AA354)</f>
        <v>0</v>
      </c>
      <c r="AC354" s="172"/>
      <c r="AD354"/>
    </row>
    <row r="355" spans="1:30" ht="17.100000000000001" customHeight="1" thickBot="1">
      <c r="A355" s="177"/>
      <c r="B355" s="46" t="s">
        <v>229</v>
      </c>
      <c r="C355" s="46">
        <v>75829</v>
      </c>
      <c r="D355" s="47" t="s">
        <v>312</v>
      </c>
      <c r="E355" s="179"/>
      <c r="F355" s="48" t="s">
        <v>1656</v>
      </c>
      <c r="G355" s="49">
        <v>49885</v>
      </c>
      <c r="H355" s="181"/>
      <c r="I355" s="170"/>
      <c r="J355" s="170"/>
      <c r="K355" s="170"/>
      <c r="L355" s="170"/>
      <c r="M355" s="170"/>
      <c r="N355" s="170"/>
      <c r="O355" s="175"/>
      <c r="P355" s="71" t="s">
        <v>1657</v>
      </c>
      <c r="Q355" s="50" t="s">
        <v>89</v>
      </c>
      <c r="R355" s="51" t="s">
        <v>993</v>
      </c>
      <c r="S355" s="52" t="s">
        <v>1658</v>
      </c>
      <c r="T355" s="53"/>
      <c r="U355" s="54"/>
      <c r="V355" s="55" t="s">
        <v>1145</v>
      </c>
      <c r="W355" s="56"/>
      <c r="X355" s="54"/>
      <c r="Y355" s="170"/>
      <c r="Z355" s="170"/>
      <c r="AA355" s="170"/>
      <c r="AB355" s="170"/>
      <c r="AC355" s="173"/>
      <c r="AD355"/>
    </row>
    <row r="356" spans="1:30" ht="17.100000000000001" customHeight="1" thickTop="1">
      <c r="A356" s="176" t="s">
        <v>1659</v>
      </c>
      <c r="B356" s="33">
        <v>44373</v>
      </c>
      <c r="C356" s="34">
        <v>1061</v>
      </c>
      <c r="D356" s="35" t="s">
        <v>1423</v>
      </c>
      <c r="E356" s="178"/>
      <c r="F356" s="128" t="s">
        <v>1660</v>
      </c>
      <c r="G356" s="37" t="s">
        <v>1661</v>
      </c>
      <c r="H356" s="180">
        <v>4.5</v>
      </c>
      <c r="I356" s="169">
        <v>2330000</v>
      </c>
      <c r="J356" s="169">
        <v>233000</v>
      </c>
      <c r="K356" s="169">
        <v>29600</v>
      </c>
      <c r="L356" s="169">
        <v>16930</v>
      </c>
      <c r="M356" s="169">
        <v>13200</v>
      </c>
      <c r="N356" s="169">
        <f>SUM(I356:M356)</f>
        <v>2622730</v>
      </c>
      <c r="O356" s="174">
        <v>2000000</v>
      </c>
      <c r="P356" s="160" t="s">
        <v>1662</v>
      </c>
      <c r="Q356" s="38" t="s">
        <v>88</v>
      </c>
      <c r="R356" s="39"/>
      <c r="S356" s="40" t="s">
        <v>1522</v>
      </c>
      <c r="T356" s="41"/>
      <c r="U356" s="42"/>
      <c r="V356" s="43" t="s">
        <v>1663</v>
      </c>
      <c r="W356" s="44"/>
      <c r="X356" s="45"/>
      <c r="Y356" s="169"/>
      <c r="Z356" s="171">
        <f>Y356*0.1</f>
        <v>0</v>
      </c>
      <c r="AA356" s="169"/>
      <c r="AB356" s="169">
        <f>SUM(Y356:AA356)</f>
        <v>0</v>
      </c>
      <c r="AC356" s="172"/>
      <c r="AD356"/>
    </row>
    <row r="357" spans="1:30" ht="17.100000000000001" customHeight="1" thickBot="1">
      <c r="A357" s="177"/>
      <c r="B357" s="46" t="s">
        <v>115</v>
      </c>
      <c r="C357" s="46">
        <v>82178</v>
      </c>
      <c r="D357" s="47" t="s">
        <v>1458</v>
      </c>
      <c r="E357" s="179"/>
      <c r="F357" s="48" t="s">
        <v>1664</v>
      </c>
      <c r="G357" s="49">
        <v>27469</v>
      </c>
      <c r="H357" s="181"/>
      <c r="I357" s="170"/>
      <c r="J357" s="170"/>
      <c r="K357" s="170"/>
      <c r="L357" s="170"/>
      <c r="M357" s="170"/>
      <c r="N357" s="170"/>
      <c r="O357" s="175"/>
      <c r="P357" s="71" t="s">
        <v>1665</v>
      </c>
      <c r="Q357" s="50" t="s">
        <v>89</v>
      </c>
      <c r="R357" s="51" t="s">
        <v>1666</v>
      </c>
      <c r="S357" s="52" t="s">
        <v>1485</v>
      </c>
      <c r="T357" s="53"/>
      <c r="U357" s="54"/>
      <c r="V357" s="55" t="s">
        <v>1496</v>
      </c>
      <c r="W357" s="56"/>
      <c r="X357" s="54"/>
      <c r="Y357" s="170"/>
      <c r="Z357" s="170"/>
      <c r="AA357" s="170"/>
      <c r="AB357" s="170"/>
      <c r="AC357" s="173"/>
      <c r="AD357"/>
    </row>
    <row r="358" spans="1:30" ht="17.100000000000001" customHeight="1" thickTop="1">
      <c r="A358" s="176" t="s">
        <v>1667</v>
      </c>
      <c r="B358" s="33">
        <v>44378</v>
      </c>
      <c r="C358" s="34">
        <v>1094</v>
      </c>
      <c r="D358" s="35" t="s">
        <v>1668</v>
      </c>
      <c r="E358" s="178"/>
      <c r="F358" s="128" t="s">
        <v>1669</v>
      </c>
      <c r="G358" s="37" t="s">
        <v>1288</v>
      </c>
      <c r="H358" s="180">
        <v>4.5</v>
      </c>
      <c r="I358" s="169">
        <v>1445000</v>
      </c>
      <c r="J358" s="169">
        <v>144500</v>
      </c>
      <c r="K358" s="169">
        <v>26300</v>
      </c>
      <c r="L358" s="169">
        <v>19750</v>
      </c>
      <c r="M358" s="169">
        <v>13200</v>
      </c>
      <c r="N358" s="169">
        <f>SUM(I358:M358)</f>
        <v>1648750</v>
      </c>
      <c r="O358" s="174">
        <v>1250000</v>
      </c>
      <c r="P358" s="160" t="s">
        <v>1670</v>
      </c>
      <c r="Q358" s="38" t="s">
        <v>88</v>
      </c>
      <c r="R358" s="39"/>
      <c r="S358" s="40" t="s">
        <v>1474</v>
      </c>
      <c r="T358" s="41"/>
      <c r="U358" s="42"/>
      <c r="V358" s="43" t="s">
        <v>1671</v>
      </c>
      <c r="W358" s="44"/>
      <c r="X358" s="45"/>
      <c r="Y358" s="169"/>
      <c r="Z358" s="171">
        <f>Y358*0.1</f>
        <v>0</v>
      </c>
      <c r="AA358" s="169"/>
      <c r="AB358" s="169">
        <f>SUM(Y358:AA358)</f>
        <v>0</v>
      </c>
      <c r="AC358" s="172"/>
      <c r="AD358"/>
    </row>
    <row r="359" spans="1:30" ht="17.100000000000001" customHeight="1" thickBot="1">
      <c r="A359" s="177"/>
      <c r="B359" s="46" t="s">
        <v>136</v>
      </c>
      <c r="C359" s="46">
        <v>102</v>
      </c>
      <c r="D359" s="47" t="s">
        <v>362</v>
      </c>
      <c r="E359" s="179"/>
      <c r="F359" s="48" t="s">
        <v>1672</v>
      </c>
      <c r="G359" s="49">
        <v>50677</v>
      </c>
      <c r="H359" s="181"/>
      <c r="I359" s="170"/>
      <c r="J359" s="170"/>
      <c r="K359" s="170"/>
      <c r="L359" s="170"/>
      <c r="M359" s="170"/>
      <c r="N359" s="170"/>
      <c r="O359" s="175"/>
      <c r="P359" s="71" t="s">
        <v>881</v>
      </c>
      <c r="Q359" s="50" t="s">
        <v>89</v>
      </c>
      <c r="R359" s="51" t="s">
        <v>1673</v>
      </c>
      <c r="S359" s="52" t="s">
        <v>1541</v>
      </c>
      <c r="T359" s="53"/>
      <c r="U359" s="54"/>
      <c r="V359" s="55" t="s">
        <v>1235</v>
      </c>
      <c r="W359" s="56"/>
      <c r="X359" s="54"/>
      <c r="Y359" s="170"/>
      <c r="Z359" s="170"/>
      <c r="AA359" s="170"/>
      <c r="AB359" s="170"/>
      <c r="AC359" s="173"/>
      <c r="AD359"/>
    </row>
    <row r="360" spans="1:30" ht="17.100000000000001" customHeight="1" thickTop="1">
      <c r="A360" s="176" t="s">
        <v>1674</v>
      </c>
      <c r="B360" s="33">
        <v>44385</v>
      </c>
      <c r="C360" s="34">
        <v>1329</v>
      </c>
      <c r="D360" s="35" t="s">
        <v>1211</v>
      </c>
      <c r="E360" s="178"/>
      <c r="F360" s="128" t="s">
        <v>1675</v>
      </c>
      <c r="G360" s="37" t="s">
        <v>721</v>
      </c>
      <c r="H360" s="180">
        <v>4</v>
      </c>
      <c r="I360" s="169">
        <v>1765000</v>
      </c>
      <c r="J360" s="169">
        <v>176500</v>
      </c>
      <c r="K360" s="169">
        <v>26300</v>
      </c>
      <c r="L360" s="169">
        <v>22240</v>
      </c>
      <c r="M360" s="169">
        <v>13200</v>
      </c>
      <c r="N360" s="169">
        <f>SUM(I360:M360)</f>
        <v>2003240</v>
      </c>
      <c r="O360" s="174">
        <v>1700000</v>
      </c>
      <c r="P360" s="160" t="s">
        <v>1676</v>
      </c>
      <c r="Q360" s="38" t="s">
        <v>88</v>
      </c>
      <c r="R360" s="39"/>
      <c r="S360" s="40" t="s">
        <v>1260</v>
      </c>
      <c r="T360" s="41"/>
      <c r="U360" s="42"/>
      <c r="V360" s="43" t="s">
        <v>1677</v>
      </c>
      <c r="W360" s="44"/>
      <c r="X360" s="45"/>
      <c r="Y360" s="169"/>
      <c r="Z360" s="171">
        <f>Y360*0.1</f>
        <v>0</v>
      </c>
      <c r="AA360" s="169"/>
      <c r="AB360" s="169">
        <f>SUM(Y360:AA360)</f>
        <v>0</v>
      </c>
      <c r="AC360" s="172"/>
      <c r="AD360"/>
    </row>
    <row r="361" spans="1:30" ht="17.100000000000001" customHeight="1" thickBot="1">
      <c r="A361" s="177"/>
      <c r="B361" s="46" t="s">
        <v>229</v>
      </c>
      <c r="C361" s="46">
        <v>70291</v>
      </c>
      <c r="D361" s="47" t="s">
        <v>568</v>
      </c>
      <c r="E361" s="179"/>
      <c r="F361" s="48" t="s">
        <v>1678</v>
      </c>
      <c r="G361" s="49">
        <v>46346</v>
      </c>
      <c r="H361" s="181"/>
      <c r="I361" s="170"/>
      <c r="J361" s="170"/>
      <c r="K361" s="170"/>
      <c r="L361" s="170"/>
      <c r="M361" s="170"/>
      <c r="N361" s="170"/>
      <c r="O361" s="175"/>
      <c r="P361" s="71" t="s">
        <v>1679</v>
      </c>
      <c r="Q361" s="50" t="s">
        <v>89</v>
      </c>
      <c r="R361" s="51" t="s">
        <v>1680</v>
      </c>
      <c r="S361" s="52" t="s">
        <v>1681</v>
      </c>
      <c r="T361" s="53"/>
      <c r="U361" s="54"/>
      <c r="V361" s="55" t="s">
        <v>1235</v>
      </c>
      <c r="W361" s="56"/>
      <c r="X361" s="54"/>
      <c r="Y361" s="170"/>
      <c r="Z361" s="170"/>
      <c r="AA361" s="170"/>
      <c r="AB361" s="170"/>
      <c r="AC361" s="173"/>
      <c r="AD361"/>
    </row>
    <row r="362" spans="1:30" ht="17.100000000000001" customHeight="1" thickTop="1">
      <c r="A362" s="176" t="s">
        <v>1682</v>
      </c>
      <c r="B362" s="33">
        <v>44386</v>
      </c>
      <c r="C362" s="34">
        <v>1898</v>
      </c>
      <c r="D362" s="35" t="s">
        <v>681</v>
      </c>
      <c r="E362" s="178"/>
      <c r="F362" s="128" t="s">
        <v>775</v>
      </c>
      <c r="G362" s="37" t="s">
        <v>1683</v>
      </c>
      <c r="H362" s="180">
        <v>4.5</v>
      </c>
      <c r="I362" s="169">
        <v>3020000</v>
      </c>
      <c r="J362" s="169">
        <v>302000</v>
      </c>
      <c r="K362" s="169">
        <v>44300</v>
      </c>
      <c r="L362" s="169">
        <v>19270</v>
      </c>
      <c r="M362" s="169">
        <v>13200</v>
      </c>
      <c r="N362" s="169">
        <f>SUM(I362:M362)</f>
        <v>3398770</v>
      </c>
      <c r="O362" s="174">
        <v>3000000</v>
      </c>
      <c r="P362" s="160" t="s">
        <v>1684</v>
      </c>
      <c r="Q362" s="38" t="s">
        <v>88</v>
      </c>
      <c r="R362" s="39"/>
      <c r="S362" s="40" t="s">
        <v>1685</v>
      </c>
      <c r="T362" s="41"/>
      <c r="U362" s="42"/>
      <c r="V362" s="43"/>
      <c r="W362" s="44"/>
      <c r="X362" s="45"/>
      <c r="Y362" s="169"/>
      <c r="Z362" s="171">
        <f>Y362*0.1</f>
        <v>0</v>
      </c>
      <c r="AA362" s="169"/>
      <c r="AB362" s="169">
        <f>SUM(Y362:AA362)</f>
        <v>0</v>
      </c>
      <c r="AC362" s="172"/>
      <c r="AD362"/>
    </row>
    <row r="363" spans="1:30" ht="17.100000000000001" customHeight="1" thickBot="1">
      <c r="A363" s="177"/>
      <c r="B363" s="46" t="s">
        <v>294</v>
      </c>
      <c r="C363" s="46">
        <v>58095</v>
      </c>
      <c r="D363" s="47" t="s">
        <v>137</v>
      </c>
      <c r="E363" s="179"/>
      <c r="F363" s="48" t="s">
        <v>1686</v>
      </c>
      <c r="G363" s="49">
        <v>60528</v>
      </c>
      <c r="H363" s="181"/>
      <c r="I363" s="170"/>
      <c r="J363" s="170"/>
      <c r="K363" s="170"/>
      <c r="L363" s="170"/>
      <c r="M363" s="170"/>
      <c r="N363" s="170"/>
      <c r="O363" s="175"/>
      <c r="P363" s="71" t="s">
        <v>1687</v>
      </c>
      <c r="Q363" s="50" t="s">
        <v>89</v>
      </c>
      <c r="R363" s="51" t="s">
        <v>1688</v>
      </c>
      <c r="S363" s="52" t="s">
        <v>1689</v>
      </c>
      <c r="T363" s="53"/>
      <c r="U363" s="54"/>
      <c r="V363" s="55" t="s">
        <v>1079</v>
      </c>
      <c r="W363" s="56"/>
      <c r="X363" s="54"/>
      <c r="Y363" s="170"/>
      <c r="Z363" s="170"/>
      <c r="AA363" s="170"/>
      <c r="AB363" s="170"/>
      <c r="AC363" s="173"/>
      <c r="AD363"/>
    </row>
    <row r="364" spans="1:30" ht="17.100000000000001" customHeight="1" thickTop="1">
      <c r="A364" s="176" t="s">
        <v>1690</v>
      </c>
      <c r="B364" s="33">
        <v>44392</v>
      </c>
      <c r="C364" s="34">
        <v>1330</v>
      </c>
      <c r="D364" s="35" t="s">
        <v>482</v>
      </c>
      <c r="E364" s="178"/>
      <c r="F364" s="128" t="s">
        <v>1691</v>
      </c>
      <c r="G364" s="37"/>
      <c r="H364" s="180">
        <v>4</v>
      </c>
      <c r="I364" s="169">
        <v>3580000</v>
      </c>
      <c r="J364" s="169">
        <v>358000</v>
      </c>
      <c r="K364" s="169">
        <v>0</v>
      </c>
      <c r="L364" s="169">
        <v>18510</v>
      </c>
      <c r="M364" s="169">
        <v>13200</v>
      </c>
      <c r="N364" s="169">
        <f>SUM(I364:M364)</f>
        <v>3969710</v>
      </c>
      <c r="O364" s="174">
        <v>3600000</v>
      </c>
      <c r="P364" s="160" t="s">
        <v>1692</v>
      </c>
      <c r="Q364" s="38" t="s">
        <v>88</v>
      </c>
      <c r="R364" s="39"/>
      <c r="S364" s="40" t="s">
        <v>1578</v>
      </c>
      <c r="T364" s="41"/>
      <c r="U364" s="42"/>
      <c r="V364" s="43"/>
      <c r="W364" s="44"/>
      <c r="X364" s="45"/>
      <c r="Y364" s="169"/>
      <c r="Z364" s="171">
        <f>Y364*0.1</f>
        <v>0</v>
      </c>
      <c r="AA364" s="169"/>
      <c r="AB364" s="169">
        <f>SUM(Y364:AA364)</f>
        <v>0</v>
      </c>
      <c r="AC364" s="172"/>
      <c r="AD364"/>
    </row>
    <row r="365" spans="1:30" ht="17.100000000000001" customHeight="1" thickBot="1">
      <c r="A365" s="177"/>
      <c r="B365" s="46" t="s">
        <v>229</v>
      </c>
      <c r="C365" s="46">
        <v>75413</v>
      </c>
      <c r="D365" s="47" t="s">
        <v>312</v>
      </c>
      <c r="E365" s="179"/>
      <c r="F365" s="48" t="s">
        <v>1693</v>
      </c>
      <c r="G365" s="49">
        <v>48057</v>
      </c>
      <c r="H365" s="181"/>
      <c r="I365" s="170"/>
      <c r="J365" s="170"/>
      <c r="K365" s="170"/>
      <c r="L365" s="170"/>
      <c r="M365" s="170"/>
      <c r="N365" s="170"/>
      <c r="O365" s="175"/>
      <c r="P365" s="71" t="s">
        <v>1694</v>
      </c>
      <c r="Q365" s="50" t="s">
        <v>89</v>
      </c>
      <c r="R365" s="51" t="s">
        <v>1695</v>
      </c>
      <c r="S365" s="52" t="s">
        <v>1578</v>
      </c>
      <c r="T365" s="53"/>
      <c r="U365" s="54"/>
      <c r="V365" s="55"/>
      <c r="W365" s="56"/>
      <c r="X365" s="54"/>
      <c r="Y365" s="170"/>
      <c r="Z365" s="170"/>
      <c r="AA365" s="170"/>
      <c r="AB365" s="170"/>
      <c r="AC365" s="173"/>
      <c r="AD365"/>
    </row>
    <row r="366" spans="1:30" ht="17.100000000000001" customHeight="1" thickTop="1">
      <c r="A366" s="176" t="s">
        <v>1696</v>
      </c>
      <c r="B366" s="33">
        <v>44392</v>
      </c>
      <c r="C366" s="34">
        <v>1096</v>
      </c>
      <c r="D366" s="35" t="s">
        <v>1697</v>
      </c>
      <c r="E366" s="178"/>
      <c r="F366" s="128" t="s">
        <v>1698</v>
      </c>
      <c r="G366" s="37"/>
      <c r="H366" s="180">
        <v>4</v>
      </c>
      <c r="I366" s="169">
        <v>1430000</v>
      </c>
      <c r="J366" s="169">
        <v>143000</v>
      </c>
      <c r="K366" s="169">
        <v>0</v>
      </c>
      <c r="L366" s="169">
        <v>20310</v>
      </c>
      <c r="M366" s="169">
        <v>13200</v>
      </c>
      <c r="N366" s="169">
        <f>SUM(I366:M366)</f>
        <v>1606510</v>
      </c>
      <c r="O366" s="174">
        <v>1300000</v>
      </c>
      <c r="P366" s="160" t="s">
        <v>1699</v>
      </c>
      <c r="Q366" s="38" t="s">
        <v>88</v>
      </c>
      <c r="R366" s="39"/>
      <c r="S366" s="40" t="s">
        <v>1522</v>
      </c>
      <c r="T366" s="41"/>
      <c r="U366" s="42"/>
      <c r="V366" s="43"/>
      <c r="W366" s="44"/>
      <c r="X366" s="45"/>
      <c r="Y366" s="169"/>
      <c r="Z366" s="171">
        <f>Y366*0.1</f>
        <v>0</v>
      </c>
      <c r="AA366" s="169"/>
      <c r="AB366" s="169">
        <f>SUM(Y366:AA366)</f>
        <v>0</v>
      </c>
      <c r="AC366" s="172"/>
      <c r="AD366"/>
    </row>
    <row r="367" spans="1:30" ht="17.100000000000001" customHeight="1" thickBot="1">
      <c r="A367" s="177"/>
      <c r="B367" s="46" t="s">
        <v>136</v>
      </c>
      <c r="C367" s="46">
        <v>382</v>
      </c>
      <c r="D367" s="47" t="s">
        <v>188</v>
      </c>
      <c r="E367" s="179"/>
      <c r="F367" s="48" t="s">
        <v>1700</v>
      </c>
      <c r="G367" s="49">
        <v>27375</v>
      </c>
      <c r="H367" s="181"/>
      <c r="I367" s="170"/>
      <c r="J367" s="170"/>
      <c r="K367" s="170"/>
      <c r="L367" s="170"/>
      <c r="M367" s="170"/>
      <c r="N367" s="170"/>
      <c r="O367" s="175"/>
      <c r="P367" s="71" t="s">
        <v>1701</v>
      </c>
      <c r="Q367" s="50" t="s">
        <v>89</v>
      </c>
      <c r="R367" s="51" t="s">
        <v>1702</v>
      </c>
      <c r="S367" s="52" t="s">
        <v>1485</v>
      </c>
      <c r="T367" s="53"/>
      <c r="U367" s="54"/>
      <c r="V367" s="55"/>
      <c r="W367" s="56"/>
      <c r="X367" s="54"/>
      <c r="Y367" s="170"/>
      <c r="Z367" s="170"/>
      <c r="AA367" s="170"/>
      <c r="AB367" s="170"/>
      <c r="AC367" s="173"/>
      <c r="AD367"/>
    </row>
    <row r="368" spans="1:30" ht="17.100000000000001" customHeight="1" thickTop="1">
      <c r="A368" s="176" t="s">
        <v>1703</v>
      </c>
      <c r="B368" s="33">
        <v>44392</v>
      </c>
      <c r="C368" s="34">
        <v>1096</v>
      </c>
      <c r="D368" s="35" t="s">
        <v>1668</v>
      </c>
      <c r="E368" s="178"/>
      <c r="F368" s="128" t="s">
        <v>1704</v>
      </c>
      <c r="G368" s="37" t="s">
        <v>721</v>
      </c>
      <c r="H368" s="180">
        <v>4.5</v>
      </c>
      <c r="I368" s="169">
        <v>1940000</v>
      </c>
      <c r="J368" s="169">
        <v>194000</v>
      </c>
      <c r="K368" s="169">
        <v>26300</v>
      </c>
      <c r="L368" s="169">
        <v>19100</v>
      </c>
      <c r="M368" s="169">
        <v>13200</v>
      </c>
      <c r="N368" s="169">
        <f>SUM(I368:M368)</f>
        <v>2192600</v>
      </c>
      <c r="O368" s="174">
        <v>1600000</v>
      </c>
      <c r="P368" s="160" t="s">
        <v>1705</v>
      </c>
      <c r="Q368" s="38" t="s">
        <v>88</v>
      </c>
      <c r="R368" s="39"/>
      <c r="S368" s="40" t="s">
        <v>1706</v>
      </c>
      <c r="T368" s="41"/>
      <c r="U368" s="42"/>
      <c r="V368" s="43" t="s">
        <v>1707</v>
      </c>
      <c r="W368" s="44"/>
      <c r="X368" s="45"/>
      <c r="Y368" s="169"/>
      <c r="Z368" s="171">
        <f>Y368*0.1</f>
        <v>0</v>
      </c>
      <c r="AA368" s="169"/>
      <c r="AB368" s="169">
        <f>SUM(Y368:AA368)</f>
        <v>0</v>
      </c>
      <c r="AC368" s="172"/>
      <c r="AD368"/>
    </row>
    <row r="369" spans="1:30" ht="17.100000000000001" customHeight="1" thickBot="1">
      <c r="A369" s="177"/>
      <c r="B369" s="46" t="s">
        <v>136</v>
      </c>
      <c r="C369" s="46">
        <v>505</v>
      </c>
      <c r="D369" s="47" t="s">
        <v>312</v>
      </c>
      <c r="E369" s="179"/>
      <c r="F369" s="48" t="s">
        <v>1708</v>
      </c>
      <c r="G369" s="49">
        <v>51128</v>
      </c>
      <c r="H369" s="181"/>
      <c r="I369" s="170"/>
      <c r="J369" s="170"/>
      <c r="K369" s="170"/>
      <c r="L369" s="170"/>
      <c r="M369" s="170"/>
      <c r="N369" s="170"/>
      <c r="O369" s="175"/>
      <c r="P369" s="71" t="s">
        <v>1709</v>
      </c>
      <c r="Q369" s="50" t="s">
        <v>89</v>
      </c>
      <c r="R369" s="51" t="s">
        <v>1710</v>
      </c>
      <c r="S369" s="52" t="s">
        <v>1711</v>
      </c>
      <c r="T369" s="53"/>
      <c r="U369" s="54" t="s">
        <v>1712</v>
      </c>
      <c r="V369" s="55" t="s">
        <v>1235</v>
      </c>
      <c r="W369" s="56"/>
      <c r="X369" s="54"/>
      <c r="Y369" s="170"/>
      <c r="Z369" s="170"/>
      <c r="AA369" s="170"/>
      <c r="AB369" s="170"/>
      <c r="AC369" s="173"/>
      <c r="AD369"/>
    </row>
    <row r="370" spans="1:30" ht="17.100000000000001" customHeight="1" thickTop="1">
      <c r="A370" s="176" t="s">
        <v>1713</v>
      </c>
      <c r="B370" s="33">
        <v>44399</v>
      </c>
      <c r="C370" s="34">
        <v>1331</v>
      </c>
      <c r="D370" s="35" t="s">
        <v>1714</v>
      </c>
      <c r="E370" s="178"/>
      <c r="F370" s="128" t="s">
        <v>267</v>
      </c>
      <c r="G370" s="37" t="s">
        <v>1715</v>
      </c>
      <c r="H370" s="180">
        <v>4.5</v>
      </c>
      <c r="I370" s="169">
        <v>1115000</v>
      </c>
      <c r="J370" s="169">
        <v>111500</v>
      </c>
      <c r="K370" s="169">
        <v>26300</v>
      </c>
      <c r="L370" s="169">
        <v>16190</v>
      </c>
      <c r="M370" s="169">
        <v>13200</v>
      </c>
      <c r="N370" s="169">
        <f>SUM(I370:M370)</f>
        <v>1282190</v>
      </c>
      <c r="O370" s="174">
        <v>700000</v>
      </c>
      <c r="P370" s="160" t="s">
        <v>1716</v>
      </c>
      <c r="Q370" s="38" t="s">
        <v>88</v>
      </c>
      <c r="R370" s="39"/>
      <c r="S370" s="40" t="s">
        <v>93</v>
      </c>
      <c r="T370" s="41"/>
      <c r="U370" s="42"/>
      <c r="V370" s="43" t="s">
        <v>1717</v>
      </c>
      <c r="W370" s="44"/>
      <c r="X370" s="45"/>
      <c r="Y370" s="169"/>
      <c r="Z370" s="171">
        <f>Y370*0.1</f>
        <v>0</v>
      </c>
      <c r="AA370" s="169"/>
      <c r="AB370" s="169">
        <f>SUM(Y370:AA370)</f>
        <v>0</v>
      </c>
      <c r="AC370" s="172"/>
      <c r="AD370"/>
    </row>
    <row r="371" spans="1:30" ht="17.100000000000001" customHeight="1" thickBot="1">
      <c r="A371" s="177"/>
      <c r="B371" s="46" t="s">
        <v>229</v>
      </c>
      <c r="C371" s="46">
        <v>75908</v>
      </c>
      <c r="D371" s="47" t="s">
        <v>568</v>
      </c>
      <c r="E371" s="179"/>
      <c r="F371" s="48" t="s">
        <v>1718</v>
      </c>
      <c r="G371" s="49">
        <v>48553</v>
      </c>
      <c r="H371" s="181"/>
      <c r="I371" s="170"/>
      <c r="J371" s="170"/>
      <c r="K371" s="170"/>
      <c r="L371" s="170"/>
      <c r="M371" s="170"/>
      <c r="N371" s="170"/>
      <c r="O371" s="175"/>
      <c r="P371" s="71" t="s">
        <v>1719</v>
      </c>
      <c r="Q371" s="50" t="s">
        <v>89</v>
      </c>
      <c r="R371" s="51" t="s">
        <v>1155</v>
      </c>
      <c r="S371" s="52" t="s">
        <v>1720</v>
      </c>
      <c r="T371" s="53"/>
      <c r="U371" s="54"/>
      <c r="V371" s="55" t="s">
        <v>1496</v>
      </c>
      <c r="W371" s="56"/>
      <c r="X371" s="54"/>
      <c r="Y371" s="170"/>
      <c r="Z371" s="170"/>
      <c r="AA371" s="170"/>
      <c r="AB371" s="170"/>
      <c r="AC371" s="173"/>
      <c r="AD371"/>
    </row>
    <row r="372" spans="1:30" ht="17.100000000000001" customHeight="1" thickTop="1">
      <c r="A372" s="176" t="s">
        <v>1721</v>
      </c>
      <c r="B372" s="33">
        <v>44399</v>
      </c>
      <c r="C372" s="34">
        <v>1097</v>
      </c>
      <c r="D372" s="35" t="s">
        <v>1714</v>
      </c>
      <c r="E372" s="178"/>
      <c r="F372" s="128" t="s">
        <v>267</v>
      </c>
      <c r="G372" s="37"/>
      <c r="H372" s="180">
        <v>4.5</v>
      </c>
      <c r="I372" s="169">
        <v>1090000</v>
      </c>
      <c r="J372" s="169">
        <v>109000</v>
      </c>
      <c r="K372" s="169">
        <v>0</v>
      </c>
      <c r="L372" s="169">
        <v>15540</v>
      </c>
      <c r="M372" s="169">
        <v>13200</v>
      </c>
      <c r="N372" s="169">
        <f>SUM(I372:M372)</f>
        <v>1227740</v>
      </c>
      <c r="O372" s="174">
        <v>800000</v>
      </c>
      <c r="P372" s="160" t="s">
        <v>1722</v>
      </c>
      <c r="Q372" s="38" t="s">
        <v>88</v>
      </c>
      <c r="R372" s="39"/>
      <c r="S372" s="40" t="s">
        <v>1723</v>
      </c>
      <c r="T372" s="41"/>
      <c r="U372" s="42"/>
      <c r="V372" s="43"/>
      <c r="W372" s="44"/>
      <c r="X372" s="45"/>
      <c r="Y372" s="169"/>
      <c r="Z372" s="171">
        <f>Y372*0.1</f>
        <v>0</v>
      </c>
      <c r="AA372" s="169"/>
      <c r="AB372" s="169">
        <f>SUM(Y372:AA372)</f>
        <v>0</v>
      </c>
      <c r="AC372" s="172"/>
      <c r="AD372"/>
    </row>
    <row r="373" spans="1:30" ht="17.100000000000001" customHeight="1" thickBot="1">
      <c r="A373" s="177"/>
      <c r="B373" s="46" t="s">
        <v>136</v>
      </c>
      <c r="C373" s="46">
        <v>95</v>
      </c>
      <c r="D373" s="47" t="s">
        <v>1724</v>
      </c>
      <c r="E373" s="179"/>
      <c r="F373" s="48" t="s">
        <v>1725</v>
      </c>
      <c r="G373" s="49">
        <v>41363</v>
      </c>
      <c r="H373" s="181"/>
      <c r="I373" s="170"/>
      <c r="J373" s="170"/>
      <c r="K373" s="170"/>
      <c r="L373" s="170"/>
      <c r="M373" s="170"/>
      <c r="N373" s="170"/>
      <c r="O373" s="175"/>
      <c r="P373" s="71" t="s">
        <v>1726</v>
      </c>
      <c r="Q373" s="50" t="s">
        <v>89</v>
      </c>
      <c r="R373" s="51" t="s">
        <v>1727</v>
      </c>
      <c r="S373" s="52" t="s">
        <v>1728</v>
      </c>
      <c r="T373" s="53"/>
      <c r="U373" s="54"/>
      <c r="V373" s="55"/>
      <c r="W373" s="56"/>
      <c r="X373" s="54"/>
      <c r="Y373" s="170"/>
      <c r="Z373" s="170"/>
      <c r="AA373" s="170"/>
      <c r="AB373" s="170"/>
      <c r="AC373" s="173"/>
      <c r="AD373"/>
    </row>
    <row r="374" spans="1:30" ht="17.100000000000001" customHeight="1" thickTop="1">
      <c r="A374" s="176" t="s">
        <v>1729</v>
      </c>
      <c r="B374" s="33">
        <v>44404</v>
      </c>
      <c r="C374" s="34">
        <v>858</v>
      </c>
      <c r="D374" s="35" t="s">
        <v>1362</v>
      </c>
      <c r="E374" s="178"/>
      <c r="F374" s="128" t="s">
        <v>1730</v>
      </c>
      <c r="G374" s="37" t="s">
        <v>1731</v>
      </c>
      <c r="H374" s="180">
        <v>4.5</v>
      </c>
      <c r="I374" s="169">
        <v>2305000</v>
      </c>
      <c r="J374" s="169">
        <v>230500</v>
      </c>
      <c r="K374" s="169">
        <v>26300</v>
      </c>
      <c r="L374" s="169">
        <v>20440</v>
      </c>
      <c r="M374" s="169">
        <v>13200</v>
      </c>
      <c r="N374" s="169">
        <f>SUM(I374:M374)</f>
        <v>2595440</v>
      </c>
      <c r="O374" s="174">
        <v>2100000</v>
      </c>
      <c r="P374" s="160" t="s">
        <v>1732</v>
      </c>
      <c r="Q374" s="38" t="s">
        <v>88</v>
      </c>
      <c r="R374" s="39"/>
      <c r="S374" s="40" t="s">
        <v>1733</v>
      </c>
      <c r="T374" s="41"/>
      <c r="U374" s="42"/>
      <c r="V374" s="43" t="s">
        <v>1734</v>
      </c>
      <c r="W374" s="44"/>
      <c r="X374" s="45"/>
      <c r="Y374" s="169"/>
      <c r="Z374" s="171">
        <f>Y374*0.1</f>
        <v>0</v>
      </c>
      <c r="AA374" s="169"/>
      <c r="AB374" s="169">
        <f>SUM(Y374:AA374)</f>
        <v>0</v>
      </c>
      <c r="AC374" s="172"/>
      <c r="AD374"/>
    </row>
    <row r="375" spans="1:30" ht="17.100000000000001" customHeight="1" thickBot="1">
      <c r="A375" s="177"/>
      <c r="B375" s="46" t="s">
        <v>211</v>
      </c>
      <c r="C375" s="46">
        <v>84016</v>
      </c>
      <c r="D375" s="47" t="s">
        <v>188</v>
      </c>
      <c r="E375" s="179"/>
      <c r="F375" s="48" t="s">
        <v>1735</v>
      </c>
      <c r="G375" s="49">
        <v>34812</v>
      </c>
      <c r="H375" s="181"/>
      <c r="I375" s="170"/>
      <c r="J375" s="170"/>
      <c r="K375" s="170"/>
      <c r="L375" s="170"/>
      <c r="M375" s="170"/>
      <c r="N375" s="170"/>
      <c r="O375" s="175"/>
      <c r="P375" s="71" t="s">
        <v>1736</v>
      </c>
      <c r="Q375" s="50" t="s">
        <v>89</v>
      </c>
      <c r="R375" s="51" t="s">
        <v>1737</v>
      </c>
      <c r="S375" s="52" t="s">
        <v>1738</v>
      </c>
      <c r="T375" s="53"/>
      <c r="U375" s="54"/>
      <c r="V375" s="55" t="s">
        <v>1079</v>
      </c>
      <c r="W375" s="56"/>
      <c r="X375" s="54"/>
      <c r="Y375" s="170"/>
      <c r="Z375" s="170"/>
      <c r="AA375" s="170"/>
      <c r="AB375" s="170"/>
      <c r="AC375" s="173"/>
      <c r="AD375"/>
    </row>
    <row r="376" spans="1:30" ht="17.100000000000001" customHeight="1" thickTop="1">
      <c r="A376" s="176" t="s">
        <v>1739</v>
      </c>
      <c r="B376" s="33">
        <v>44408</v>
      </c>
      <c r="C376" s="34">
        <v>1066</v>
      </c>
      <c r="D376" s="35" t="s">
        <v>1054</v>
      </c>
      <c r="E376" s="178"/>
      <c r="F376" s="128" t="s">
        <v>1740</v>
      </c>
      <c r="G376" s="37" t="s">
        <v>1741</v>
      </c>
      <c r="H376" s="180">
        <v>4</v>
      </c>
      <c r="I376" s="169">
        <v>1320000</v>
      </c>
      <c r="J376" s="169">
        <v>132000</v>
      </c>
      <c r="K376" s="169">
        <v>23000</v>
      </c>
      <c r="L376" s="169">
        <v>16260</v>
      </c>
      <c r="M376" s="169">
        <v>13200</v>
      </c>
      <c r="N376" s="169">
        <f>SUM(I376:M376)</f>
        <v>1504460</v>
      </c>
      <c r="O376" s="174">
        <v>1150000</v>
      </c>
      <c r="P376" s="160" t="s">
        <v>1742</v>
      </c>
      <c r="Q376" s="38" t="s">
        <v>88</v>
      </c>
      <c r="R376" s="39"/>
      <c r="S376" s="40" t="s">
        <v>93</v>
      </c>
      <c r="T376" s="41"/>
      <c r="U376" s="42"/>
      <c r="V376" s="43" t="s">
        <v>1743</v>
      </c>
      <c r="W376" s="44"/>
      <c r="X376" s="45"/>
      <c r="Y376" s="169"/>
      <c r="Z376" s="171">
        <f>Y376*0.1</f>
        <v>0</v>
      </c>
      <c r="AA376" s="169"/>
      <c r="AB376" s="169">
        <f>SUM(Y376:AA376)</f>
        <v>0</v>
      </c>
      <c r="AC376" s="172"/>
      <c r="AD376"/>
    </row>
    <row r="377" spans="1:30" ht="17.100000000000001" customHeight="1" thickBot="1">
      <c r="A377" s="177"/>
      <c r="B377" s="46" t="s">
        <v>115</v>
      </c>
      <c r="C377" s="46">
        <v>72001</v>
      </c>
      <c r="D377" s="47" t="s">
        <v>1744</v>
      </c>
      <c r="E377" s="179"/>
      <c r="F377" s="48" t="s">
        <v>1745</v>
      </c>
      <c r="G377" s="49">
        <v>46578</v>
      </c>
      <c r="H377" s="181"/>
      <c r="I377" s="170"/>
      <c r="J377" s="170"/>
      <c r="K377" s="170"/>
      <c r="L377" s="170"/>
      <c r="M377" s="170"/>
      <c r="N377" s="170"/>
      <c r="O377" s="175"/>
      <c r="P377" s="71" t="s">
        <v>1746</v>
      </c>
      <c r="Q377" s="50" t="s">
        <v>89</v>
      </c>
      <c r="R377" s="51" t="s">
        <v>1747</v>
      </c>
      <c r="S377" s="52" t="s">
        <v>1748</v>
      </c>
      <c r="T377" s="53"/>
      <c r="U377" s="54"/>
      <c r="V377" s="55" t="s">
        <v>1749</v>
      </c>
      <c r="W377" s="56"/>
      <c r="X377" s="54"/>
      <c r="Y377" s="170"/>
      <c r="Z377" s="170"/>
      <c r="AA377" s="170"/>
      <c r="AB377" s="170"/>
      <c r="AC377" s="173"/>
      <c r="AD377"/>
    </row>
    <row r="378" spans="1:30" ht="17.100000000000001" customHeight="1" thickTop="1">
      <c r="A378" s="176" t="s">
        <v>1750</v>
      </c>
      <c r="B378" s="33">
        <v>44408</v>
      </c>
      <c r="C378" s="34">
        <v>1309</v>
      </c>
      <c r="D378" s="35" t="s">
        <v>1751</v>
      </c>
      <c r="E378" s="178"/>
      <c r="F378" s="128" t="s">
        <v>267</v>
      </c>
      <c r="G378" s="37" t="s">
        <v>1752</v>
      </c>
      <c r="H378" s="180">
        <v>4</v>
      </c>
      <c r="I378" s="169">
        <v>995000</v>
      </c>
      <c r="J378" s="169">
        <v>99500</v>
      </c>
      <c r="K378" s="169">
        <v>26300</v>
      </c>
      <c r="L378" s="169">
        <v>16090</v>
      </c>
      <c r="M378" s="169">
        <v>13200</v>
      </c>
      <c r="N378" s="169">
        <f>SUM(I378:M378)</f>
        <v>1150090</v>
      </c>
      <c r="O378" s="174">
        <v>800000</v>
      </c>
      <c r="P378" s="160" t="s">
        <v>1753</v>
      </c>
      <c r="Q378" s="38" t="s">
        <v>88</v>
      </c>
      <c r="R378" s="39"/>
      <c r="S378" s="40" t="s">
        <v>93</v>
      </c>
      <c r="T378" s="41"/>
      <c r="U378" s="42"/>
      <c r="V378" s="43" t="s">
        <v>1754</v>
      </c>
      <c r="W378" s="44"/>
      <c r="X378" s="45"/>
      <c r="Y378" s="169"/>
      <c r="Z378" s="171">
        <f>Y378*0.1</f>
        <v>0</v>
      </c>
      <c r="AA378" s="169"/>
      <c r="AB378" s="169">
        <f>SUM(Y378:AA378)</f>
        <v>0</v>
      </c>
      <c r="AC378" s="172"/>
      <c r="AD378"/>
    </row>
    <row r="379" spans="1:30" ht="17.100000000000001" customHeight="1" thickBot="1">
      <c r="A379" s="177"/>
      <c r="B379" s="46" t="s">
        <v>892</v>
      </c>
      <c r="C379" s="46">
        <v>83029</v>
      </c>
      <c r="D379" s="47" t="s">
        <v>602</v>
      </c>
      <c r="E379" s="179"/>
      <c r="F379" s="48" t="s">
        <v>1755</v>
      </c>
      <c r="G379" s="49">
        <v>59770</v>
      </c>
      <c r="H379" s="181"/>
      <c r="I379" s="170"/>
      <c r="J379" s="170"/>
      <c r="K379" s="170"/>
      <c r="L379" s="170"/>
      <c r="M379" s="170"/>
      <c r="N379" s="170"/>
      <c r="O379" s="175"/>
      <c r="P379" s="71" t="s">
        <v>1756</v>
      </c>
      <c r="Q379" s="50" t="s">
        <v>89</v>
      </c>
      <c r="R379" s="51" t="s">
        <v>1737</v>
      </c>
      <c r="S379" s="52" t="s">
        <v>1485</v>
      </c>
      <c r="T379" s="53"/>
      <c r="U379" s="54" t="s">
        <v>1757</v>
      </c>
      <c r="V379" s="55" t="s">
        <v>183</v>
      </c>
      <c r="W379" s="56"/>
      <c r="X379" s="54"/>
      <c r="Y379" s="170"/>
      <c r="Z379" s="170"/>
      <c r="AA379" s="170"/>
      <c r="AB379" s="170"/>
      <c r="AC379" s="173"/>
      <c r="AD379"/>
    </row>
    <row r="380" spans="1:30" ht="17.100000000000001" customHeight="1" thickTop="1">
      <c r="A380" s="176" t="s">
        <v>1758</v>
      </c>
      <c r="B380" s="33">
        <v>44412</v>
      </c>
      <c r="C380" s="34">
        <v>2120</v>
      </c>
      <c r="D380" s="35" t="s">
        <v>419</v>
      </c>
      <c r="E380" s="178"/>
      <c r="F380" s="128" t="s">
        <v>1660</v>
      </c>
      <c r="G380" s="37" t="s">
        <v>1759</v>
      </c>
      <c r="H380" s="180">
        <v>4.5</v>
      </c>
      <c r="I380" s="169">
        <v>2161000</v>
      </c>
      <c r="J380" s="169">
        <v>216100</v>
      </c>
      <c r="K380" s="169">
        <v>23000</v>
      </c>
      <c r="L380" s="169">
        <v>16930</v>
      </c>
      <c r="M380" s="169">
        <v>13200</v>
      </c>
      <c r="N380" s="169">
        <f>SUM(I380:M380)</f>
        <v>2430230</v>
      </c>
      <c r="O380" s="174">
        <v>2200000</v>
      </c>
      <c r="P380" s="160" t="s">
        <v>1760</v>
      </c>
      <c r="Q380" s="38" t="s">
        <v>88</v>
      </c>
      <c r="R380" s="39"/>
      <c r="S380" s="40" t="s">
        <v>1260</v>
      </c>
      <c r="T380" s="41"/>
      <c r="U380" s="42"/>
      <c r="V380" s="43" t="s">
        <v>1761</v>
      </c>
      <c r="W380" s="44"/>
      <c r="X380" s="45"/>
      <c r="Y380" s="169"/>
      <c r="Z380" s="171">
        <f>Y380*0.1</f>
        <v>0</v>
      </c>
      <c r="AA380" s="169"/>
      <c r="AB380" s="169">
        <f>SUM(Y380:AA380)</f>
        <v>0</v>
      </c>
      <c r="AC380" s="172"/>
      <c r="AD380"/>
    </row>
    <row r="381" spans="1:30" ht="17.100000000000001" customHeight="1" thickBot="1">
      <c r="A381" s="177"/>
      <c r="B381" s="46" t="s">
        <v>718</v>
      </c>
      <c r="C381" s="46">
        <v>70028</v>
      </c>
      <c r="D381" s="47" t="s">
        <v>312</v>
      </c>
      <c r="E381" s="179"/>
      <c r="F381" s="48" t="s">
        <v>1762</v>
      </c>
      <c r="G381" s="49">
        <v>37349</v>
      </c>
      <c r="H381" s="181"/>
      <c r="I381" s="170"/>
      <c r="J381" s="170"/>
      <c r="K381" s="170"/>
      <c r="L381" s="170"/>
      <c r="M381" s="170"/>
      <c r="N381" s="170"/>
      <c r="O381" s="175"/>
      <c r="P381" s="71" t="s">
        <v>1763</v>
      </c>
      <c r="Q381" s="50" t="s">
        <v>89</v>
      </c>
      <c r="R381" s="51" t="s">
        <v>1764</v>
      </c>
      <c r="S381" s="52" t="s">
        <v>1481</v>
      </c>
      <c r="T381" s="53"/>
      <c r="U381" s="54"/>
      <c r="V381" s="55"/>
      <c r="W381" s="56"/>
      <c r="X381" s="54"/>
      <c r="Y381" s="170"/>
      <c r="Z381" s="170"/>
      <c r="AA381" s="170"/>
      <c r="AB381" s="170"/>
      <c r="AC381" s="173"/>
      <c r="AD381"/>
    </row>
    <row r="382" spans="1:30" ht="17.100000000000001" customHeight="1" thickTop="1">
      <c r="A382" s="176" t="s">
        <v>1765</v>
      </c>
      <c r="B382" s="33">
        <v>44412</v>
      </c>
      <c r="C382" s="34">
        <v>3199</v>
      </c>
      <c r="D382" s="35" t="s">
        <v>1003</v>
      </c>
      <c r="E382" s="178"/>
      <c r="F382" s="128" t="s">
        <v>788</v>
      </c>
      <c r="G382" s="37" t="s">
        <v>1766</v>
      </c>
      <c r="H382" s="180">
        <v>4</v>
      </c>
      <c r="I382" s="169">
        <v>2410000</v>
      </c>
      <c r="J382" s="169">
        <v>241000</v>
      </c>
      <c r="K382" s="169">
        <v>23000</v>
      </c>
      <c r="L382" s="169">
        <v>17600</v>
      </c>
      <c r="M382" s="169">
        <v>18700</v>
      </c>
      <c r="N382" s="169">
        <f>SUM(I382:M382)</f>
        <v>2710300</v>
      </c>
      <c r="O382" s="174">
        <v>2200000</v>
      </c>
      <c r="P382" s="160" t="s">
        <v>1767</v>
      </c>
      <c r="Q382" s="38" t="s">
        <v>88</v>
      </c>
      <c r="R382" s="39"/>
      <c r="S382" s="40" t="s">
        <v>1768</v>
      </c>
      <c r="T382" s="41"/>
      <c r="U382" s="42"/>
      <c r="V382" s="43"/>
      <c r="W382" s="44"/>
      <c r="X382" s="45"/>
      <c r="Y382" s="169"/>
      <c r="Z382" s="171">
        <f>Y382*0.1</f>
        <v>0</v>
      </c>
      <c r="AA382" s="169"/>
      <c r="AB382" s="169">
        <f>SUM(Y382:AA382)</f>
        <v>0</v>
      </c>
      <c r="AC382" s="172"/>
      <c r="AD382"/>
    </row>
    <row r="383" spans="1:30" ht="17.100000000000001" customHeight="1" thickBot="1">
      <c r="A383" s="177"/>
      <c r="B383" s="46" t="s">
        <v>145</v>
      </c>
      <c r="C383" s="46">
        <v>27269</v>
      </c>
      <c r="D383" s="47" t="s">
        <v>362</v>
      </c>
      <c r="E383" s="179"/>
      <c r="F383" s="48" t="s">
        <v>1769</v>
      </c>
      <c r="G383" s="49">
        <v>39780</v>
      </c>
      <c r="H383" s="181"/>
      <c r="I383" s="170"/>
      <c r="J383" s="170"/>
      <c r="K383" s="170"/>
      <c r="L383" s="170"/>
      <c r="M383" s="170"/>
      <c r="N383" s="170"/>
      <c r="O383" s="175"/>
      <c r="P383" s="71" t="s">
        <v>1770</v>
      </c>
      <c r="Q383" s="50" t="s">
        <v>89</v>
      </c>
      <c r="R383" s="51" t="s">
        <v>1747</v>
      </c>
      <c r="S383" s="52" t="s">
        <v>1771</v>
      </c>
      <c r="T383" s="53"/>
      <c r="U383" s="54"/>
      <c r="V383" s="55" t="s">
        <v>1079</v>
      </c>
      <c r="W383" s="56"/>
      <c r="X383" s="54"/>
      <c r="Y383" s="170"/>
      <c r="Z383" s="170"/>
      <c r="AA383" s="170"/>
      <c r="AB383" s="170"/>
      <c r="AC383" s="173"/>
      <c r="AD383"/>
    </row>
    <row r="384" spans="1:30" ht="17.100000000000001" customHeight="1" thickTop="1">
      <c r="A384" s="176" t="s">
        <v>1772</v>
      </c>
      <c r="B384" s="33">
        <v>44435</v>
      </c>
      <c r="C384" s="34">
        <v>1904</v>
      </c>
      <c r="D384" s="35" t="s">
        <v>1773</v>
      </c>
      <c r="E384" s="178" t="s">
        <v>250</v>
      </c>
      <c r="F384" s="36" t="s">
        <v>1774</v>
      </c>
      <c r="G384" s="37" t="s">
        <v>1775</v>
      </c>
      <c r="H384" s="180">
        <v>4</v>
      </c>
      <c r="I384" s="169">
        <v>7800000</v>
      </c>
      <c r="J384" s="169">
        <v>780000</v>
      </c>
      <c r="K384" s="169">
        <v>29700</v>
      </c>
      <c r="L384" s="169">
        <v>19780</v>
      </c>
      <c r="M384" s="169">
        <v>24200</v>
      </c>
      <c r="N384" s="169">
        <f>SUM(I384:M384)</f>
        <v>8653680</v>
      </c>
      <c r="O384" s="174"/>
      <c r="P384" s="95" t="s">
        <v>1776</v>
      </c>
      <c r="Q384" s="38" t="s">
        <v>88</v>
      </c>
      <c r="R384" s="39"/>
      <c r="S384" s="40" t="s">
        <v>1777</v>
      </c>
      <c r="T384" s="41"/>
      <c r="U384" s="42"/>
      <c r="V384" s="43" t="s">
        <v>1778</v>
      </c>
      <c r="W384" s="44"/>
      <c r="X384" s="45"/>
      <c r="Y384" s="169"/>
      <c r="Z384" s="171">
        <f>Y384*0.1</f>
        <v>0</v>
      </c>
      <c r="AA384" s="169"/>
      <c r="AB384" s="169">
        <f>SUM(Y384:AA384)</f>
        <v>0</v>
      </c>
      <c r="AC384" s="172"/>
      <c r="AD384"/>
    </row>
    <row r="385" spans="1:30" ht="17.100000000000001" customHeight="1" thickBot="1">
      <c r="A385" s="177"/>
      <c r="B385" s="46" t="s">
        <v>1779</v>
      </c>
      <c r="C385" s="46">
        <v>58173</v>
      </c>
      <c r="D385" s="47" t="s">
        <v>1780</v>
      </c>
      <c r="E385" s="179"/>
      <c r="F385" s="48" t="s">
        <v>1781</v>
      </c>
      <c r="G385" s="49">
        <v>17003</v>
      </c>
      <c r="H385" s="181"/>
      <c r="I385" s="170"/>
      <c r="J385" s="170"/>
      <c r="K385" s="170"/>
      <c r="L385" s="170"/>
      <c r="M385" s="170"/>
      <c r="N385" s="170"/>
      <c r="O385" s="175"/>
      <c r="P385" s="71" t="s">
        <v>1782</v>
      </c>
      <c r="Q385" s="50" t="s">
        <v>89</v>
      </c>
      <c r="R385" s="51" t="s">
        <v>1783</v>
      </c>
      <c r="S385" s="52" t="s">
        <v>1784</v>
      </c>
      <c r="T385" s="53"/>
      <c r="U385" s="54"/>
      <c r="V385" s="55"/>
      <c r="W385" s="56"/>
      <c r="X385" s="54"/>
      <c r="Y385" s="170"/>
      <c r="Z385" s="170"/>
      <c r="AA385" s="170"/>
      <c r="AB385" s="170"/>
      <c r="AC385" s="173"/>
      <c r="AD385"/>
    </row>
    <row r="386" spans="1:30" ht="17.100000000000001" customHeight="1" thickTop="1">
      <c r="A386" s="176" t="s">
        <v>1785</v>
      </c>
      <c r="B386" s="33">
        <v>44436</v>
      </c>
      <c r="C386" s="34">
        <v>1312</v>
      </c>
      <c r="D386" s="35" t="s">
        <v>1786</v>
      </c>
      <c r="E386" s="178"/>
      <c r="F386" s="36" t="s">
        <v>1787</v>
      </c>
      <c r="G386" s="37" t="s">
        <v>1788</v>
      </c>
      <c r="H386" s="180">
        <v>4</v>
      </c>
      <c r="I386" s="169">
        <v>3760000</v>
      </c>
      <c r="J386" s="169">
        <v>376000</v>
      </c>
      <c r="K386" s="169">
        <v>29700</v>
      </c>
      <c r="L386" s="169">
        <v>20170</v>
      </c>
      <c r="M386" s="169">
        <v>13200</v>
      </c>
      <c r="N386" s="169">
        <f>SUM(I386:M386)</f>
        <v>4199070</v>
      </c>
      <c r="O386" s="174"/>
      <c r="P386" s="95" t="s">
        <v>1789</v>
      </c>
      <c r="Q386" s="38" t="s">
        <v>88</v>
      </c>
      <c r="R386" s="39"/>
      <c r="S386" s="40" t="s">
        <v>1790</v>
      </c>
      <c r="T386" s="41"/>
      <c r="U386" s="42"/>
      <c r="V386" s="43" t="s">
        <v>1791</v>
      </c>
      <c r="W386" s="44"/>
      <c r="X386" s="45"/>
      <c r="Y386" s="169"/>
      <c r="Z386" s="171">
        <f>Y386*0.1</f>
        <v>0</v>
      </c>
      <c r="AA386" s="169"/>
      <c r="AB386" s="169">
        <f>SUM(Y386:AA386)</f>
        <v>0</v>
      </c>
      <c r="AC386" s="172"/>
      <c r="AD386"/>
    </row>
    <row r="387" spans="1:30" ht="17.100000000000001" customHeight="1" thickBot="1">
      <c r="A387" s="177"/>
      <c r="B387" s="46" t="s">
        <v>1792</v>
      </c>
      <c r="C387" s="46">
        <v>83116</v>
      </c>
      <c r="D387" s="47" t="s">
        <v>1793</v>
      </c>
      <c r="E387" s="179"/>
      <c r="F387" s="48" t="s">
        <v>1794</v>
      </c>
      <c r="G387" s="49">
        <v>52827</v>
      </c>
      <c r="H387" s="181"/>
      <c r="I387" s="170"/>
      <c r="J387" s="170"/>
      <c r="K387" s="170"/>
      <c r="L387" s="170"/>
      <c r="M387" s="170"/>
      <c r="N387" s="170"/>
      <c r="O387" s="175"/>
      <c r="P387" s="71" t="s">
        <v>1795</v>
      </c>
      <c r="Q387" s="50" t="s">
        <v>89</v>
      </c>
      <c r="R387" s="51" t="s">
        <v>92</v>
      </c>
      <c r="S387" s="52" t="s">
        <v>1796</v>
      </c>
      <c r="T387" s="53"/>
      <c r="U387" s="54"/>
      <c r="V387" s="55" t="s">
        <v>1339</v>
      </c>
      <c r="W387" s="56"/>
      <c r="X387" s="54"/>
      <c r="Y387" s="170"/>
      <c r="Z387" s="170"/>
      <c r="AA387" s="170"/>
      <c r="AB387" s="170"/>
      <c r="AC387" s="173"/>
      <c r="AD387"/>
    </row>
    <row r="388" spans="1:30" ht="17.100000000000001" customHeight="1" thickTop="1">
      <c r="A388" s="176" t="s">
        <v>1797</v>
      </c>
      <c r="B388" s="33">
        <v>44450</v>
      </c>
      <c r="C388" s="34">
        <v>1071</v>
      </c>
      <c r="D388" s="35" t="s">
        <v>1798</v>
      </c>
      <c r="E388" s="178"/>
      <c r="F388" s="36" t="s">
        <v>1799</v>
      </c>
      <c r="G388" s="37" t="s">
        <v>1800</v>
      </c>
      <c r="H388" s="180">
        <v>4.5</v>
      </c>
      <c r="I388" s="169">
        <v>1755000</v>
      </c>
      <c r="J388" s="169">
        <v>175500</v>
      </c>
      <c r="K388" s="169">
        <v>19700</v>
      </c>
      <c r="L388" s="169">
        <v>18960</v>
      </c>
      <c r="M388" s="169">
        <v>13200</v>
      </c>
      <c r="N388" s="169">
        <f>SUM(I388:M388)</f>
        <v>1982360</v>
      </c>
      <c r="O388" s="174">
        <v>1600000</v>
      </c>
      <c r="P388" s="95" t="s">
        <v>1801</v>
      </c>
      <c r="Q388" s="38" t="s">
        <v>88</v>
      </c>
      <c r="R388" s="39"/>
      <c r="S388" s="40" t="s">
        <v>1802</v>
      </c>
      <c r="T388" s="41"/>
      <c r="U388" s="42"/>
      <c r="V388" s="43" t="s">
        <v>1803</v>
      </c>
      <c r="W388" s="44"/>
      <c r="X388" s="45"/>
      <c r="Y388" s="169"/>
      <c r="Z388" s="171">
        <f>Y388*0.1</f>
        <v>0</v>
      </c>
      <c r="AA388" s="169"/>
      <c r="AB388" s="169">
        <f>SUM(Y388:AA388)</f>
        <v>0</v>
      </c>
      <c r="AC388" s="172"/>
      <c r="AD388"/>
    </row>
    <row r="389" spans="1:30" ht="17.100000000000001" customHeight="1" thickBot="1">
      <c r="A389" s="177"/>
      <c r="B389" s="152" t="s">
        <v>1804</v>
      </c>
      <c r="C389" s="46">
        <v>82223</v>
      </c>
      <c r="D389" s="47" t="s">
        <v>1805</v>
      </c>
      <c r="E389" s="179"/>
      <c r="F389" s="48" t="s">
        <v>1806</v>
      </c>
      <c r="G389" s="49">
        <v>33502</v>
      </c>
      <c r="H389" s="181"/>
      <c r="I389" s="170"/>
      <c r="J389" s="170"/>
      <c r="K389" s="170"/>
      <c r="L389" s="170"/>
      <c r="M389" s="170"/>
      <c r="N389" s="170"/>
      <c r="O389" s="175"/>
      <c r="P389" s="71" t="s">
        <v>1807</v>
      </c>
      <c r="Q389" s="50" t="s">
        <v>89</v>
      </c>
      <c r="R389" s="51" t="s">
        <v>1808</v>
      </c>
      <c r="S389" s="52" t="s">
        <v>636</v>
      </c>
      <c r="T389" s="53"/>
      <c r="U389" s="54"/>
      <c r="V389" s="55" t="s">
        <v>183</v>
      </c>
      <c r="W389" s="56"/>
      <c r="X389" s="54"/>
      <c r="Y389" s="170"/>
      <c r="Z389" s="170"/>
      <c r="AA389" s="170"/>
      <c r="AB389" s="170"/>
      <c r="AC389" s="173"/>
      <c r="AD389"/>
    </row>
    <row r="390" spans="1:30" ht="17.100000000000001" customHeight="1" thickTop="1">
      <c r="A390" s="176" t="s">
        <v>1809</v>
      </c>
      <c r="B390" s="33">
        <v>44450</v>
      </c>
      <c r="C390" s="34">
        <v>1071</v>
      </c>
      <c r="D390" s="35" t="s">
        <v>1810</v>
      </c>
      <c r="E390" s="178"/>
      <c r="F390" s="36" t="s">
        <v>1811</v>
      </c>
      <c r="G390" s="37"/>
      <c r="H390" s="180">
        <v>4.5</v>
      </c>
      <c r="I390" s="169">
        <v>2235000</v>
      </c>
      <c r="J390" s="169">
        <v>223500</v>
      </c>
      <c r="K390" s="169">
        <v>0</v>
      </c>
      <c r="L390" s="169">
        <v>17800</v>
      </c>
      <c r="M390" s="169">
        <v>13200</v>
      </c>
      <c r="N390" s="169">
        <f>SUM(I390:M390)</f>
        <v>2489500</v>
      </c>
      <c r="O390" s="174">
        <v>1900000</v>
      </c>
      <c r="P390" s="95" t="s">
        <v>1812</v>
      </c>
      <c r="Q390" s="38" t="s">
        <v>88</v>
      </c>
      <c r="R390" s="39"/>
      <c r="S390" s="40" t="s">
        <v>1648</v>
      </c>
      <c r="T390" s="41"/>
      <c r="U390" s="42"/>
      <c r="V390" s="43"/>
      <c r="W390" s="44"/>
      <c r="X390" s="45"/>
      <c r="Y390" s="169"/>
      <c r="Z390" s="171">
        <f>Y390*0.1</f>
        <v>0</v>
      </c>
      <c r="AA390" s="169"/>
      <c r="AB390" s="169">
        <f>SUM(Y390:AA390)</f>
        <v>0</v>
      </c>
      <c r="AC390" s="172"/>
      <c r="AD390"/>
    </row>
    <row r="391" spans="1:30" ht="17.100000000000001" customHeight="1" thickBot="1">
      <c r="A391" s="177"/>
      <c r="B391" s="152" t="s">
        <v>1804</v>
      </c>
      <c r="C391" s="46">
        <v>85043</v>
      </c>
      <c r="D391" s="47" t="s">
        <v>1813</v>
      </c>
      <c r="E391" s="179"/>
      <c r="F391" s="48" t="s">
        <v>1814</v>
      </c>
      <c r="G391" s="49">
        <v>48407</v>
      </c>
      <c r="H391" s="181"/>
      <c r="I391" s="170"/>
      <c r="J391" s="170"/>
      <c r="K391" s="170"/>
      <c r="L391" s="170"/>
      <c r="M391" s="170"/>
      <c r="N391" s="170"/>
      <c r="O391" s="175"/>
      <c r="P391" s="71" t="s">
        <v>1815</v>
      </c>
      <c r="Q391" s="50" t="s">
        <v>89</v>
      </c>
      <c r="R391" s="51" t="s">
        <v>1808</v>
      </c>
      <c r="S391" s="52" t="s">
        <v>636</v>
      </c>
      <c r="T391" s="53"/>
      <c r="U391" s="54"/>
      <c r="V391" s="55"/>
      <c r="W391" s="56"/>
      <c r="X391" s="54"/>
      <c r="Y391" s="170"/>
      <c r="Z391" s="170"/>
      <c r="AA391" s="170"/>
      <c r="AB391" s="170"/>
      <c r="AC391" s="173"/>
      <c r="AD391"/>
    </row>
    <row r="392" spans="1:30" ht="17.100000000000001" customHeight="1" thickTop="1">
      <c r="A392" s="176" t="s">
        <v>1816</v>
      </c>
      <c r="B392" s="33">
        <v>44452</v>
      </c>
      <c r="C392" s="34">
        <v>1865</v>
      </c>
      <c r="D392" s="35" t="s">
        <v>1072</v>
      </c>
      <c r="E392" s="178" t="s">
        <v>250</v>
      </c>
      <c r="F392" s="36" t="s">
        <v>1817</v>
      </c>
      <c r="G392" s="37"/>
      <c r="H392" s="180">
        <v>4</v>
      </c>
      <c r="I392" s="169">
        <v>2400000</v>
      </c>
      <c r="J392" s="169">
        <v>240000</v>
      </c>
      <c r="K392" s="169">
        <v>0</v>
      </c>
      <c r="L392" s="169">
        <v>26150</v>
      </c>
      <c r="M392" s="169">
        <v>11000</v>
      </c>
      <c r="N392" s="169">
        <f>SUM(I392:M392)</f>
        <v>2677150</v>
      </c>
      <c r="O392" s="174">
        <v>2200000</v>
      </c>
      <c r="P392" s="95" t="s">
        <v>1818</v>
      </c>
      <c r="Q392" s="38" t="s">
        <v>88</v>
      </c>
      <c r="R392" s="39"/>
      <c r="S392" s="40" t="s">
        <v>1260</v>
      </c>
      <c r="T392" s="41"/>
      <c r="U392" s="42"/>
      <c r="V392" s="43" t="s">
        <v>1819</v>
      </c>
      <c r="W392" s="44"/>
      <c r="X392" s="45"/>
      <c r="Y392" s="169"/>
      <c r="Z392" s="171">
        <f>Y392*0.1</f>
        <v>0</v>
      </c>
      <c r="AA392" s="169"/>
      <c r="AB392" s="169">
        <f>SUM(Y392:AA392)</f>
        <v>0</v>
      </c>
      <c r="AC392" s="172"/>
      <c r="AD392"/>
    </row>
    <row r="393" spans="1:30" ht="17.100000000000001" customHeight="1" thickBot="1">
      <c r="A393" s="177"/>
      <c r="B393" s="46" t="s">
        <v>156</v>
      </c>
      <c r="C393" s="46">
        <v>32015</v>
      </c>
      <c r="D393" s="47" t="s">
        <v>373</v>
      </c>
      <c r="E393" s="179"/>
      <c r="F393" s="48" t="s">
        <v>1820</v>
      </c>
      <c r="G393" s="49">
        <v>37047</v>
      </c>
      <c r="H393" s="181"/>
      <c r="I393" s="170"/>
      <c r="J393" s="170"/>
      <c r="K393" s="170"/>
      <c r="L393" s="170"/>
      <c r="M393" s="170"/>
      <c r="N393" s="170"/>
      <c r="O393" s="175"/>
      <c r="P393" s="71" t="s">
        <v>1821</v>
      </c>
      <c r="Q393" s="50" t="s">
        <v>89</v>
      </c>
      <c r="R393" s="51" t="s">
        <v>1808</v>
      </c>
      <c r="S393" s="52" t="s">
        <v>1822</v>
      </c>
      <c r="T393" s="53"/>
      <c r="U393" s="54"/>
      <c r="V393" s="55"/>
      <c r="W393" s="56"/>
      <c r="X393" s="54"/>
      <c r="Y393" s="170"/>
      <c r="Z393" s="170"/>
      <c r="AA393" s="170"/>
      <c r="AB393" s="170"/>
      <c r="AC393" s="173"/>
      <c r="AD393"/>
    </row>
    <row r="394" spans="1:30" ht="17.100000000000001" customHeight="1" thickTop="1">
      <c r="A394" s="176" t="s">
        <v>1823</v>
      </c>
      <c r="B394" s="33">
        <v>44453</v>
      </c>
      <c r="C394" s="34">
        <v>864</v>
      </c>
      <c r="D394" s="35" t="s">
        <v>1824</v>
      </c>
      <c r="E394" s="178"/>
      <c r="F394" s="36" t="s">
        <v>1825</v>
      </c>
      <c r="G394" s="37" t="s">
        <v>1826</v>
      </c>
      <c r="H394" s="180">
        <v>4.5</v>
      </c>
      <c r="I394" s="169">
        <v>2815000</v>
      </c>
      <c r="J394" s="169">
        <v>281500</v>
      </c>
      <c r="K394" s="169">
        <v>19700</v>
      </c>
      <c r="L394" s="169">
        <v>17600</v>
      </c>
      <c r="M394" s="169">
        <v>13200</v>
      </c>
      <c r="N394" s="169">
        <f>SUM(I394:M394)</f>
        <v>3147000</v>
      </c>
      <c r="O394" s="174">
        <v>2500000</v>
      </c>
      <c r="P394" s="95" t="s">
        <v>1827</v>
      </c>
      <c r="Q394" s="38" t="s">
        <v>88</v>
      </c>
      <c r="R394" s="39"/>
      <c r="S394" s="40" t="s">
        <v>1648</v>
      </c>
      <c r="T394" s="41"/>
      <c r="U394" s="42"/>
      <c r="V394" s="43" t="s">
        <v>1828</v>
      </c>
      <c r="W394" s="44"/>
      <c r="X394" s="45"/>
      <c r="Y394" s="169"/>
      <c r="Z394" s="171">
        <f>Y394*0.1</f>
        <v>0</v>
      </c>
      <c r="AA394" s="169"/>
      <c r="AB394" s="169">
        <f>SUM(Y394:AA394)</f>
        <v>0</v>
      </c>
      <c r="AC394" s="172"/>
      <c r="AD394"/>
    </row>
    <row r="395" spans="1:30" ht="17.100000000000001" customHeight="1" thickBot="1">
      <c r="A395" s="177"/>
      <c r="B395" s="46" t="s">
        <v>1829</v>
      </c>
      <c r="C395" s="46">
        <v>84014</v>
      </c>
      <c r="D395" s="47" t="s">
        <v>1830</v>
      </c>
      <c r="E395" s="179"/>
      <c r="F395" s="48" t="s">
        <v>1831</v>
      </c>
      <c r="G395" s="49">
        <v>10716</v>
      </c>
      <c r="H395" s="181"/>
      <c r="I395" s="170"/>
      <c r="J395" s="170"/>
      <c r="K395" s="170"/>
      <c r="L395" s="170"/>
      <c r="M395" s="170"/>
      <c r="N395" s="170"/>
      <c r="O395" s="175"/>
      <c r="P395" s="71" t="s">
        <v>1832</v>
      </c>
      <c r="Q395" s="50" t="s">
        <v>89</v>
      </c>
      <c r="R395" s="51" t="s">
        <v>1833</v>
      </c>
      <c r="S395" s="52" t="s">
        <v>1834</v>
      </c>
      <c r="T395" s="53"/>
      <c r="U395" s="54"/>
      <c r="V395" s="55" t="s">
        <v>183</v>
      </c>
      <c r="W395" s="56"/>
      <c r="X395" s="54"/>
      <c r="Y395" s="170"/>
      <c r="Z395" s="170"/>
      <c r="AA395" s="170"/>
      <c r="AB395" s="170"/>
      <c r="AC395" s="173"/>
      <c r="AD395"/>
    </row>
    <row r="396" spans="1:30" ht="17.100000000000001" customHeight="1" thickTop="1">
      <c r="A396" s="176" t="s">
        <v>1835</v>
      </c>
      <c r="B396" s="33">
        <v>44462</v>
      </c>
      <c r="C396" s="34">
        <v>1339</v>
      </c>
      <c r="D396" s="35" t="s">
        <v>1836</v>
      </c>
      <c r="E396" s="178"/>
      <c r="F396" s="36" t="s">
        <v>1837</v>
      </c>
      <c r="G396" s="37"/>
      <c r="H396" s="180">
        <v>4</v>
      </c>
      <c r="I396" s="169">
        <v>1320000</v>
      </c>
      <c r="J396" s="169">
        <v>132000</v>
      </c>
      <c r="K396" s="169">
        <v>0</v>
      </c>
      <c r="L396" s="169">
        <v>17250</v>
      </c>
      <c r="M396" s="169">
        <v>13200</v>
      </c>
      <c r="N396" s="169">
        <f>SUM(I396:M396)</f>
        <v>1482450</v>
      </c>
      <c r="O396" s="174">
        <v>1200000</v>
      </c>
      <c r="P396" s="95" t="s">
        <v>1838</v>
      </c>
      <c r="Q396" s="38" t="s">
        <v>88</v>
      </c>
      <c r="R396" s="39"/>
      <c r="S396" s="40"/>
      <c r="T396" s="41"/>
      <c r="U396" s="42"/>
      <c r="V396" s="43"/>
      <c r="W396" s="44"/>
      <c r="X396" s="45"/>
      <c r="Y396" s="169"/>
      <c r="Z396" s="171">
        <f>Y396*0.1</f>
        <v>0</v>
      </c>
      <c r="AA396" s="169"/>
      <c r="AB396" s="169">
        <f>SUM(Y396:AA396)</f>
        <v>0</v>
      </c>
      <c r="AC396" s="172"/>
      <c r="AD396"/>
    </row>
    <row r="397" spans="1:30" ht="17.100000000000001" customHeight="1" thickBot="1">
      <c r="A397" s="177"/>
      <c r="B397" s="46" t="s">
        <v>1839</v>
      </c>
      <c r="C397" s="46">
        <v>75207</v>
      </c>
      <c r="D397" s="47" t="s">
        <v>1840</v>
      </c>
      <c r="E397" s="179"/>
      <c r="F397" s="48" t="s">
        <v>1841</v>
      </c>
      <c r="G397" s="49">
        <v>36639</v>
      </c>
      <c r="H397" s="181"/>
      <c r="I397" s="170"/>
      <c r="J397" s="170"/>
      <c r="K397" s="170"/>
      <c r="L397" s="170"/>
      <c r="M397" s="170"/>
      <c r="N397" s="170"/>
      <c r="O397" s="175"/>
      <c r="P397" s="71" t="s">
        <v>1842</v>
      </c>
      <c r="Q397" s="50" t="s">
        <v>89</v>
      </c>
      <c r="R397" s="51" t="s">
        <v>1843</v>
      </c>
      <c r="S397" s="52" t="s">
        <v>1844</v>
      </c>
      <c r="T397" s="53"/>
      <c r="U397" s="54"/>
      <c r="V397" s="55"/>
      <c r="W397" s="56"/>
      <c r="X397" s="54"/>
      <c r="Y397" s="170"/>
      <c r="Z397" s="170"/>
      <c r="AA397" s="170"/>
      <c r="AB397" s="170"/>
      <c r="AC397" s="173"/>
      <c r="AD397"/>
    </row>
    <row r="398" spans="1:30" ht="17.100000000000001" customHeight="1" thickTop="1">
      <c r="A398" s="176" t="s">
        <v>1845</v>
      </c>
      <c r="B398" s="33">
        <v>44474</v>
      </c>
      <c r="C398" s="34">
        <v>867</v>
      </c>
      <c r="D398" s="35" t="s">
        <v>1846</v>
      </c>
      <c r="E398" s="178"/>
      <c r="F398" s="36" t="s">
        <v>1847</v>
      </c>
      <c r="G398" s="37"/>
      <c r="H398" s="180">
        <v>4.5</v>
      </c>
      <c r="I398" s="169">
        <v>1455000</v>
      </c>
      <c r="J398" s="169">
        <v>145500</v>
      </c>
      <c r="K398" s="169">
        <v>0</v>
      </c>
      <c r="L398" s="169">
        <v>18960</v>
      </c>
      <c r="M398" s="169">
        <v>13200</v>
      </c>
      <c r="N398" s="169">
        <f>SUM(I398:M398)</f>
        <v>1632660</v>
      </c>
      <c r="O398" s="174">
        <v>1300000</v>
      </c>
      <c r="P398" s="95" t="s">
        <v>1848</v>
      </c>
      <c r="Q398" s="38" t="s">
        <v>88</v>
      </c>
      <c r="R398" s="39"/>
      <c r="S398" s="40" t="s">
        <v>1849</v>
      </c>
      <c r="T398" s="41"/>
      <c r="U398" s="42"/>
      <c r="V398" s="43"/>
      <c r="W398" s="44"/>
      <c r="X398" s="45"/>
      <c r="Y398" s="169"/>
      <c r="Z398" s="171">
        <f>Y398*0.1</f>
        <v>0</v>
      </c>
      <c r="AA398" s="169"/>
      <c r="AB398" s="169">
        <f>SUM(Y398:AA398)</f>
        <v>0</v>
      </c>
      <c r="AC398" s="172"/>
      <c r="AD398"/>
    </row>
    <row r="399" spans="1:30" ht="17.100000000000001" customHeight="1" thickBot="1">
      <c r="A399" s="177"/>
      <c r="B399" s="46" t="s">
        <v>1829</v>
      </c>
      <c r="C399" s="46">
        <v>84002</v>
      </c>
      <c r="D399" s="47" t="s">
        <v>1850</v>
      </c>
      <c r="E399" s="179"/>
      <c r="F399" s="48" t="s">
        <v>1851</v>
      </c>
      <c r="G399" s="49">
        <v>39994</v>
      </c>
      <c r="H399" s="181"/>
      <c r="I399" s="170"/>
      <c r="J399" s="170"/>
      <c r="K399" s="170"/>
      <c r="L399" s="170"/>
      <c r="M399" s="170"/>
      <c r="N399" s="170"/>
      <c r="O399" s="175"/>
      <c r="P399" s="71" t="s">
        <v>1852</v>
      </c>
      <c r="Q399" s="50" t="s">
        <v>89</v>
      </c>
      <c r="R399" s="51" t="s">
        <v>1853</v>
      </c>
      <c r="S399" s="52" t="s">
        <v>1854</v>
      </c>
      <c r="T399" s="53"/>
      <c r="U399" s="54"/>
      <c r="V399" s="55"/>
      <c r="W399" s="56"/>
      <c r="X399" s="54"/>
      <c r="Y399" s="170"/>
      <c r="Z399" s="170"/>
      <c r="AA399" s="170"/>
      <c r="AB399" s="170"/>
      <c r="AC399" s="173"/>
      <c r="AD399"/>
    </row>
    <row r="400" spans="1:30" ht="17.100000000000001" customHeight="1" thickTop="1">
      <c r="A400" s="176" t="s">
        <v>1855</v>
      </c>
      <c r="B400" s="33">
        <v>44477</v>
      </c>
      <c r="C400" s="34">
        <v>1910</v>
      </c>
      <c r="D400" s="35" t="s">
        <v>1856</v>
      </c>
      <c r="E400" s="178"/>
      <c r="F400" s="36" t="s">
        <v>1857</v>
      </c>
      <c r="G400" s="37"/>
      <c r="H400" s="180">
        <v>4.5</v>
      </c>
      <c r="I400" s="169">
        <v>1495000</v>
      </c>
      <c r="J400" s="169">
        <v>149500</v>
      </c>
      <c r="K400" s="169">
        <v>0</v>
      </c>
      <c r="L400" s="169">
        <v>17250</v>
      </c>
      <c r="M400" s="169">
        <v>13200</v>
      </c>
      <c r="N400" s="169">
        <f>SUM(I400:M400)</f>
        <v>1674950</v>
      </c>
      <c r="O400" s="174">
        <v>1200000</v>
      </c>
      <c r="P400" s="95" t="s">
        <v>1858</v>
      </c>
      <c r="Q400" s="38" t="s">
        <v>88</v>
      </c>
      <c r="R400" s="39"/>
      <c r="S400" s="40"/>
      <c r="T400" s="41"/>
      <c r="U400" s="167" t="s">
        <v>1859</v>
      </c>
      <c r="V400" s="43"/>
      <c r="W400" s="44"/>
      <c r="X400" s="45"/>
      <c r="Y400" s="169"/>
      <c r="Z400" s="171">
        <f>Y400*0.1</f>
        <v>0</v>
      </c>
      <c r="AA400" s="169"/>
      <c r="AB400" s="169">
        <f>SUM(Y400:AA400)</f>
        <v>0</v>
      </c>
      <c r="AC400" s="172"/>
      <c r="AD400"/>
    </row>
    <row r="401" spans="1:30" ht="17.100000000000001" customHeight="1" thickBot="1">
      <c r="A401" s="177"/>
      <c r="B401" s="46" t="s">
        <v>1779</v>
      </c>
      <c r="C401" s="46">
        <v>58210</v>
      </c>
      <c r="D401" s="47" t="s">
        <v>1860</v>
      </c>
      <c r="E401" s="179"/>
      <c r="F401" s="48" t="s">
        <v>1861</v>
      </c>
      <c r="G401" s="49">
        <v>26896</v>
      </c>
      <c r="H401" s="181"/>
      <c r="I401" s="170"/>
      <c r="J401" s="170"/>
      <c r="K401" s="170"/>
      <c r="L401" s="170"/>
      <c r="M401" s="170"/>
      <c r="N401" s="170"/>
      <c r="O401" s="175"/>
      <c r="P401" s="71" t="s">
        <v>1862</v>
      </c>
      <c r="Q401" s="50" t="s">
        <v>89</v>
      </c>
      <c r="R401" s="51" t="s">
        <v>1863</v>
      </c>
      <c r="S401" s="52" t="s">
        <v>272</v>
      </c>
      <c r="T401" s="53"/>
      <c r="U401" s="54"/>
      <c r="V401" s="55"/>
      <c r="W401" s="56"/>
      <c r="X401" s="54"/>
      <c r="Y401" s="170"/>
      <c r="Z401" s="170"/>
      <c r="AA401" s="170"/>
      <c r="AB401" s="170"/>
      <c r="AC401" s="173"/>
      <c r="AD401"/>
    </row>
    <row r="402" spans="1:30" ht="17.100000000000001" customHeight="1" thickTop="1">
      <c r="A402" s="176" t="s">
        <v>1864</v>
      </c>
      <c r="B402" s="33">
        <v>44478</v>
      </c>
      <c r="C402" s="34">
        <v>1318</v>
      </c>
      <c r="D402" s="35" t="s">
        <v>1865</v>
      </c>
      <c r="E402" s="178"/>
      <c r="F402" s="36" t="s">
        <v>1866</v>
      </c>
      <c r="G402" s="37"/>
      <c r="H402" s="180">
        <v>4.5</v>
      </c>
      <c r="I402" s="169">
        <v>1300000</v>
      </c>
      <c r="J402" s="169">
        <v>130000</v>
      </c>
      <c r="K402" s="169">
        <v>0</v>
      </c>
      <c r="L402" s="169">
        <v>18300</v>
      </c>
      <c r="M402" s="169">
        <v>13200</v>
      </c>
      <c r="N402" s="169">
        <f>SUM(I402:M403)</f>
        <v>1461500</v>
      </c>
      <c r="O402" s="174">
        <v>1100000</v>
      </c>
      <c r="P402" s="95" t="s">
        <v>1867</v>
      </c>
      <c r="Q402" s="38" t="s">
        <v>88</v>
      </c>
      <c r="R402" s="39"/>
      <c r="S402" s="40" t="s">
        <v>1802</v>
      </c>
      <c r="T402" s="41"/>
      <c r="U402" s="42"/>
      <c r="V402" s="43"/>
      <c r="W402" s="44"/>
      <c r="X402" s="45"/>
      <c r="Y402" s="169"/>
      <c r="Z402" s="171">
        <f>Y402*0.1</f>
        <v>0</v>
      </c>
      <c r="AA402" s="169"/>
      <c r="AB402" s="169">
        <f>SUM(Y402:AA402)</f>
        <v>0</v>
      </c>
      <c r="AC402" s="172"/>
      <c r="AD402"/>
    </row>
    <row r="403" spans="1:30" ht="17.100000000000001" customHeight="1" thickBot="1">
      <c r="A403" s="177"/>
      <c r="B403" s="46" t="s">
        <v>1792</v>
      </c>
      <c r="C403" s="46">
        <v>83113</v>
      </c>
      <c r="D403" s="47" t="s">
        <v>1868</v>
      </c>
      <c r="E403" s="179"/>
      <c r="F403" s="48" t="s">
        <v>1869</v>
      </c>
      <c r="G403" s="49">
        <v>48713</v>
      </c>
      <c r="H403" s="181"/>
      <c r="I403" s="170"/>
      <c r="J403" s="170"/>
      <c r="K403" s="170"/>
      <c r="L403" s="170"/>
      <c r="M403" s="170"/>
      <c r="N403" s="170"/>
      <c r="O403" s="175"/>
      <c r="P403" s="71" t="s">
        <v>1870</v>
      </c>
      <c r="Q403" s="50" t="s">
        <v>89</v>
      </c>
      <c r="R403" s="51" t="s">
        <v>1863</v>
      </c>
      <c r="S403" s="52" t="s">
        <v>240</v>
      </c>
      <c r="T403" s="53"/>
      <c r="U403" s="54"/>
      <c r="V403" s="55"/>
      <c r="W403" s="56"/>
      <c r="X403" s="54"/>
      <c r="Y403" s="170"/>
      <c r="Z403" s="170"/>
      <c r="AA403" s="170"/>
      <c r="AB403" s="170"/>
      <c r="AC403" s="173"/>
      <c r="AD403"/>
    </row>
    <row r="404" spans="1:30" ht="17.100000000000001" customHeight="1" thickTop="1">
      <c r="A404" s="176" t="s">
        <v>1871</v>
      </c>
      <c r="B404" s="33">
        <v>44481</v>
      </c>
      <c r="C404" s="34">
        <v>868</v>
      </c>
      <c r="D404" s="35" t="s">
        <v>1872</v>
      </c>
      <c r="E404" s="178"/>
      <c r="F404" s="36" t="s">
        <v>1873</v>
      </c>
      <c r="G404" s="37" t="s">
        <v>1874</v>
      </c>
      <c r="H404" s="180">
        <v>4</v>
      </c>
      <c r="I404" s="169">
        <v>1710000</v>
      </c>
      <c r="J404" s="169">
        <v>171000</v>
      </c>
      <c r="K404" s="169">
        <v>31800</v>
      </c>
      <c r="L404" s="169">
        <v>15590</v>
      </c>
      <c r="M404" s="169">
        <v>13200</v>
      </c>
      <c r="N404" s="169">
        <f>SUM(I404:M405)</f>
        <v>1941590</v>
      </c>
      <c r="O404" s="174">
        <v>1500000</v>
      </c>
      <c r="P404" s="95" t="s">
        <v>1875</v>
      </c>
      <c r="Q404" s="38" t="s">
        <v>88</v>
      </c>
      <c r="R404" s="39"/>
      <c r="S404" s="40" t="s">
        <v>1474</v>
      </c>
      <c r="T404" s="41"/>
      <c r="U404" s="42"/>
      <c r="V404" s="43" t="s">
        <v>1876</v>
      </c>
      <c r="W404" s="44"/>
      <c r="X404" s="45"/>
      <c r="Y404" s="169"/>
      <c r="Z404" s="171">
        <f>Y404*0.1</f>
        <v>0</v>
      </c>
      <c r="AA404" s="169"/>
      <c r="AB404" s="169">
        <f>SUM(Y404:AA404)</f>
        <v>0</v>
      </c>
      <c r="AC404" s="172"/>
      <c r="AD404"/>
    </row>
    <row r="405" spans="1:30" ht="17.100000000000001" customHeight="1" thickBot="1">
      <c r="A405" s="177"/>
      <c r="B405" s="46" t="s">
        <v>1829</v>
      </c>
      <c r="C405" s="46">
        <v>84172</v>
      </c>
      <c r="D405" s="47" t="s">
        <v>1877</v>
      </c>
      <c r="E405" s="179"/>
      <c r="F405" s="48" t="s">
        <v>1878</v>
      </c>
      <c r="G405" s="49">
        <v>48000</v>
      </c>
      <c r="H405" s="181"/>
      <c r="I405" s="170"/>
      <c r="J405" s="170"/>
      <c r="K405" s="170"/>
      <c r="L405" s="170"/>
      <c r="M405" s="170"/>
      <c r="N405" s="170"/>
      <c r="O405" s="175"/>
      <c r="P405" s="71" t="s">
        <v>1879</v>
      </c>
      <c r="Q405" s="50" t="s">
        <v>89</v>
      </c>
      <c r="R405" s="51" t="s">
        <v>1880</v>
      </c>
      <c r="S405" s="52" t="s">
        <v>1881</v>
      </c>
      <c r="T405" s="53"/>
      <c r="U405" s="54"/>
      <c r="V405" s="55" t="s">
        <v>1145</v>
      </c>
      <c r="W405" s="56"/>
      <c r="X405" s="54"/>
      <c r="Y405" s="170"/>
      <c r="Z405" s="170"/>
      <c r="AA405" s="170"/>
      <c r="AB405" s="170"/>
      <c r="AC405" s="173"/>
      <c r="AD405"/>
    </row>
    <row r="406" spans="1:30" ht="17.100000000000001" customHeight="1" thickTop="1">
      <c r="A406" s="176" t="s">
        <v>1882</v>
      </c>
      <c r="B406" s="33">
        <v>44481</v>
      </c>
      <c r="C406" s="34">
        <v>868</v>
      </c>
      <c r="D406" s="35" t="s">
        <v>1883</v>
      </c>
      <c r="E406" s="178"/>
      <c r="F406" s="36" t="s">
        <v>1884</v>
      </c>
      <c r="G406" s="37" t="s">
        <v>1885</v>
      </c>
      <c r="H406" s="180">
        <v>4.5</v>
      </c>
      <c r="I406" s="169">
        <v>4610000</v>
      </c>
      <c r="J406" s="169">
        <v>461000</v>
      </c>
      <c r="K406" s="169">
        <v>21200</v>
      </c>
      <c r="L406" s="169">
        <v>20990</v>
      </c>
      <c r="M406" s="169">
        <v>13200</v>
      </c>
      <c r="N406" s="169">
        <f>SUM(I406:M407)</f>
        <v>5126390</v>
      </c>
      <c r="O406" s="174">
        <v>4700000</v>
      </c>
      <c r="P406" s="95" t="s">
        <v>1886</v>
      </c>
      <c r="Q406" s="38" t="s">
        <v>88</v>
      </c>
      <c r="R406" s="39"/>
      <c r="S406" s="40" t="s">
        <v>1887</v>
      </c>
      <c r="T406" s="41"/>
      <c r="U406" s="42"/>
      <c r="V406" s="43" t="s">
        <v>1888</v>
      </c>
      <c r="W406" s="44"/>
      <c r="X406" s="45"/>
      <c r="Y406" s="169"/>
      <c r="Z406" s="171">
        <f>Y406*0.1</f>
        <v>0</v>
      </c>
      <c r="AA406" s="169"/>
      <c r="AB406" s="169">
        <f>SUM(Y406:AA406)</f>
        <v>0</v>
      </c>
      <c r="AC406" s="172"/>
      <c r="AD406"/>
    </row>
    <row r="407" spans="1:30" ht="17.100000000000001" customHeight="1" thickBot="1">
      <c r="A407" s="177"/>
      <c r="B407" s="46" t="s">
        <v>1829</v>
      </c>
      <c r="C407" s="46">
        <v>90003</v>
      </c>
      <c r="D407" s="47" t="s">
        <v>373</v>
      </c>
      <c r="E407" s="179"/>
      <c r="F407" s="48" t="s">
        <v>1889</v>
      </c>
      <c r="G407" s="49">
        <v>44907</v>
      </c>
      <c r="H407" s="181"/>
      <c r="I407" s="170"/>
      <c r="J407" s="170"/>
      <c r="K407" s="170"/>
      <c r="L407" s="170"/>
      <c r="M407" s="170"/>
      <c r="N407" s="170"/>
      <c r="O407" s="175"/>
      <c r="P407" s="71" t="s">
        <v>1890</v>
      </c>
      <c r="Q407" s="50" t="s">
        <v>89</v>
      </c>
      <c r="R407" s="51" t="s">
        <v>1891</v>
      </c>
      <c r="S407" s="52" t="s">
        <v>636</v>
      </c>
      <c r="T407" s="53"/>
      <c r="U407" s="54"/>
      <c r="V407" s="55" t="s">
        <v>183</v>
      </c>
      <c r="W407" s="56"/>
      <c r="X407" s="54"/>
      <c r="Y407" s="170"/>
      <c r="Z407" s="170"/>
      <c r="AA407" s="170"/>
      <c r="AB407" s="170"/>
      <c r="AC407" s="173"/>
      <c r="AD407"/>
    </row>
    <row r="408" spans="1:30" ht="17.100000000000001" customHeight="1" thickTop="1">
      <c r="A408" s="176" t="s">
        <v>1892</v>
      </c>
      <c r="B408" s="33">
        <v>44483</v>
      </c>
      <c r="C408" s="34">
        <v>1342</v>
      </c>
      <c r="D408" s="35" t="s">
        <v>1893</v>
      </c>
      <c r="E408" s="178" t="s">
        <v>250</v>
      </c>
      <c r="F408" s="36" t="s">
        <v>1894</v>
      </c>
      <c r="G408" s="37" t="s">
        <v>1895</v>
      </c>
      <c r="H408" s="180">
        <v>5</v>
      </c>
      <c r="I408" s="169">
        <v>4175000</v>
      </c>
      <c r="J408" s="169">
        <v>417500</v>
      </c>
      <c r="K408" s="169">
        <v>36600</v>
      </c>
      <c r="L408" s="169">
        <v>26520</v>
      </c>
      <c r="M408" s="169">
        <v>13200</v>
      </c>
      <c r="N408" s="169">
        <f>SUM(I408:M409)</f>
        <v>4668820</v>
      </c>
      <c r="O408" s="174"/>
      <c r="P408" s="95" t="s">
        <v>1896</v>
      </c>
      <c r="Q408" s="38" t="s">
        <v>88</v>
      </c>
      <c r="R408" s="39"/>
      <c r="S408" s="40" t="s">
        <v>1474</v>
      </c>
      <c r="T408" s="41"/>
      <c r="U408" s="42" t="s">
        <v>1897</v>
      </c>
      <c r="V408" s="43" t="s">
        <v>1898</v>
      </c>
      <c r="W408" s="44"/>
      <c r="X408" s="45"/>
      <c r="Y408" s="169"/>
      <c r="Z408" s="171">
        <f>Y408*0.1</f>
        <v>0</v>
      </c>
      <c r="AA408" s="169"/>
      <c r="AB408" s="169">
        <f>SUM(Y408:AA408)</f>
        <v>0</v>
      </c>
      <c r="AC408" s="172"/>
      <c r="AD408"/>
    </row>
    <row r="409" spans="1:30" ht="17.100000000000001" customHeight="1" thickBot="1">
      <c r="A409" s="177"/>
      <c r="B409" s="46" t="s">
        <v>1839</v>
      </c>
      <c r="C409" s="46">
        <v>75378</v>
      </c>
      <c r="D409" s="47" t="s">
        <v>373</v>
      </c>
      <c r="E409" s="179"/>
      <c r="F409" s="48" t="s">
        <v>1899</v>
      </c>
      <c r="G409" s="49">
        <v>43444</v>
      </c>
      <c r="H409" s="181"/>
      <c r="I409" s="170"/>
      <c r="J409" s="170"/>
      <c r="K409" s="170"/>
      <c r="L409" s="170"/>
      <c r="M409" s="170"/>
      <c r="N409" s="170"/>
      <c r="O409" s="175"/>
      <c r="P409" s="71" t="s">
        <v>1900</v>
      </c>
      <c r="Q409" s="50" t="s">
        <v>89</v>
      </c>
      <c r="R409" s="51" t="s">
        <v>1901</v>
      </c>
      <c r="S409" s="52" t="s">
        <v>1902</v>
      </c>
      <c r="T409" s="53"/>
      <c r="U409" s="54"/>
      <c r="V409" s="55"/>
      <c r="W409" s="56"/>
      <c r="X409" s="54"/>
      <c r="Y409" s="170"/>
      <c r="Z409" s="170"/>
      <c r="AA409" s="170"/>
      <c r="AB409" s="170"/>
      <c r="AC409" s="173"/>
      <c r="AD409"/>
    </row>
    <row r="410" spans="1:30" ht="17.100000000000001" customHeight="1" thickTop="1">
      <c r="A410" s="176" t="s">
        <v>1903</v>
      </c>
      <c r="B410" s="33">
        <v>44484</v>
      </c>
      <c r="C410" s="34">
        <v>1911</v>
      </c>
      <c r="D410" s="35" t="s">
        <v>1904</v>
      </c>
      <c r="E410" s="178"/>
      <c r="F410" s="36" t="s">
        <v>1905</v>
      </c>
      <c r="G410" s="37" t="s">
        <v>1800</v>
      </c>
      <c r="H410" s="180">
        <v>3.5</v>
      </c>
      <c r="I410" s="169">
        <v>1000000</v>
      </c>
      <c r="J410" s="169">
        <v>100000</v>
      </c>
      <c r="K410" s="169">
        <v>31800</v>
      </c>
      <c r="L410" s="169">
        <v>15490</v>
      </c>
      <c r="M410" s="169">
        <v>13200</v>
      </c>
      <c r="N410" s="169">
        <f>SUM(I410:M411)</f>
        <v>1160490</v>
      </c>
      <c r="O410" s="174"/>
      <c r="P410" s="95" t="s">
        <v>1906</v>
      </c>
      <c r="Q410" s="38" t="s">
        <v>88</v>
      </c>
      <c r="R410" s="39"/>
      <c r="S410" s="40"/>
      <c r="T410" s="41"/>
      <c r="U410" s="42"/>
      <c r="V410" s="43" t="s">
        <v>1907</v>
      </c>
      <c r="W410" s="44"/>
      <c r="X410" s="45"/>
      <c r="Y410" s="169"/>
      <c r="Z410" s="171">
        <f>Y410*0.1</f>
        <v>0</v>
      </c>
      <c r="AA410" s="169"/>
      <c r="AB410" s="169">
        <f>SUM(Y410:AA410)</f>
        <v>0</v>
      </c>
      <c r="AC410" s="172"/>
      <c r="AD410"/>
    </row>
    <row r="411" spans="1:30" ht="17.100000000000001" customHeight="1" thickBot="1">
      <c r="A411" s="177"/>
      <c r="B411" s="46" t="s">
        <v>1779</v>
      </c>
      <c r="C411" s="46">
        <v>20427</v>
      </c>
      <c r="D411" s="47" t="s">
        <v>1877</v>
      </c>
      <c r="E411" s="179"/>
      <c r="F411" s="48" t="s">
        <v>1908</v>
      </c>
      <c r="G411" s="49">
        <v>72076</v>
      </c>
      <c r="H411" s="181"/>
      <c r="I411" s="170"/>
      <c r="J411" s="170"/>
      <c r="K411" s="170"/>
      <c r="L411" s="170"/>
      <c r="M411" s="170"/>
      <c r="N411" s="170"/>
      <c r="O411" s="175"/>
      <c r="P411" s="71" t="s">
        <v>1909</v>
      </c>
      <c r="Q411" s="50" t="s">
        <v>89</v>
      </c>
      <c r="R411" s="51" t="s">
        <v>1910</v>
      </c>
      <c r="S411" s="52" t="s">
        <v>1911</v>
      </c>
      <c r="T411" s="53"/>
      <c r="U411" s="54"/>
      <c r="V411" s="55" t="s">
        <v>120</v>
      </c>
      <c r="W411" s="56"/>
      <c r="X411" s="54"/>
      <c r="Y411" s="170"/>
      <c r="Z411" s="170"/>
      <c r="AA411" s="170"/>
      <c r="AB411" s="170"/>
      <c r="AC411" s="173"/>
      <c r="AD411"/>
    </row>
    <row r="412" spans="1:30" ht="17.100000000000001" customHeight="1" thickTop="1">
      <c r="A412" s="176" t="s">
        <v>1912</v>
      </c>
      <c r="B412" s="33">
        <v>44491</v>
      </c>
      <c r="C412" s="34">
        <v>1912</v>
      </c>
      <c r="D412" s="35" t="s">
        <v>1913</v>
      </c>
      <c r="E412" s="178"/>
      <c r="F412" s="36" t="s">
        <v>1799</v>
      </c>
      <c r="G412" s="37" t="s">
        <v>1914</v>
      </c>
      <c r="H412" s="180">
        <v>4</v>
      </c>
      <c r="I412" s="169">
        <v>1670000</v>
      </c>
      <c r="J412" s="169">
        <v>167000</v>
      </c>
      <c r="K412" s="169">
        <v>16400</v>
      </c>
      <c r="L412" s="169">
        <v>18960</v>
      </c>
      <c r="M412" s="169">
        <v>13200</v>
      </c>
      <c r="N412" s="169">
        <f>SUM(I412:M413)</f>
        <v>1885560</v>
      </c>
      <c r="O412" s="174">
        <v>1500000</v>
      </c>
      <c r="P412" s="95" t="s">
        <v>1915</v>
      </c>
      <c r="Q412" s="38" t="s">
        <v>88</v>
      </c>
      <c r="R412" s="39"/>
      <c r="S412" s="40" t="s">
        <v>93</v>
      </c>
      <c r="T412" s="41"/>
      <c r="U412" s="42"/>
      <c r="V412" s="43" t="s">
        <v>1916</v>
      </c>
      <c r="W412" s="44"/>
      <c r="X412" s="45"/>
      <c r="Y412" s="169"/>
      <c r="Z412" s="171">
        <f>Y412*0.1</f>
        <v>0</v>
      </c>
      <c r="AA412" s="169"/>
      <c r="AB412" s="169">
        <f>SUM(Y412:AA412)</f>
        <v>0</v>
      </c>
      <c r="AC412" s="172"/>
      <c r="AD412"/>
    </row>
    <row r="413" spans="1:30" ht="17.100000000000001" customHeight="1" thickBot="1">
      <c r="A413" s="177"/>
      <c r="B413" s="46" t="s">
        <v>1779</v>
      </c>
      <c r="C413" s="46">
        <v>58588</v>
      </c>
      <c r="D413" s="47" t="s">
        <v>1850</v>
      </c>
      <c r="E413" s="179"/>
      <c r="F413" s="48" t="s">
        <v>1917</v>
      </c>
      <c r="G413" s="49">
        <v>41805</v>
      </c>
      <c r="H413" s="181"/>
      <c r="I413" s="170"/>
      <c r="J413" s="170"/>
      <c r="K413" s="170"/>
      <c r="L413" s="170"/>
      <c r="M413" s="170"/>
      <c r="N413" s="170"/>
      <c r="O413" s="175"/>
      <c r="P413" s="71" t="s">
        <v>1918</v>
      </c>
      <c r="Q413" s="50" t="s">
        <v>89</v>
      </c>
      <c r="R413" s="51" t="s">
        <v>1919</v>
      </c>
      <c r="S413" s="52" t="s">
        <v>1844</v>
      </c>
      <c r="T413" s="53"/>
      <c r="U413" s="54"/>
      <c r="V413" s="55" t="s">
        <v>1496</v>
      </c>
      <c r="W413" s="56"/>
      <c r="X413" s="54"/>
      <c r="Y413" s="170"/>
      <c r="Z413" s="170"/>
      <c r="AA413" s="170"/>
      <c r="AB413" s="170"/>
      <c r="AC413" s="173"/>
      <c r="AD413"/>
    </row>
    <row r="414" spans="1:30" ht="17.100000000000001" customHeight="1" thickTop="1">
      <c r="A414" s="176" t="s">
        <v>1920</v>
      </c>
      <c r="B414" s="33">
        <v>44498</v>
      </c>
      <c r="C414" s="34">
        <v>1913</v>
      </c>
      <c r="D414" s="35" t="s">
        <v>1921</v>
      </c>
      <c r="E414" s="178"/>
      <c r="F414" s="36" t="s">
        <v>1922</v>
      </c>
      <c r="G414" s="37" t="s">
        <v>1885</v>
      </c>
      <c r="H414" s="180">
        <v>5</v>
      </c>
      <c r="I414" s="169">
        <v>1770000</v>
      </c>
      <c r="J414" s="169">
        <v>177000</v>
      </c>
      <c r="K414" s="169">
        <v>16400</v>
      </c>
      <c r="L414" s="169">
        <v>19370</v>
      </c>
      <c r="M414" s="169">
        <v>13200</v>
      </c>
      <c r="N414" s="169">
        <f>SUM(I414:M415)</f>
        <v>1995970</v>
      </c>
      <c r="O414" s="174">
        <v>1500000</v>
      </c>
      <c r="P414" s="95" t="s">
        <v>1923</v>
      </c>
      <c r="Q414" s="38" t="s">
        <v>88</v>
      </c>
      <c r="R414" s="39"/>
      <c r="S414" s="40" t="s">
        <v>1924</v>
      </c>
      <c r="T414" s="41"/>
      <c r="U414" s="42"/>
      <c r="V414" s="43" t="s">
        <v>1925</v>
      </c>
      <c r="W414" s="44"/>
      <c r="X414" s="45"/>
      <c r="Y414" s="169"/>
      <c r="Z414" s="171">
        <f>Y414*0.1</f>
        <v>0</v>
      </c>
      <c r="AA414" s="169"/>
      <c r="AB414" s="169">
        <f>SUM(Y414:AA414)</f>
        <v>0</v>
      </c>
      <c r="AC414" s="172"/>
      <c r="AD414"/>
    </row>
    <row r="415" spans="1:30" ht="17.100000000000001" customHeight="1" thickBot="1">
      <c r="A415" s="177"/>
      <c r="B415" s="46" t="s">
        <v>1779</v>
      </c>
      <c r="C415" s="46">
        <v>58263</v>
      </c>
      <c r="D415" s="47" t="s">
        <v>1926</v>
      </c>
      <c r="E415" s="179"/>
      <c r="F415" s="48" t="s">
        <v>1927</v>
      </c>
      <c r="G415" s="49">
        <v>33245</v>
      </c>
      <c r="H415" s="181"/>
      <c r="I415" s="170"/>
      <c r="J415" s="170"/>
      <c r="K415" s="170"/>
      <c r="L415" s="170"/>
      <c r="M415" s="170"/>
      <c r="N415" s="170"/>
      <c r="O415" s="175"/>
      <c r="P415" s="71" t="s">
        <v>1928</v>
      </c>
      <c r="Q415" s="50" t="s">
        <v>89</v>
      </c>
      <c r="R415" s="51" t="s">
        <v>1929</v>
      </c>
      <c r="S415" s="52" t="s">
        <v>1930</v>
      </c>
      <c r="T415" s="53"/>
      <c r="U415" s="54"/>
      <c r="V415" s="55" t="s">
        <v>1931</v>
      </c>
      <c r="W415" s="56"/>
      <c r="X415" s="54"/>
      <c r="Y415" s="170"/>
      <c r="Z415" s="170"/>
      <c r="AA415" s="170"/>
      <c r="AB415" s="170"/>
      <c r="AC415" s="173"/>
      <c r="AD415"/>
    </row>
    <row r="416" spans="1:30" ht="17.100000000000001" customHeight="1" thickTop="1">
      <c r="A416" s="176" t="s">
        <v>1932</v>
      </c>
      <c r="B416" s="33">
        <v>44505</v>
      </c>
      <c r="C416" s="34">
        <v>1914</v>
      </c>
      <c r="D416" s="35" t="s">
        <v>91</v>
      </c>
      <c r="E416" s="178"/>
      <c r="F416" s="36" t="s">
        <v>1933</v>
      </c>
      <c r="G416" s="37" t="s">
        <v>1934</v>
      </c>
      <c r="H416" s="180">
        <v>4</v>
      </c>
      <c r="I416" s="169">
        <v>700000</v>
      </c>
      <c r="J416" s="169">
        <v>70000</v>
      </c>
      <c r="K416" s="169">
        <v>13100</v>
      </c>
      <c r="L416" s="169">
        <v>19950</v>
      </c>
      <c r="M416" s="169">
        <v>13200</v>
      </c>
      <c r="N416" s="169">
        <f>SUM(I416:M417)</f>
        <v>816250</v>
      </c>
      <c r="O416" s="174">
        <v>400000</v>
      </c>
      <c r="P416" s="95" t="s">
        <v>1935</v>
      </c>
      <c r="Q416" s="38" t="s">
        <v>88</v>
      </c>
      <c r="R416" s="39"/>
      <c r="S416" s="40" t="s">
        <v>1936</v>
      </c>
      <c r="T416" s="41"/>
      <c r="U416" s="42"/>
      <c r="V416" s="43" t="s">
        <v>1937</v>
      </c>
      <c r="W416" s="44"/>
      <c r="X416" s="45"/>
      <c r="Y416" s="169"/>
      <c r="Z416" s="171">
        <f>Y416*0.1</f>
        <v>0</v>
      </c>
      <c r="AA416" s="169"/>
      <c r="AB416" s="169">
        <f>SUM(Y416:AA416)</f>
        <v>0</v>
      </c>
      <c r="AC416" s="172"/>
      <c r="AD416"/>
    </row>
    <row r="417" spans="1:30" ht="17.100000000000001" customHeight="1" thickBot="1">
      <c r="A417" s="177"/>
      <c r="B417" s="46" t="s">
        <v>1779</v>
      </c>
      <c r="C417" s="46">
        <v>20674</v>
      </c>
      <c r="D417" s="47" t="s">
        <v>1877</v>
      </c>
      <c r="E417" s="179"/>
      <c r="F417" s="48" t="s">
        <v>1938</v>
      </c>
      <c r="G417" s="49">
        <v>36064</v>
      </c>
      <c r="H417" s="181"/>
      <c r="I417" s="170"/>
      <c r="J417" s="170"/>
      <c r="K417" s="170"/>
      <c r="L417" s="170"/>
      <c r="M417" s="170"/>
      <c r="N417" s="170"/>
      <c r="O417" s="175"/>
      <c r="P417" s="71" t="s">
        <v>1939</v>
      </c>
      <c r="Q417" s="50" t="s">
        <v>89</v>
      </c>
      <c r="R417" s="51" t="s">
        <v>1940</v>
      </c>
      <c r="S417" s="52" t="s">
        <v>1854</v>
      </c>
      <c r="T417" s="53"/>
      <c r="U417" s="54"/>
      <c r="V417" s="55" t="s">
        <v>1749</v>
      </c>
      <c r="W417" s="56"/>
      <c r="X417" s="54"/>
      <c r="Y417" s="170"/>
      <c r="Z417" s="170"/>
      <c r="AA417" s="170"/>
      <c r="AB417" s="170"/>
      <c r="AC417" s="173"/>
      <c r="AD417"/>
    </row>
    <row r="418" spans="1:30" ht="17.100000000000001" customHeight="1" thickTop="1">
      <c r="A418" s="176" t="s">
        <v>1941</v>
      </c>
      <c r="B418" s="33">
        <v>44512</v>
      </c>
      <c r="C418" s="34">
        <v>1915</v>
      </c>
      <c r="D418" s="35" t="s">
        <v>1942</v>
      </c>
      <c r="E418" s="178"/>
      <c r="F418" s="36" t="s">
        <v>1943</v>
      </c>
      <c r="G418" s="37" t="s">
        <v>1944</v>
      </c>
      <c r="H418" s="180">
        <v>4.5</v>
      </c>
      <c r="I418" s="169">
        <v>1260000</v>
      </c>
      <c r="J418" s="169">
        <v>126000</v>
      </c>
      <c r="K418" s="169">
        <v>11500</v>
      </c>
      <c r="L418" s="169">
        <v>18570</v>
      </c>
      <c r="M418" s="169">
        <v>13200</v>
      </c>
      <c r="N418" s="169">
        <f>SUM(I418:M419)</f>
        <v>1429270</v>
      </c>
      <c r="O418" s="174">
        <v>1100000</v>
      </c>
      <c r="P418" s="95" t="s">
        <v>1945</v>
      </c>
      <c r="Q418" s="38" t="s">
        <v>88</v>
      </c>
      <c r="R418" s="39"/>
      <c r="S418" s="40" t="s">
        <v>1648</v>
      </c>
      <c r="T418" s="41"/>
      <c r="U418" s="42"/>
      <c r="V418" s="43" t="s">
        <v>1946</v>
      </c>
      <c r="W418" s="44"/>
      <c r="X418" s="45"/>
      <c r="Y418" s="169"/>
      <c r="Z418" s="171">
        <f>Y418*0.1</f>
        <v>0</v>
      </c>
      <c r="AA418" s="169"/>
      <c r="AB418" s="169">
        <f>SUM(Y418:AA418)</f>
        <v>0</v>
      </c>
      <c r="AC418" s="172"/>
      <c r="AD418"/>
    </row>
    <row r="419" spans="1:30" ht="17.100000000000001" customHeight="1" thickBot="1">
      <c r="A419" s="177"/>
      <c r="B419" s="46" t="s">
        <v>1779</v>
      </c>
      <c r="C419" s="46">
        <v>58247</v>
      </c>
      <c r="D419" s="47" t="s">
        <v>1947</v>
      </c>
      <c r="E419" s="179"/>
      <c r="F419" s="48" t="s">
        <v>1948</v>
      </c>
      <c r="G419" s="49">
        <v>45636</v>
      </c>
      <c r="H419" s="181"/>
      <c r="I419" s="170"/>
      <c r="J419" s="170"/>
      <c r="K419" s="170"/>
      <c r="L419" s="170"/>
      <c r="M419" s="170"/>
      <c r="N419" s="170"/>
      <c r="O419" s="175"/>
      <c r="P419" s="71" t="s">
        <v>1949</v>
      </c>
      <c r="Q419" s="50" t="s">
        <v>89</v>
      </c>
      <c r="R419" s="51" t="s">
        <v>1950</v>
      </c>
      <c r="S419" s="52" t="s">
        <v>1951</v>
      </c>
      <c r="T419" s="53"/>
      <c r="U419" s="54"/>
      <c r="V419" s="55" t="s">
        <v>120</v>
      </c>
      <c r="W419" s="56"/>
      <c r="X419" s="54"/>
      <c r="Y419" s="170"/>
      <c r="Z419" s="170"/>
      <c r="AA419" s="170"/>
      <c r="AB419" s="170"/>
      <c r="AC419" s="173"/>
      <c r="AD419"/>
    </row>
    <row r="420" spans="1:30" ht="17.100000000000001" customHeight="1" thickTop="1">
      <c r="A420" s="176" t="s">
        <v>1952</v>
      </c>
      <c r="B420" s="33">
        <v>44513</v>
      </c>
      <c r="C420" s="34">
        <v>803</v>
      </c>
      <c r="D420" s="35" t="s">
        <v>1786</v>
      </c>
      <c r="E420" s="178"/>
      <c r="F420" s="36" t="s">
        <v>1933</v>
      </c>
      <c r="G420" s="37"/>
      <c r="H420" s="180">
        <v>4.5</v>
      </c>
      <c r="I420" s="169">
        <v>563000</v>
      </c>
      <c r="J420" s="169">
        <v>56300</v>
      </c>
      <c r="K420" s="169">
        <v>0</v>
      </c>
      <c r="L420" s="169">
        <v>19950</v>
      </c>
      <c r="M420" s="169">
        <v>15950</v>
      </c>
      <c r="N420" s="169">
        <f>SUM(I420:M421)</f>
        <v>655200</v>
      </c>
      <c r="O420" s="174">
        <v>300000</v>
      </c>
      <c r="P420" s="95" t="s">
        <v>1953</v>
      </c>
      <c r="Q420" s="38" t="s">
        <v>88</v>
      </c>
      <c r="R420" s="39"/>
      <c r="S420" s="40" t="s">
        <v>1555</v>
      </c>
      <c r="T420" s="41"/>
      <c r="U420" s="42"/>
      <c r="V420" s="43"/>
      <c r="W420" s="44"/>
      <c r="X420" s="45"/>
      <c r="Y420" s="169"/>
      <c r="Z420" s="171">
        <f>Y420*0.1</f>
        <v>0</v>
      </c>
      <c r="AA420" s="169"/>
      <c r="AB420" s="169">
        <f>SUM(Y420:AA420)</f>
        <v>0</v>
      </c>
      <c r="AC420" s="172"/>
      <c r="AD420"/>
    </row>
    <row r="421" spans="1:30" ht="17.100000000000001" customHeight="1" thickBot="1">
      <c r="A421" s="177"/>
      <c r="B421" s="46" t="s">
        <v>1954</v>
      </c>
      <c r="C421" s="46">
        <v>5018</v>
      </c>
      <c r="D421" s="47" t="s">
        <v>1830</v>
      </c>
      <c r="E421" s="179"/>
      <c r="F421" s="48" t="s">
        <v>1955</v>
      </c>
      <c r="G421" s="49">
        <v>46468</v>
      </c>
      <c r="H421" s="181"/>
      <c r="I421" s="170"/>
      <c r="J421" s="170"/>
      <c r="K421" s="170"/>
      <c r="L421" s="170"/>
      <c r="M421" s="170"/>
      <c r="N421" s="170"/>
      <c r="O421" s="175"/>
      <c r="P421" s="71" t="s">
        <v>1956</v>
      </c>
      <c r="Q421" s="50" t="s">
        <v>89</v>
      </c>
      <c r="R421" s="51" t="s">
        <v>1950</v>
      </c>
      <c r="S421" s="52" t="s">
        <v>1957</v>
      </c>
      <c r="T421" s="53"/>
      <c r="U421" s="54" t="s">
        <v>1958</v>
      </c>
      <c r="V421" s="55"/>
      <c r="W421" s="56"/>
      <c r="X421" s="54"/>
      <c r="Y421" s="170"/>
      <c r="Z421" s="170"/>
      <c r="AA421" s="170"/>
      <c r="AB421" s="170"/>
      <c r="AC421" s="173"/>
      <c r="AD421"/>
    </row>
    <row r="422" spans="1:30" ht="17.100000000000001" customHeight="1" thickTop="1">
      <c r="A422" s="176" t="s">
        <v>1959</v>
      </c>
      <c r="B422" s="33">
        <v>44515</v>
      </c>
      <c r="C422" s="34"/>
      <c r="D422" s="35" t="s">
        <v>1960</v>
      </c>
      <c r="E422" s="178"/>
      <c r="F422" s="36" t="s">
        <v>1961</v>
      </c>
      <c r="G422" s="37" t="s">
        <v>1962</v>
      </c>
      <c r="H422" s="182" t="s">
        <v>1963</v>
      </c>
      <c r="I422" s="169">
        <v>450000</v>
      </c>
      <c r="J422" s="169">
        <v>45000</v>
      </c>
      <c r="K422" s="169">
        <v>0</v>
      </c>
      <c r="L422" s="169">
        <v>8680</v>
      </c>
      <c r="M422" s="169">
        <v>52106</v>
      </c>
      <c r="N422" s="169">
        <f>SUM(I422:M423)</f>
        <v>555786</v>
      </c>
      <c r="O422" s="174">
        <v>300000</v>
      </c>
      <c r="P422" s="95" t="s">
        <v>1964</v>
      </c>
      <c r="Q422" s="38" t="s">
        <v>88</v>
      </c>
      <c r="R422" s="39"/>
      <c r="S422" s="40" t="s">
        <v>1965</v>
      </c>
      <c r="T422" s="41"/>
      <c r="U422" s="42" t="s">
        <v>1966</v>
      </c>
      <c r="V422" s="43"/>
      <c r="W422" s="44"/>
      <c r="X422" s="45"/>
      <c r="Y422" s="169"/>
      <c r="Z422" s="171">
        <f>Y422*0.1</f>
        <v>0</v>
      </c>
      <c r="AA422" s="169"/>
      <c r="AB422" s="169">
        <f>SUM(Y422:AA422)</f>
        <v>0</v>
      </c>
      <c r="AC422" s="172"/>
      <c r="AD422"/>
    </row>
    <row r="423" spans="1:30" ht="17.100000000000001" customHeight="1" thickBot="1">
      <c r="A423" s="177"/>
      <c r="B423" s="46" t="s">
        <v>1967</v>
      </c>
      <c r="C423" s="46" t="s">
        <v>1968</v>
      </c>
      <c r="D423" s="47" t="s">
        <v>1969</v>
      </c>
      <c r="E423" s="179"/>
      <c r="F423" s="48" t="s">
        <v>1970</v>
      </c>
      <c r="G423" s="49">
        <v>35297</v>
      </c>
      <c r="H423" s="181"/>
      <c r="I423" s="170"/>
      <c r="J423" s="170"/>
      <c r="K423" s="170"/>
      <c r="L423" s="170"/>
      <c r="M423" s="170"/>
      <c r="N423" s="170"/>
      <c r="O423" s="175"/>
      <c r="P423" s="71" t="s">
        <v>1971</v>
      </c>
      <c r="Q423" s="50" t="s">
        <v>89</v>
      </c>
      <c r="R423" s="51" t="s">
        <v>1972</v>
      </c>
      <c r="S423" s="52" t="s">
        <v>1973</v>
      </c>
      <c r="T423" s="53"/>
      <c r="U423" s="54"/>
      <c r="V423" s="55"/>
      <c r="W423" s="56"/>
      <c r="X423" s="54"/>
      <c r="Y423" s="170"/>
      <c r="Z423" s="170"/>
      <c r="AA423" s="170"/>
      <c r="AB423" s="170"/>
      <c r="AC423" s="173"/>
      <c r="AD423"/>
    </row>
    <row r="424" spans="1:30" ht="17.100000000000001" customHeight="1" thickTop="1">
      <c r="A424" s="176" t="s">
        <v>1974</v>
      </c>
      <c r="B424" s="33">
        <v>44520</v>
      </c>
      <c r="C424" s="34">
        <v>1324</v>
      </c>
      <c r="D424" s="35" t="s">
        <v>1975</v>
      </c>
      <c r="E424" s="178"/>
      <c r="F424" s="36" t="s">
        <v>1976</v>
      </c>
      <c r="G424" s="37" t="s">
        <v>1885</v>
      </c>
      <c r="H424" s="180">
        <v>5</v>
      </c>
      <c r="I424" s="169">
        <v>2105000</v>
      </c>
      <c r="J424" s="169">
        <v>210500</v>
      </c>
      <c r="K424" s="169">
        <v>11500</v>
      </c>
      <c r="L424" s="169">
        <v>12370</v>
      </c>
      <c r="M424" s="169">
        <v>13200</v>
      </c>
      <c r="N424" s="169">
        <f>SUM(I424:M425)</f>
        <v>2352570</v>
      </c>
      <c r="O424" s="174">
        <v>2000000</v>
      </c>
      <c r="P424" s="95" t="s">
        <v>1977</v>
      </c>
      <c r="Q424" s="38" t="s">
        <v>88</v>
      </c>
      <c r="R424" s="39"/>
      <c r="S424" s="40" t="s">
        <v>1522</v>
      </c>
      <c r="T424" s="41"/>
      <c r="U424" s="42"/>
      <c r="V424" s="43" t="s">
        <v>1978</v>
      </c>
      <c r="W424" s="44"/>
      <c r="X424" s="45"/>
      <c r="Y424" s="169"/>
      <c r="Z424" s="171">
        <f>Y424*0.1</f>
        <v>0</v>
      </c>
      <c r="AA424" s="169"/>
      <c r="AB424" s="169">
        <f>SUM(Y424:AA424)</f>
        <v>0</v>
      </c>
      <c r="AC424" s="172"/>
      <c r="AD424"/>
    </row>
    <row r="425" spans="1:30" ht="17.100000000000001" customHeight="1" thickBot="1">
      <c r="A425" s="177"/>
      <c r="B425" s="46" t="s">
        <v>1792</v>
      </c>
      <c r="C425" s="46">
        <v>83106</v>
      </c>
      <c r="D425" s="47" t="s">
        <v>212</v>
      </c>
      <c r="E425" s="179"/>
      <c r="F425" s="48" t="s">
        <v>1979</v>
      </c>
      <c r="G425" s="49">
        <v>22678</v>
      </c>
      <c r="H425" s="181"/>
      <c r="I425" s="170"/>
      <c r="J425" s="170"/>
      <c r="K425" s="170"/>
      <c r="L425" s="170"/>
      <c r="M425" s="170"/>
      <c r="N425" s="170"/>
      <c r="O425" s="175"/>
      <c r="P425" s="71" t="s">
        <v>1980</v>
      </c>
      <c r="Q425" s="50" t="s">
        <v>89</v>
      </c>
      <c r="R425" s="51" t="s">
        <v>1981</v>
      </c>
      <c r="S425" s="52" t="s">
        <v>1982</v>
      </c>
      <c r="T425" s="53"/>
      <c r="U425" s="54"/>
      <c r="V425" s="55" t="s">
        <v>1983</v>
      </c>
      <c r="W425" s="56"/>
      <c r="X425" s="54"/>
      <c r="Y425" s="170"/>
      <c r="Z425" s="170"/>
      <c r="AA425" s="170"/>
      <c r="AB425" s="170"/>
      <c r="AC425" s="173"/>
      <c r="AD425"/>
    </row>
    <row r="426" spans="1:30" ht="17.100000000000001" customHeight="1" thickTop="1">
      <c r="A426" s="176" t="s">
        <v>1984</v>
      </c>
      <c r="B426" s="33">
        <v>44525</v>
      </c>
      <c r="C426" s="34">
        <v>1536</v>
      </c>
      <c r="D426" s="35" t="s">
        <v>1942</v>
      </c>
      <c r="E426" s="178"/>
      <c r="F426" s="36" t="s">
        <v>1985</v>
      </c>
      <c r="G426" s="37" t="s">
        <v>1944</v>
      </c>
      <c r="H426" s="180">
        <v>4.5</v>
      </c>
      <c r="I426" s="169">
        <v>2381000</v>
      </c>
      <c r="J426" s="169">
        <v>238100</v>
      </c>
      <c r="K426" s="169">
        <v>19300</v>
      </c>
      <c r="L426" s="169">
        <v>18110</v>
      </c>
      <c r="M426" s="169">
        <v>15400</v>
      </c>
      <c r="N426" s="169">
        <f>SUM(I426:M427)</f>
        <v>2671910</v>
      </c>
      <c r="O426" s="174">
        <v>1800000</v>
      </c>
      <c r="P426" s="95" t="s">
        <v>1986</v>
      </c>
      <c r="Q426" s="38" t="s">
        <v>88</v>
      </c>
      <c r="R426" s="39"/>
      <c r="S426" s="40" t="s">
        <v>1987</v>
      </c>
      <c r="T426" s="41"/>
      <c r="U426" s="42"/>
      <c r="V426" s="43" t="s">
        <v>1988</v>
      </c>
      <c r="W426" s="44">
        <v>46368</v>
      </c>
      <c r="X426" s="45"/>
      <c r="Y426" s="169">
        <v>2956640</v>
      </c>
      <c r="Z426" s="171">
        <v>0</v>
      </c>
      <c r="AA426" s="169">
        <v>0</v>
      </c>
      <c r="AB426" s="169">
        <f>SUM(Y426:AA426)</f>
        <v>2956640</v>
      </c>
      <c r="AC426" s="172">
        <v>46039</v>
      </c>
      <c r="AD426"/>
    </row>
    <row r="427" spans="1:30" ht="17.100000000000001" customHeight="1" thickBot="1">
      <c r="A427" s="177"/>
      <c r="B427" s="46" t="s">
        <v>1989</v>
      </c>
      <c r="C427" s="46">
        <v>1005</v>
      </c>
      <c r="D427" s="47" t="s">
        <v>1969</v>
      </c>
      <c r="E427" s="179"/>
      <c r="F427" s="48" t="s">
        <v>1990</v>
      </c>
      <c r="G427" s="49">
        <v>22333</v>
      </c>
      <c r="H427" s="181"/>
      <c r="I427" s="170"/>
      <c r="J427" s="170"/>
      <c r="K427" s="170"/>
      <c r="L427" s="170"/>
      <c r="M427" s="170"/>
      <c r="N427" s="170"/>
      <c r="O427" s="175"/>
      <c r="P427" s="71" t="s">
        <v>1991</v>
      </c>
      <c r="Q427" s="50" t="s">
        <v>89</v>
      </c>
      <c r="R427" s="51" t="s">
        <v>1992</v>
      </c>
      <c r="S427" s="52" t="s">
        <v>1993</v>
      </c>
      <c r="T427" s="53"/>
      <c r="U427" s="54"/>
      <c r="V427" s="55" t="s">
        <v>1994</v>
      </c>
      <c r="W427" s="56" t="s">
        <v>1995</v>
      </c>
      <c r="X427" s="54"/>
      <c r="Y427" s="170"/>
      <c r="Z427" s="170"/>
      <c r="AA427" s="170"/>
      <c r="AB427" s="170"/>
      <c r="AC427" s="173"/>
      <c r="AD427"/>
    </row>
    <row r="428" spans="1:30" ht="17.100000000000001" customHeight="1" thickTop="1">
      <c r="A428" s="176" t="s">
        <v>1996</v>
      </c>
      <c r="B428" s="33">
        <v>44532</v>
      </c>
      <c r="C428" s="34">
        <v>1115</v>
      </c>
      <c r="D428" s="35" t="s">
        <v>1997</v>
      </c>
      <c r="E428" s="178"/>
      <c r="F428" s="36" t="s">
        <v>1332</v>
      </c>
      <c r="G428" s="37"/>
      <c r="H428" s="180">
        <v>4</v>
      </c>
      <c r="I428" s="169">
        <v>2105000</v>
      </c>
      <c r="J428" s="169">
        <v>210500</v>
      </c>
      <c r="K428" s="169">
        <v>0</v>
      </c>
      <c r="L428" s="169">
        <v>17600</v>
      </c>
      <c r="M428" s="169">
        <v>13200</v>
      </c>
      <c r="N428" s="169">
        <f>SUM(I428:M429)</f>
        <v>2346300</v>
      </c>
      <c r="O428" s="174">
        <v>1900000</v>
      </c>
      <c r="P428" s="95" t="s">
        <v>1998</v>
      </c>
      <c r="Q428" s="38" t="s">
        <v>88</v>
      </c>
      <c r="R428" s="39"/>
      <c r="S428" s="40" t="s">
        <v>1999</v>
      </c>
      <c r="T428" s="41"/>
      <c r="U428" s="42"/>
      <c r="V428" s="43"/>
      <c r="W428" s="44"/>
      <c r="X428" s="45"/>
      <c r="Y428" s="169"/>
      <c r="Z428" s="171">
        <f>Y428*0.1</f>
        <v>0</v>
      </c>
      <c r="AA428" s="169"/>
      <c r="AB428" s="169">
        <f>SUM(Y428:AA428)</f>
        <v>0</v>
      </c>
      <c r="AC428" s="172"/>
      <c r="AD428"/>
    </row>
    <row r="429" spans="1:30" ht="17.100000000000001" customHeight="1" thickBot="1">
      <c r="A429" s="177"/>
      <c r="B429" s="46" t="s">
        <v>2000</v>
      </c>
      <c r="C429" s="46">
        <v>332</v>
      </c>
      <c r="D429" s="47" t="s">
        <v>2001</v>
      </c>
      <c r="E429" s="179"/>
      <c r="F429" s="48" t="s">
        <v>2002</v>
      </c>
      <c r="G429" s="49">
        <v>46233</v>
      </c>
      <c r="H429" s="181"/>
      <c r="I429" s="170"/>
      <c r="J429" s="170"/>
      <c r="K429" s="170"/>
      <c r="L429" s="170"/>
      <c r="M429" s="170"/>
      <c r="N429" s="170"/>
      <c r="O429" s="175"/>
      <c r="P429" s="71" t="s">
        <v>2003</v>
      </c>
      <c r="Q429" s="50" t="s">
        <v>89</v>
      </c>
      <c r="R429" s="51" t="s">
        <v>2004</v>
      </c>
      <c r="S429" s="52" t="s">
        <v>636</v>
      </c>
      <c r="T429" s="53"/>
      <c r="U429" s="54"/>
      <c r="V429" s="55"/>
      <c r="W429" s="56"/>
      <c r="X429" s="54"/>
      <c r="Y429" s="170"/>
      <c r="Z429" s="170"/>
      <c r="AA429" s="170"/>
      <c r="AB429" s="170"/>
      <c r="AC429" s="173"/>
      <c r="AD429"/>
    </row>
    <row r="430" spans="1:30" ht="17.100000000000001" customHeight="1" thickTop="1">
      <c r="A430" s="176" t="s">
        <v>2005</v>
      </c>
      <c r="B430" s="33">
        <v>44534</v>
      </c>
      <c r="C430" s="34">
        <v>1083</v>
      </c>
      <c r="D430" s="35" t="s">
        <v>2006</v>
      </c>
      <c r="E430" s="178"/>
      <c r="F430" s="36" t="s">
        <v>2007</v>
      </c>
      <c r="G430" s="37"/>
      <c r="H430" s="180">
        <v>4.5</v>
      </c>
      <c r="I430" s="169">
        <v>2340000</v>
      </c>
      <c r="J430" s="169">
        <v>234000</v>
      </c>
      <c r="K430" s="169">
        <v>0</v>
      </c>
      <c r="L430" s="169">
        <v>16070</v>
      </c>
      <c r="M430" s="169">
        <v>13200</v>
      </c>
      <c r="N430" s="169">
        <f>SUM(I430:M431)</f>
        <v>2603270</v>
      </c>
      <c r="O430" s="174">
        <v>2200000</v>
      </c>
      <c r="P430" s="95" t="s">
        <v>2008</v>
      </c>
      <c r="Q430" s="38" t="s">
        <v>88</v>
      </c>
      <c r="R430" s="39"/>
      <c r="S430" s="40" t="s">
        <v>1474</v>
      </c>
      <c r="T430" s="41"/>
      <c r="U430" s="42"/>
      <c r="V430" s="43"/>
      <c r="W430" s="44"/>
      <c r="X430" s="45"/>
      <c r="Y430" s="169"/>
      <c r="Z430" s="171">
        <f>Y430*0.1</f>
        <v>0</v>
      </c>
      <c r="AA430" s="169"/>
      <c r="AB430" s="169">
        <f>SUM(Y430:AA430)</f>
        <v>0</v>
      </c>
      <c r="AC430" s="172"/>
      <c r="AD430"/>
    </row>
    <row r="431" spans="1:30" ht="17.100000000000001" customHeight="1" thickBot="1">
      <c r="A431" s="177"/>
      <c r="B431" s="46" t="s">
        <v>1804</v>
      </c>
      <c r="C431" s="46">
        <v>82068</v>
      </c>
      <c r="D431" s="47" t="s">
        <v>373</v>
      </c>
      <c r="E431" s="179"/>
      <c r="F431" s="48" t="s">
        <v>2009</v>
      </c>
      <c r="G431" s="49">
        <v>12099</v>
      </c>
      <c r="H431" s="181"/>
      <c r="I431" s="170"/>
      <c r="J431" s="170"/>
      <c r="K431" s="170"/>
      <c r="L431" s="170"/>
      <c r="M431" s="170"/>
      <c r="N431" s="170"/>
      <c r="O431" s="175"/>
      <c r="P431" s="71" t="s">
        <v>2010</v>
      </c>
      <c r="Q431" s="50" t="s">
        <v>89</v>
      </c>
      <c r="R431" s="51" t="s">
        <v>2011</v>
      </c>
      <c r="S431" s="52" t="s">
        <v>1993</v>
      </c>
      <c r="T431" s="53"/>
      <c r="U431" s="54"/>
      <c r="V431" s="55"/>
      <c r="W431" s="56"/>
      <c r="X431" s="54"/>
      <c r="Y431" s="170"/>
      <c r="Z431" s="170"/>
      <c r="AA431" s="170"/>
      <c r="AB431" s="170"/>
      <c r="AC431" s="173"/>
      <c r="AD431"/>
    </row>
    <row r="432" spans="1:30" ht="17.100000000000001" customHeight="1" thickTop="1">
      <c r="A432" s="176" t="s">
        <v>2012</v>
      </c>
      <c r="B432" s="33">
        <v>44536</v>
      </c>
      <c r="C432" s="34">
        <v>1877</v>
      </c>
      <c r="D432" s="35" t="s">
        <v>2013</v>
      </c>
      <c r="E432" s="178"/>
      <c r="F432" s="36" t="s">
        <v>2014</v>
      </c>
      <c r="G432" s="37" t="s">
        <v>2015</v>
      </c>
      <c r="H432" s="180">
        <v>3.5</v>
      </c>
      <c r="I432" s="169">
        <v>1510000</v>
      </c>
      <c r="J432" s="169">
        <v>151000</v>
      </c>
      <c r="K432" s="169">
        <v>9800</v>
      </c>
      <c r="L432" s="169">
        <v>22640</v>
      </c>
      <c r="M432" s="169">
        <v>11000</v>
      </c>
      <c r="N432" s="169">
        <f>SUM(I432:M433)</f>
        <v>1704440</v>
      </c>
      <c r="O432" s="174">
        <v>1200000</v>
      </c>
      <c r="P432" s="95" t="s">
        <v>2016</v>
      </c>
      <c r="Q432" s="38" t="s">
        <v>88</v>
      </c>
      <c r="R432" s="39"/>
      <c r="S432" s="40" t="s">
        <v>2017</v>
      </c>
      <c r="T432" s="41"/>
      <c r="U432" s="42"/>
      <c r="V432" s="43"/>
      <c r="W432" s="44"/>
      <c r="X432" s="45"/>
      <c r="Y432" s="169"/>
      <c r="Z432" s="171">
        <f>Y432*0.1</f>
        <v>0</v>
      </c>
      <c r="AA432" s="169"/>
      <c r="AB432" s="169">
        <f>SUM(Y432:AA432)</f>
        <v>0</v>
      </c>
      <c r="AC432" s="172"/>
      <c r="AD432"/>
    </row>
    <row r="433" spans="1:30" ht="17.100000000000001" customHeight="1" thickBot="1">
      <c r="A433" s="177"/>
      <c r="B433" s="46" t="s">
        <v>156</v>
      </c>
      <c r="C433" s="46">
        <v>36023</v>
      </c>
      <c r="D433" s="47" t="s">
        <v>1830</v>
      </c>
      <c r="E433" s="179"/>
      <c r="F433" s="48" t="s">
        <v>2018</v>
      </c>
      <c r="G433" s="49">
        <v>56753</v>
      </c>
      <c r="H433" s="181"/>
      <c r="I433" s="170"/>
      <c r="J433" s="170"/>
      <c r="K433" s="170"/>
      <c r="L433" s="170"/>
      <c r="M433" s="170"/>
      <c r="N433" s="170"/>
      <c r="O433" s="175"/>
      <c r="P433" s="71" t="s">
        <v>2019</v>
      </c>
      <c r="Q433" s="50" t="s">
        <v>89</v>
      </c>
      <c r="R433" s="51" t="s">
        <v>2020</v>
      </c>
      <c r="S433" s="52" t="s">
        <v>2021</v>
      </c>
      <c r="T433" s="53"/>
      <c r="U433" s="54"/>
      <c r="V433" s="55" t="s">
        <v>120</v>
      </c>
      <c r="W433" s="56"/>
      <c r="X433" s="54"/>
      <c r="Y433" s="170"/>
      <c r="Z433" s="170"/>
      <c r="AA433" s="170"/>
      <c r="AB433" s="170"/>
      <c r="AC433" s="173"/>
      <c r="AD433"/>
    </row>
    <row r="434" spans="1:30" ht="17.100000000000001" customHeight="1" thickTop="1">
      <c r="A434" s="176" t="s">
        <v>2022</v>
      </c>
      <c r="B434" s="33">
        <v>44539</v>
      </c>
      <c r="C434" s="34">
        <v>1116</v>
      </c>
      <c r="D434" s="35" t="s">
        <v>2023</v>
      </c>
      <c r="E434" s="178"/>
      <c r="F434" s="36" t="s">
        <v>2024</v>
      </c>
      <c r="G434" s="37"/>
      <c r="H434" s="180">
        <v>4.5</v>
      </c>
      <c r="I434" s="169">
        <v>2010000</v>
      </c>
      <c r="J434" s="169">
        <v>201000</v>
      </c>
      <c r="K434" s="169">
        <v>0</v>
      </c>
      <c r="L434" s="169">
        <v>12450</v>
      </c>
      <c r="M434" s="169">
        <v>24200</v>
      </c>
      <c r="N434" s="169">
        <f>SUM(I434:M435)</f>
        <v>2247650</v>
      </c>
      <c r="O434" s="174">
        <v>1500000</v>
      </c>
      <c r="P434" s="95" t="s">
        <v>2025</v>
      </c>
      <c r="Q434" s="38" t="s">
        <v>88</v>
      </c>
      <c r="R434" s="39"/>
      <c r="S434" s="40" t="s">
        <v>2026</v>
      </c>
      <c r="T434" s="41"/>
      <c r="U434" s="42"/>
      <c r="V434" s="43"/>
      <c r="W434" s="44"/>
      <c r="X434" s="45"/>
      <c r="Y434" s="169"/>
      <c r="Z434" s="171">
        <f>Y434*0.1</f>
        <v>0</v>
      </c>
      <c r="AA434" s="169"/>
      <c r="AB434" s="169">
        <f>SUM(Y434:AA434)</f>
        <v>0</v>
      </c>
      <c r="AC434" s="172"/>
      <c r="AD434"/>
    </row>
    <row r="435" spans="1:30" ht="17.100000000000001" customHeight="1" thickBot="1">
      <c r="A435" s="177"/>
      <c r="B435" s="46" t="s">
        <v>2000</v>
      </c>
      <c r="C435" s="46">
        <v>343</v>
      </c>
      <c r="D435" s="168" t="s">
        <v>2027</v>
      </c>
      <c r="E435" s="179"/>
      <c r="F435" s="48" t="s">
        <v>2028</v>
      </c>
      <c r="G435" s="49">
        <v>49773</v>
      </c>
      <c r="H435" s="181"/>
      <c r="I435" s="170"/>
      <c r="J435" s="170"/>
      <c r="K435" s="170"/>
      <c r="L435" s="170"/>
      <c r="M435" s="170"/>
      <c r="N435" s="170"/>
      <c r="O435" s="175"/>
      <c r="P435" s="71" t="s">
        <v>2029</v>
      </c>
      <c r="Q435" s="50" t="s">
        <v>89</v>
      </c>
      <c r="R435" s="51" t="s">
        <v>2011</v>
      </c>
      <c r="S435" s="52" t="s">
        <v>2030</v>
      </c>
      <c r="T435" s="53"/>
      <c r="U435" s="54" t="s">
        <v>2031</v>
      </c>
      <c r="V435" s="55"/>
      <c r="W435" s="56"/>
      <c r="X435" s="54"/>
      <c r="Y435" s="170"/>
      <c r="Z435" s="170"/>
      <c r="AA435" s="170"/>
      <c r="AB435" s="170"/>
      <c r="AC435" s="173"/>
      <c r="AD435"/>
    </row>
    <row r="436" spans="1:30" ht="17.100000000000001" customHeight="1" thickTop="1">
      <c r="A436" s="176" t="s">
        <v>2032</v>
      </c>
      <c r="B436" s="33">
        <v>44541</v>
      </c>
      <c r="C436" s="34">
        <v>1249</v>
      </c>
      <c r="D436" s="35" t="s">
        <v>2033</v>
      </c>
      <c r="E436" s="178"/>
      <c r="F436" s="36" t="s">
        <v>2034</v>
      </c>
      <c r="G436" s="37"/>
      <c r="H436" s="180">
        <v>4.5</v>
      </c>
      <c r="I436" s="169">
        <v>1832000</v>
      </c>
      <c r="J436" s="169">
        <v>183200</v>
      </c>
      <c r="K436" s="169">
        <v>0</v>
      </c>
      <c r="L436" s="169">
        <v>18960</v>
      </c>
      <c r="M436" s="169">
        <v>13200</v>
      </c>
      <c r="N436" s="169">
        <f>SUM(I436:M437)</f>
        <v>2047360</v>
      </c>
      <c r="O436" s="174">
        <v>1600000</v>
      </c>
      <c r="P436" s="95" t="s">
        <v>2035</v>
      </c>
      <c r="Q436" s="38" t="s">
        <v>88</v>
      </c>
      <c r="R436" s="39"/>
      <c r="S436" s="40"/>
      <c r="T436" s="41"/>
      <c r="U436" s="42"/>
      <c r="V436" s="43"/>
      <c r="W436" s="44"/>
      <c r="X436" s="45"/>
      <c r="Y436" s="169"/>
      <c r="Z436" s="171">
        <f>Y436*0.1</f>
        <v>0</v>
      </c>
      <c r="AA436" s="169"/>
      <c r="AB436" s="169">
        <f>SUM(Y436:AA436)</f>
        <v>0</v>
      </c>
      <c r="AC436" s="172"/>
      <c r="AD436"/>
    </row>
    <row r="437" spans="1:30" ht="17.100000000000001" customHeight="1" thickBot="1">
      <c r="A437" s="177"/>
      <c r="B437" s="46" t="s">
        <v>2036</v>
      </c>
      <c r="C437" s="46">
        <v>6052</v>
      </c>
      <c r="D437" s="47" t="s">
        <v>2037</v>
      </c>
      <c r="E437" s="179"/>
      <c r="F437" s="48" t="s">
        <v>2038</v>
      </c>
      <c r="G437" s="49">
        <v>47941</v>
      </c>
      <c r="H437" s="181"/>
      <c r="I437" s="170"/>
      <c r="J437" s="170"/>
      <c r="K437" s="170"/>
      <c r="L437" s="170"/>
      <c r="M437" s="170"/>
      <c r="N437" s="170"/>
      <c r="O437" s="175"/>
      <c r="P437" s="71" t="s">
        <v>2039</v>
      </c>
      <c r="Q437" s="50" t="s">
        <v>89</v>
      </c>
      <c r="R437" s="51" t="s">
        <v>2040</v>
      </c>
      <c r="S437" s="52" t="s">
        <v>2041</v>
      </c>
      <c r="T437" s="53"/>
      <c r="U437" s="54"/>
      <c r="V437" s="55"/>
      <c r="W437" s="56"/>
      <c r="X437" s="54"/>
      <c r="Y437" s="170"/>
      <c r="Z437" s="170"/>
      <c r="AA437" s="170"/>
      <c r="AB437" s="170"/>
      <c r="AC437" s="173"/>
      <c r="AD437"/>
    </row>
    <row r="438" spans="1:30" ht="17.100000000000001" customHeight="1" thickTop="1">
      <c r="A438" s="176" t="s">
        <v>2042</v>
      </c>
      <c r="B438" s="33">
        <v>44541</v>
      </c>
      <c r="C438" s="34">
        <v>1084</v>
      </c>
      <c r="D438" s="35" t="s">
        <v>1798</v>
      </c>
      <c r="E438" s="178"/>
      <c r="F438" s="36" t="s">
        <v>2043</v>
      </c>
      <c r="G438" s="37" t="s">
        <v>2044</v>
      </c>
      <c r="H438" s="180">
        <v>4.5</v>
      </c>
      <c r="I438" s="169">
        <v>950000</v>
      </c>
      <c r="J438" s="169">
        <v>95000</v>
      </c>
      <c r="K438" s="169">
        <v>9800</v>
      </c>
      <c r="L438" s="169">
        <v>20900</v>
      </c>
      <c r="M438" s="169">
        <v>13200</v>
      </c>
      <c r="N438" s="169">
        <f>SUM(I438:M439)</f>
        <v>1088900</v>
      </c>
      <c r="O438" s="174">
        <v>650000</v>
      </c>
      <c r="P438" s="95" t="s">
        <v>2045</v>
      </c>
      <c r="Q438" s="38" t="s">
        <v>88</v>
      </c>
      <c r="R438" s="39"/>
      <c r="S438" s="40" t="s">
        <v>2046</v>
      </c>
      <c r="T438" s="41"/>
      <c r="U438" s="42"/>
      <c r="V438" s="43" t="s">
        <v>2047</v>
      </c>
      <c r="W438" s="44"/>
      <c r="X438" s="45"/>
      <c r="Y438" s="169"/>
      <c r="Z438" s="171">
        <f>Y438*0.1</f>
        <v>0</v>
      </c>
      <c r="AA438" s="169"/>
      <c r="AB438" s="169">
        <f>SUM(Y438:AA438)</f>
        <v>0</v>
      </c>
      <c r="AC438" s="172"/>
      <c r="AD438"/>
    </row>
    <row r="439" spans="1:30" ht="17.100000000000001" customHeight="1" thickBot="1">
      <c r="A439" s="177"/>
      <c r="B439" s="46" t="s">
        <v>1804</v>
      </c>
      <c r="C439" s="46">
        <v>82120</v>
      </c>
      <c r="D439" s="47" t="s">
        <v>1877</v>
      </c>
      <c r="E439" s="179"/>
      <c r="F439" s="48" t="s">
        <v>2048</v>
      </c>
      <c r="G439" s="49">
        <v>10784</v>
      </c>
      <c r="H439" s="181"/>
      <c r="I439" s="170"/>
      <c r="J439" s="170"/>
      <c r="K439" s="170"/>
      <c r="L439" s="170"/>
      <c r="M439" s="170"/>
      <c r="N439" s="170"/>
      <c r="O439" s="175"/>
      <c r="P439" s="71" t="s">
        <v>1939</v>
      </c>
      <c r="Q439" s="50" t="s">
        <v>89</v>
      </c>
      <c r="R439" s="51" t="s">
        <v>2040</v>
      </c>
      <c r="S439" s="52" t="s">
        <v>2049</v>
      </c>
      <c r="T439" s="53"/>
      <c r="U439" s="54"/>
      <c r="V439" s="55" t="s">
        <v>2050</v>
      </c>
      <c r="W439" s="56"/>
      <c r="X439" s="54"/>
      <c r="Y439" s="170"/>
      <c r="Z439" s="170"/>
      <c r="AA439" s="170"/>
      <c r="AB439" s="170"/>
      <c r="AC439" s="173"/>
      <c r="AD439"/>
    </row>
    <row r="440" spans="1:30" ht="17.100000000000001" customHeight="1" thickTop="1"/>
    <row r="441" spans="1:30" ht="17.100000000000001" customHeight="1"/>
    <row r="442" spans="1:30" ht="17.100000000000001" customHeight="1"/>
    <row r="443" spans="1:30" ht="17.100000000000001" customHeight="1"/>
    <row r="444" spans="1:30" ht="17.100000000000001" customHeight="1"/>
    <row r="445" spans="1:30" ht="17.100000000000001" customHeight="1"/>
    <row r="446" spans="1:30" ht="17.100000000000001" customHeight="1"/>
    <row r="447" spans="1:30" ht="17.100000000000001" customHeight="1"/>
    <row r="448" spans="1:30" ht="17.100000000000001" customHeight="1"/>
    <row r="449" ht="17.100000000000001" customHeight="1"/>
    <row r="450" ht="17.100000000000001" customHeight="1"/>
    <row r="451" ht="17.100000000000001" customHeight="1"/>
    <row r="452" ht="17.100000000000001" customHeight="1"/>
    <row r="453" ht="17.100000000000001" customHeight="1"/>
    <row r="454" ht="17.100000000000001" customHeight="1"/>
    <row r="455" ht="17.100000000000001" customHeight="1"/>
    <row r="456" ht="17.100000000000001" customHeight="1"/>
    <row r="457" ht="17.100000000000001" customHeight="1"/>
    <row r="458" ht="17.100000000000001" customHeight="1"/>
    <row r="459" ht="17.100000000000001" customHeight="1"/>
    <row r="460" ht="17.100000000000001" customHeight="1"/>
    <row r="461" ht="17.100000000000001" customHeight="1"/>
    <row r="462" ht="17.100000000000001" customHeight="1"/>
    <row r="463" ht="17.100000000000001" customHeight="1"/>
    <row r="464" ht="17.100000000000001" customHeight="1"/>
    <row r="465" ht="17.100000000000001" customHeight="1"/>
    <row r="466" ht="17.100000000000001" customHeight="1"/>
    <row r="467" ht="17.100000000000001" customHeight="1"/>
    <row r="468" ht="17.100000000000001" customHeight="1"/>
    <row r="469" ht="17.100000000000001" customHeight="1"/>
    <row r="470" ht="17.100000000000001" customHeight="1"/>
    <row r="471" ht="17.100000000000001" customHeight="1"/>
    <row r="472" ht="17.100000000000001" customHeight="1"/>
    <row r="473" ht="17.100000000000001" customHeight="1"/>
    <row r="474" ht="17.100000000000001" customHeight="1"/>
    <row r="475" ht="17.100000000000001" customHeight="1"/>
    <row r="476" ht="17.100000000000001" customHeight="1"/>
    <row r="477" ht="17.100000000000001" customHeight="1"/>
    <row r="478" ht="17.100000000000001" customHeight="1"/>
    <row r="479" ht="17.100000000000001" customHeight="1"/>
    <row r="480" ht="17.100000000000001" customHeight="1"/>
    <row r="481" ht="17.100000000000001" customHeight="1"/>
    <row r="482" ht="17.100000000000001" customHeight="1"/>
    <row r="483" ht="17.100000000000001" customHeight="1"/>
    <row r="484" ht="17.100000000000001" customHeight="1"/>
    <row r="485" ht="17.100000000000001" customHeight="1"/>
    <row r="486" ht="17.100000000000001" customHeight="1"/>
    <row r="487" ht="17.100000000000001" customHeight="1"/>
    <row r="488" ht="17.100000000000001" customHeight="1"/>
    <row r="489" ht="17.100000000000001" customHeight="1"/>
    <row r="490" ht="17.100000000000001" customHeight="1"/>
    <row r="491" ht="17.100000000000001" customHeight="1"/>
    <row r="492" ht="17.100000000000001" customHeight="1"/>
    <row r="493" ht="17.100000000000001" customHeight="1"/>
    <row r="494" ht="17.100000000000001" customHeight="1"/>
    <row r="495" ht="17.100000000000001" customHeight="1"/>
    <row r="496" ht="17.100000000000001" customHeight="1"/>
    <row r="497" ht="17.100000000000001" customHeight="1"/>
    <row r="498" ht="17.100000000000001" customHeight="1"/>
    <row r="499" ht="17.100000000000001" customHeight="1"/>
    <row r="500" ht="17.100000000000001" customHeight="1"/>
    <row r="501" ht="17.100000000000001" customHeight="1"/>
    <row r="502" ht="17.100000000000001" customHeight="1"/>
    <row r="503" ht="17.100000000000001" customHeight="1"/>
    <row r="504" ht="17.100000000000001" customHeight="1"/>
    <row r="505" ht="17.100000000000001" customHeight="1"/>
    <row r="506" ht="17.100000000000001" customHeight="1"/>
    <row r="507" ht="17.100000000000001" customHeight="1"/>
    <row r="508" ht="17.100000000000001" customHeight="1"/>
    <row r="509" ht="17.100000000000001" customHeight="1"/>
    <row r="510" ht="17.100000000000001" customHeight="1"/>
    <row r="511" ht="17.100000000000001" customHeight="1"/>
    <row r="512" ht="17.100000000000001" customHeight="1"/>
    <row r="513" ht="17.100000000000001" customHeight="1"/>
    <row r="514" ht="17.100000000000001" customHeight="1"/>
    <row r="515" ht="17.100000000000001" customHeight="1"/>
    <row r="516" ht="17.100000000000001" customHeight="1"/>
    <row r="517" ht="17.100000000000001" customHeight="1"/>
    <row r="518" ht="17.100000000000001" customHeight="1"/>
    <row r="519" ht="17.100000000000001" customHeight="1"/>
    <row r="520" ht="17.100000000000001" customHeight="1"/>
    <row r="521" ht="17.100000000000001" customHeight="1"/>
    <row r="522" ht="17.100000000000001" customHeight="1"/>
    <row r="523" ht="17.100000000000001" customHeight="1"/>
    <row r="524" ht="17.100000000000001" customHeight="1"/>
    <row r="525" ht="17.100000000000001" customHeight="1"/>
    <row r="526" ht="17.100000000000001" customHeight="1"/>
    <row r="527" ht="17.100000000000001" customHeight="1"/>
    <row r="528" ht="17.100000000000001" customHeight="1"/>
    <row r="529" ht="17.100000000000001" customHeight="1"/>
    <row r="530" ht="17.100000000000001" customHeight="1"/>
    <row r="531" ht="17.100000000000001" customHeight="1"/>
    <row r="532" ht="17.100000000000001" customHeight="1"/>
    <row r="533" ht="17.100000000000001" customHeight="1"/>
    <row r="534" ht="17.100000000000001" customHeight="1"/>
    <row r="535" ht="17.100000000000001" customHeight="1"/>
    <row r="536" ht="17.100000000000001" customHeight="1"/>
    <row r="537" ht="17.100000000000001" customHeight="1"/>
    <row r="538" ht="17.100000000000001" customHeight="1"/>
    <row r="539" ht="17.100000000000001" customHeight="1"/>
    <row r="540" ht="17.100000000000001" customHeight="1"/>
    <row r="541" ht="17.100000000000001" customHeight="1"/>
    <row r="542" ht="17.100000000000001" customHeight="1"/>
    <row r="543" ht="17.100000000000001" customHeight="1"/>
    <row r="544" ht="17.100000000000001" customHeight="1"/>
    <row r="545" ht="17.100000000000001" customHeight="1"/>
    <row r="546" ht="17.100000000000001" customHeight="1"/>
    <row r="547" ht="17.100000000000001" customHeight="1"/>
    <row r="548" ht="17.100000000000001" customHeight="1"/>
    <row r="549" ht="17.100000000000001" customHeight="1"/>
    <row r="550" ht="17.100000000000001" customHeight="1"/>
    <row r="551" ht="17.100000000000001" customHeight="1"/>
    <row r="552" ht="17.100000000000001" customHeight="1"/>
    <row r="553" ht="17.100000000000001" customHeight="1"/>
    <row r="554" ht="17.100000000000001" customHeight="1"/>
    <row r="555" ht="17.100000000000001" customHeight="1"/>
    <row r="556" ht="17.100000000000001" customHeight="1"/>
    <row r="557" ht="17.100000000000001" customHeight="1"/>
    <row r="558" ht="17.100000000000001" customHeight="1"/>
    <row r="559" ht="17.100000000000001" customHeight="1"/>
    <row r="560" ht="17.100000000000001" customHeight="1"/>
    <row r="561" ht="17.100000000000001" customHeight="1"/>
    <row r="562" ht="17.100000000000001" customHeight="1"/>
    <row r="563" ht="17.100000000000001" customHeight="1"/>
    <row r="564" ht="17.100000000000001" customHeight="1"/>
    <row r="565" ht="17.100000000000001" customHeight="1"/>
    <row r="566" ht="17.100000000000001" customHeight="1"/>
    <row r="567" ht="17.100000000000001" customHeight="1"/>
    <row r="568" ht="17.100000000000001" customHeight="1"/>
    <row r="569" ht="17.100000000000001" customHeight="1"/>
    <row r="570" ht="17.100000000000001" customHeight="1"/>
    <row r="571" ht="17.100000000000001" customHeight="1"/>
    <row r="572" ht="17.100000000000001" customHeight="1"/>
    <row r="573" ht="17.100000000000001" customHeight="1"/>
    <row r="574" ht="17.100000000000001" customHeight="1"/>
    <row r="575" ht="17.100000000000001" customHeight="1"/>
    <row r="576" ht="17.100000000000001" customHeight="1"/>
    <row r="577" ht="17.100000000000001" customHeight="1"/>
    <row r="578" ht="17.100000000000001" customHeight="1"/>
    <row r="579" ht="17.100000000000001" customHeight="1"/>
    <row r="580" ht="17.100000000000001" customHeight="1"/>
    <row r="581" ht="17.100000000000001" customHeight="1"/>
    <row r="582" ht="17.100000000000001" customHeight="1"/>
    <row r="583" ht="17.100000000000001" customHeight="1"/>
    <row r="584" ht="17.100000000000001" customHeight="1"/>
    <row r="585" ht="17.100000000000001" customHeight="1"/>
    <row r="586" ht="17.100000000000001" customHeight="1"/>
    <row r="587" ht="17.100000000000001" customHeight="1"/>
    <row r="588" ht="17.100000000000001" customHeight="1"/>
    <row r="589" ht="17.100000000000001" customHeight="1"/>
    <row r="590" ht="17.100000000000001" customHeight="1"/>
    <row r="591" ht="17.100000000000001" customHeight="1"/>
    <row r="592" ht="17.100000000000001" customHeight="1"/>
    <row r="593" ht="17.100000000000001" customHeight="1"/>
    <row r="594" ht="17.100000000000001" customHeight="1"/>
    <row r="595" ht="17.100000000000001" customHeight="1"/>
    <row r="596" ht="17.100000000000001" customHeight="1"/>
    <row r="597" ht="17.100000000000001" customHeight="1"/>
    <row r="598" ht="17.100000000000001" customHeight="1"/>
    <row r="599" ht="17.100000000000001" customHeight="1"/>
    <row r="600" ht="17.100000000000001" customHeight="1"/>
    <row r="601" ht="17.100000000000001" customHeight="1"/>
    <row r="602" ht="17.100000000000001" customHeight="1"/>
    <row r="603" ht="17.100000000000001" customHeight="1"/>
    <row r="604" ht="17.100000000000001" customHeight="1"/>
    <row r="605" ht="17.100000000000001" customHeight="1"/>
    <row r="606" ht="17.100000000000001" customHeight="1"/>
    <row r="607" ht="17.100000000000001" customHeight="1"/>
    <row r="608" ht="17.100000000000001" customHeight="1"/>
    <row r="609" ht="17.100000000000001" customHeight="1"/>
    <row r="610" ht="17.100000000000001" customHeight="1"/>
    <row r="611" ht="17.100000000000001" customHeight="1"/>
    <row r="612" ht="17.100000000000001" customHeight="1"/>
    <row r="613" ht="17.100000000000001" customHeight="1"/>
    <row r="614" ht="17.100000000000001" customHeight="1"/>
    <row r="615" ht="17.100000000000001" customHeight="1"/>
    <row r="616" ht="17.100000000000001" customHeight="1"/>
    <row r="617" ht="17.100000000000001" customHeight="1"/>
    <row r="618" ht="17.100000000000001" customHeight="1"/>
    <row r="619" ht="17.100000000000001" customHeight="1"/>
    <row r="620" ht="17.100000000000001" customHeight="1"/>
    <row r="621" ht="17.100000000000001" customHeight="1"/>
    <row r="622" ht="17.100000000000001" customHeight="1"/>
    <row r="623" ht="17.100000000000001" customHeight="1"/>
    <row r="624" ht="17.100000000000001" customHeight="1"/>
    <row r="625" ht="17.100000000000001" customHeight="1"/>
    <row r="626" ht="17.100000000000001" customHeight="1"/>
    <row r="627" ht="17.100000000000001" customHeight="1"/>
    <row r="628" ht="17.100000000000001" customHeight="1"/>
    <row r="629" ht="17.100000000000001" customHeight="1"/>
    <row r="630" ht="17.100000000000001" customHeight="1"/>
    <row r="631" ht="17.100000000000001" customHeight="1"/>
    <row r="632" ht="17.100000000000001" customHeight="1"/>
    <row r="633" ht="17.100000000000001" customHeight="1"/>
    <row r="634" ht="17.100000000000001" customHeight="1"/>
    <row r="635" ht="17.100000000000001" customHeight="1"/>
    <row r="636" ht="17.100000000000001" customHeight="1"/>
    <row r="637" ht="17.100000000000001" customHeight="1"/>
    <row r="638" ht="17.100000000000001" customHeight="1"/>
    <row r="639" ht="17.100000000000001" customHeight="1"/>
    <row r="640" ht="17.100000000000001" customHeight="1"/>
    <row r="641" ht="17.100000000000001" customHeight="1"/>
    <row r="642" ht="17.100000000000001" customHeight="1"/>
    <row r="643" ht="17.100000000000001" customHeight="1"/>
    <row r="644" ht="17.100000000000001" customHeight="1"/>
    <row r="645" ht="17.100000000000001" customHeight="1"/>
    <row r="646" ht="17.100000000000001" customHeight="1"/>
    <row r="647" ht="17.100000000000001" customHeight="1"/>
    <row r="648" ht="17.100000000000001" customHeight="1"/>
    <row r="649" ht="17.100000000000001" customHeight="1"/>
    <row r="650" ht="17.100000000000001" customHeight="1"/>
    <row r="651" ht="17.100000000000001" customHeight="1"/>
    <row r="652" ht="17.100000000000001" customHeight="1"/>
    <row r="653" ht="17.100000000000001" customHeight="1"/>
    <row r="654" ht="17.100000000000001" customHeight="1"/>
    <row r="655" ht="17.100000000000001" customHeight="1"/>
    <row r="656" ht="17.100000000000001" customHeight="1"/>
    <row r="657" ht="17.100000000000001" customHeight="1"/>
    <row r="658" ht="17.100000000000001" customHeight="1"/>
    <row r="659" ht="17.100000000000001" customHeight="1"/>
    <row r="660" ht="17.100000000000001" customHeight="1"/>
    <row r="661" ht="17.100000000000001" customHeight="1"/>
    <row r="662" ht="17.100000000000001" customHeight="1"/>
    <row r="663" ht="17.100000000000001" customHeight="1"/>
    <row r="664" ht="17.100000000000001" customHeight="1"/>
    <row r="665" ht="17.100000000000001" customHeight="1"/>
    <row r="666" ht="17.100000000000001" customHeight="1"/>
    <row r="667" ht="17.100000000000001" customHeight="1"/>
    <row r="668" ht="17.100000000000001" customHeight="1"/>
    <row r="669" ht="17.100000000000001" customHeight="1"/>
    <row r="670" ht="17.100000000000001" customHeight="1"/>
    <row r="671" ht="17.100000000000001" customHeight="1"/>
    <row r="672" ht="17.100000000000001" customHeight="1"/>
    <row r="673" ht="17.100000000000001" customHeight="1"/>
    <row r="674" ht="17.100000000000001" customHeight="1"/>
    <row r="675" ht="17.100000000000001" customHeight="1"/>
    <row r="676" ht="17.100000000000001" customHeight="1"/>
    <row r="677" ht="17.100000000000001" customHeight="1"/>
    <row r="678" ht="17.100000000000001" customHeight="1"/>
    <row r="679" ht="17.100000000000001" customHeight="1"/>
    <row r="680" ht="17.100000000000001" customHeight="1"/>
    <row r="681" ht="17.100000000000001" customHeight="1"/>
    <row r="682" ht="17.100000000000001" customHeight="1"/>
    <row r="683" ht="17.100000000000001" customHeight="1"/>
    <row r="684" ht="17.100000000000001" customHeight="1"/>
    <row r="685" ht="17.100000000000001" customHeight="1"/>
    <row r="686" ht="17.100000000000001" customHeight="1"/>
    <row r="687" ht="17.100000000000001" customHeight="1"/>
    <row r="688" ht="17.100000000000001" customHeight="1"/>
    <row r="689" ht="17.100000000000001" customHeight="1"/>
    <row r="690" ht="17.100000000000001" customHeight="1"/>
    <row r="691" ht="17.100000000000001" customHeight="1"/>
    <row r="692" ht="17.100000000000001" customHeight="1"/>
    <row r="693" ht="17.100000000000001" customHeight="1"/>
    <row r="694" ht="17.100000000000001" customHeight="1"/>
    <row r="695" ht="17.100000000000001" customHeight="1"/>
    <row r="696" ht="17.100000000000001" customHeight="1"/>
    <row r="697" ht="17.100000000000001" customHeight="1"/>
    <row r="698" ht="17.100000000000001" customHeight="1"/>
    <row r="699" ht="17.100000000000001" customHeight="1"/>
    <row r="700" ht="17.100000000000001" customHeight="1"/>
    <row r="701" ht="17.100000000000001" customHeight="1"/>
    <row r="702" ht="17.100000000000001" customHeight="1"/>
    <row r="703" ht="17.100000000000001" customHeight="1"/>
    <row r="704" ht="17.100000000000001" customHeight="1"/>
    <row r="705" ht="17.100000000000001" customHeight="1"/>
    <row r="706" ht="17.100000000000001" customHeight="1"/>
    <row r="707" ht="17.100000000000001" customHeight="1"/>
    <row r="708" ht="17.100000000000001" customHeight="1"/>
    <row r="709" ht="17.100000000000001" customHeight="1"/>
    <row r="710" ht="17.100000000000001" customHeight="1"/>
    <row r="711" ht="17.100000000000001" customHeight="1"/>
    <row r="712" ht="17.100000000000001" customHeight="1"/>
    <row r="713" ht="17.100000000000001" customHeight="1"/>
    <row r="714" ht="17.100000000000001" customHeight="1"/>
    <row r="715" ht="17.100000000000001" customHeight="1"/>
    <row r="716" ht="17.100000000000001" customHeight="1"/>
    <row r="717" ht="17.100000000000001" customHeight="1"/>
    <row r="718" ht="17.100000000000001" customHeight="1"/>
    <row r="719" ht="17.100000000000001" customHeight="1"/>
    <row r="720" ht="17.100000000000001" customHeight="1"/>
    <row r="721" ht="17.100000000000001" customHeight="1"/>
    <row r="722" ht="17.100000000000001" customHeight="1"/>
    <row r="723" ht="17.100000000000001" customHeight="1"/>
    <row r="724" ht="17.100000000000001" customHeight="1"/>
    <row r="725" ht="17.100000000000001" customHeight="1"/>
    <row r="726" ht="17.100000000000001" customHeight="1"/>
    <row r="727" ht="17.100000000000001" customHeight="1"/>
    <row r="728" ht="17.100000000000001" customHeight="1"/>
    <row r="729" ht="17.100000000000001" customHeight="1"/>
    <row r="730" ht="17.100000000000001" customHeight="1"/>
    <row r="731" ht="17.100000000000001" customHeight="1"/>
    <row r="732" ht="17.100000000000001" customHeight="1"/>
    <row r="733" ht="17.100000000000001" customHeight="1"/>
    <row r="734" ht="17.100000000000001" customHeight="1"/>
    <row r="735" ht="17.100000000000001" customHeight="1"/>
    <row r="736" ht="17.100000000000001" customHeight="1"/>
    <row r="737" ht="17.100000000000001" customHeight="1"/>
    <row r="738" ht="17.100000000000001" customHeight="1"/>
    <row r="739" ht="17.100000000000001" customHeight="1"/>
    <row r="740" ht="17.100000000000001" customHeight="1"/>
    <row r="741" ht="17.100000000000001" customHeight="1"/>
    <row r="742" ht="17.100000000000001" customHeight="1"/>
    <row r="743" ht="17.100000000000001" customHeight="1"/>
    <row r="744" ht="17.100000000000001" customHeight="1"/>
    <row r="745" ht="17.100000000000001" customHeight="1"/>
    <row r="746" ht="17.100000000000001" customHeight="1"/>
    <row r="747" ht="17.100000000000001" customHeight="1"/>
    <row r="748" ht="17.100000000000001" customHeight="1"/>
    <row r="749" ht="17.100000000000001" customHeight="1"/>
    <row r="750" ht="17.100000000000001" customHeight="1"/>
    <row r="751" ht="17.100000000000001" customHeight="1"/>
    <row r="752" ht="17.100000000000001" customHeight="1"/>
    <row r="753" ht="17.100000000000001" customHeight="1"/>
    <row r="754" ht="17.100000000000001" customHeight="1"/>
    <row r="755" ht="17.100000000000001" customHeight="1"/>
    <row r="756" ht="17.100000000000001" customHeight="1"/>
    <row r="757" ht="17.100000000000001" customHeight="1"/>
    <row r="758" ht="17.100000000000001" customHeight="1"/>
    <row r="759" ht="17.100000000000001" customHeight="1"/>
    <row r="760" ht="17.100000000000001" customHeight="1"/>
    <row r="761" ht="17.100000000000001" customHeight="1"/>
    <row r="762" ht="17.100000000000001" customHeight="1"/>
    <row r="763" ht="17.100000000000001" customHeight="1"/>
    <row r="764" ht="17.100000000000001" customHeight="1"/>
    <row r="765" ht="17.100000000000001" customHeight="1"/>
    <row r="766" ht="17.100000000000001" customHeight="1"/>
    <row r="767" ht="17.100000000000001" customHeight="1"/>
    <row r="768" ht="17.100000000000001" customHeight="1"/>
    <row r="769" ht="17.100000000000001" customHeight="1"/>
    <row r="770" ht="17.100000000000001" customHeight="1"/>
    <row r="771" ht="17.100000000000001" customHeight="1"/>
    <row r="772" ht="17.100000000000001" customHeight="1"/>
    <row r="773" ht="17.100000000000001" customHeight="1"/>
    <row r="774" ht="17.100000000000001" customHeight="1"/>
    <row r="775" ht="17.100000000000001" customHeight="1"/>
    <row r="776" ht="17.100000000000001" customHeight="1"/>
    <row r="777" ht="17.100000000000001" customHeight="1"/>
    <row r="778" ht="17.100000000000001" customHeight="1"/>
    <row r="779" ht="17.100000000000001" customHeight="1"/>
    <row r="780" ht="17.100000000000001" customHeight="1"/>
    <row r="781" ht="17.100000000000001" customHeight="1"/>
    <row r="782" ht="17.100000000000001" customHeight="1"/>
    <row r="783" ht="17.100000000000001" customHeight="1"/>
    <row r="784" ht="17.100000000000001" customHeight="1"/>
    <row r="785" ht="17.100000000000001" customHeight="1"/>
    <row r="786" ht="17.100000000000001" customHeight="1"/>
    <row r="787" ht="17.100000000000001" customHeight="1"/>
    <row r="788" ht="17.100000000000001" customHeight="1"/>
    <row r="789" ht="17.100000000000001" customHeight="1"/>
    <row r="790" ht="17.100000000000001" customHeight="1"/>
    <row r="791" ht="17.100000000000001" customHeight="1"/>
    <row r="792" ht="17.100000000000001" customHeight="1"/>
    <row r="793" ht="17.100000000000001" customHeight="1"/>
    <row r="794" ht="17.100000000000001" customHeight="1"/>
    <row r="795" ht="17.100000000000001" customHeight="1"/>
    <row r="796" ht="17.100000000000001" customHeight="1"/>
    <row r="797" ht="17.100000000000001" customHeight="1"/>
    <row r="798" ht="17.100000000000001" customHeight="1"/>
    <row r="799" ht="17.100000000000001" customHeight="1"/>
    <row r="800" ht="17.100000000000001" customHeight="1"/>
    <row r="801" ht="17.100000000000001" customHeight="1"/>
    <row r="802" ht="17.100000000000001" customHeight="1"/>
    <row r="803" ht="17.100000000000001" customHeight="1"/>
    <row r="804" ht="17.100000000000001" customHeight="1"/>
    <row r="805" ht="17.100000000000001" customHeight="1"/>
    <row r="806" ht="17.100000000000001" customHeight="1"/>
    <row r="807" ht="17.100000000000001" customHeight="1"/>
    <row r="808" ht="17.100000000000001" customHeight="1"/>
    <row r="809" ht="17.100000000000001" customHeight="1"/>
    <row r="810" ht="17.100000000000001" customHeight="1"/>
    <row r="811" ht="17.100000000000001" customHeight="1"/>
    <row r="812" ht="17.100000000000001" customHeight="1"/>
    <row r="813" ht="17.100000000000001" customHeight="1"/>
    <row r="814" ht="17.100000000000001" customHeight="1"/>
    <row r="815" ht="17.100000000000001" customHeight="1"/>
    <row r="816" ht="17.100000000000001" customHeight="1"/>
    <row r="817" ht="17.100000000000001" customHeight="1"/>
    <row r="818" ht="17.100000000000001" customHeight="1"/>
    <row r="819" ht="17.100000000000001" customHeight="1"/>
    <row r="820" ht="17.100000000000001" customHeight="1"/>
    <row r="821" ht="17.100000000000001" customHeight="1"/>
    <row r="822" ht="17.100000000000001" customHeight="1"/>
    <row r="823" ht="17.100000000000001" customHeight="1"/>
    <row r="824" ht="17.100000000000001" customHeight="1"/>
    <row r="825" ht="17.100000000000001" customHeight="1"/>
    <row r="826" ht="17.100000000000001" customHeight="1"/>
    <row r="827" ht="17.100000000000001" customHeight="1"/>
    <row r="828" ht="17.100000000000001" customHeight="1"/>
    <row r="829" ht="17.100000000000001" customHeight="1"/>
    <row r="830" ht="17.100000000000001" customHeight="1"/>
    <row r="831" ht="17.100000000000001" customHeight="1"/>
    <row r="832" ht="17.100000000000001" customHeight="1"/>
    <row r="833" ht="17.100000000000001" customHeight="1"/>
    <row r="834" ht="17.100000000000001" customHeight="1"/>
    <row r="835" ht="17.100000000000001" customHeight="1"/>
    <row r="836" ht="17.100000000000001" customHeight="1"/>
    <row r="837" ht="17.100000000000001" customHeight="1"/>
    <row r="838" ht="17.100000000000001" customHeight="1"/>
    <row r="839" ht="17.100000000000001" customHeight="1"/>
    <row r="840" ht="17.100000000000001" customHeight="1"/>
    <row r="841" ht="17.100000000000001" customHeight="1"/>
    <row r="842" ht="17.100000000000001" customHeight="1"/>
    <row r="843" ht="17.100000000000001" customHeight="1"/>
    <row r="844" ht="17.100000000000001" customHeight="1"/>
    <row r="845" ht="17.100000000000001" customHeight="1"/>
    <row r="846" ht="17.100000000000001" customHeight="1"/>
    <row r="847" ht="17.100000000000001" customHeight="1"/>
    <row r="848" ht="17.100000000000001" customHeight="1"/>
    <row r="849" ht="17.100000000000001" customHeight="1"/>
    <row r="850" ht="17.100000000000001" customHeight="1"/>
    <row r="851" ht="17.100000000000001" customHeight="1"/>
    <row r="852" ht="17.100000000000001" customHeight="1"/>
    <row r="853" ht="17.100000000000001" customHeight="1"/>
    <row r="854" ht="17.100000000000001" customHeight="1"/>
    <row r="855" ht="17.100000000000001" customHeight="1"/>
    <row r="856" ht="17.100000000000001" customHeight="1"/>
    <row r="857" ht="17.100000000000001" customHeight="1"/>
    <row r="858" ht="17.100000000000001" customHeight="1"/>
    <row r="859" ht="17.100000000000001" customHeight="1"/>
    <row r="860" ht="17.100000000000001" customHeight="1"/>
    <row r="861" ht="17.100000000000001" customHeight="1"/>
    <row r="862" ht="17.100000000000001" customHeight="1"/>
    <row r="863" ht="17.100000000000001" customHeight="1"/>
    <row r="864" ht="17.100000000000001" customHeight="1"/>
    <row r="865" ht="17.100000000000001" customHeight="1"/>
    <row r="866" ht="17.100000000000001" customHeight="1"/>
    <row r="867" ht="17.100000000000001" customHeight="1"/>
    <row r="868" ht="17.100000000000001" customHeight="1"/>
    <row r="869" ht="17.100000000000001" customHeight="1"/>
    <row r="870" ht="17.100000000000001" customHeight="1"/>
    <row r="871" ht="17.100000000000001" customHeight="1"/>
    <row r="872" ht="17.100000000000001" customHeight="1"/>
    <row r="873" ht="17.100000000000001" customHeight="1"/>
    <row r="874" ht="17.100000000000001" customHeight="1"/>
    <row r="875" ht="17.100000000000001" customHeight="1"/>
    <row r="876" ht="17.100000000000001" customHeight="1"/>
    <row r="877" ht="17.100000000000001" customHeight="1"/>
    <row r="878" ht="17.100000000000001" customHeight="1"/>
    <row r="879" ht="17.100000000000001" customHeight="1"/>
    <row r="880" ht="17.100000000000001" customHeight="1"/>
    <row r="881" ht="17.100000000000001" customHeight="1"/>
    <row r="882" ht="17.100000000000001" customHeight="1"/>
    <row r="883" ht="17.100000000000001" customHeight="1"/>
    <row r="884" ht="17.100000000000001" customHeight="1"/>
    <row r="885" ht="17.100000000000001" customHeight="1"/>
    <row r="886" ht="17.100000000000001" customHeight="1"/>
    <row r="887" ht="17.100000000000001" customHeight="1"/>
    <row r="888" ht="17.100000000000001" customHeight="1"/>
    <row r="889" ht="17.100000000000001" customHeight="1"/>
    <row r="890" ht="17.100000000000001" customHeight="1"/>
    <row r="891" ht="17.100000000000001" customHeight="1"/>
    <row r="892" ht="17.100000000000001" customHeight="1"/>
    <row r="893" ht="17.100000000000001" customHeight="1"/>
    <row r="894" ht="17.100000000000001" customHeight="1"/>
    <row r="895" ht="17.100000000000001" customHeight="1"/>
    <row r="896" ht="17.100000000000001" customHeight="1"/>
    <row r="897" ht="17.100000000000001" customHeight="1"/>
    <row r="898" ht="17.100000000000001" customHeight="1"/>
    <row r="899" ht="17.100000000000001" customHeight="1"/>
    <row r="900" ht="17.100000000000001" customHeight="1"/>
    <row r="901" ht="17.100000000000001" customHeight="1"/>
    <row r="902" ht="17.100000000000001" customHeight="1"/>
    <row r="903" ht="17.100000000000001" customHeight="1"/>
    <row r="904" ht="17.100000000000001" customHeight="1"/>
    <row r="905" ht="17.100000000000001" customHeight="1"/>
    <row r="906" ht="17.100000000000001" customHeight="1"/>
    <row r="907" ht="17.100000000000001" customHeight="1"/>
    <row r="908" ht="17.100000000000001" customHeight="1"/>
    <row r="909" ht="17.100000000000001" customHeight="1"/>
    <row r="910" ht="17.100000000000001" customHeight="1"/>
    <row r="911" ht="17.100000000000001" customHeight="1"/>
    <row r="912" ht="17.100000000000001" customHeight="1"/>
    <row r="913" ht="17.100000000000001" customHeight="1"/>
    <row r="914" ht="17.100000000000001" customHeight="1"/>
    <row r="915" ht="17.100000000000001" customHeight="1"/>
    <row r="916" ht="17.100000000000001" customHeight="1"/>
    <row r="917" ht="17.100000000000001" customHeight="1"/>
    <row r="918" ht="17.100000000000001" customHeight="1"/>
    <row r="919" ht="17.100000000000001" customHeight="1"/>
    <row r="920" ht="17.100000000000001" customHeight="1"/>
    <row r="921" ht="17.100000000000001" customHeight="1"/>
    <row r="922" ht="17.100000000000001" customHeight="1"/>
    <row r="923" ht="17.100000000000001" customHeight="1"/>
    <row r="924" ht="17.100000000000001" customHeight="1"/>
    <row r="925" ht="17.100000000000001" customHeight="1"/>
    <row r="926" ht="17.100000000000001" customHeight="1"/>
    <row r="927" ht="17.100000000000001" customHeight="1"/>
    <row r="928" ht="17.100000000000001" customHeight="1"/>
    <row r="929" ht="17.100000000000001" customHeight="1"/>
    <row r="930" ht="17.100000000000001" customHeight="1"/>
    <row r="931" ht="17.100000000000001" customHeight="1"/>
    <row r="932" ht="17.100000000000001" customHeight="1"/>
    <row r="933" ht="17.100000000000001" customHeight="1"/>
    <row r="934" ht="17.100000000000001" customHeight="1"/>
    <row r="935" ht="17.100000000000001" customHeight="1"/>
    <row r="936" ht="17.100000000000001" customHeight="1"/>
    <row r="937" ht="17.100000000000001" customHeight="1"/>
    <row r="938" ht="17.100000000000001" customHeight="1"/>
    <row r="939" ht="17.100000000000001" customHeight="1"/>
    <row r="940" ht="17.100000000000001" customHeight="1"/>
    <row r="941" ht="17.100000000000001" customHeight="1"/>
    <row r="942" ht="17.100000000000001" customHeight="1"/>
    <row r="943" ht="17.100000000000001" customHeight="1"/>
    <row r="944" ht="17.100000000000001" customHeight="1"/>
    <row r="945" ht="17.100000000000001" customHeight="1"/>
    <row r="946" ht="17.100000000000001" customHeight="1"/>
    <row r="947" ht="17.100000000000001" customHeight="1"/>
    <row r="948" ht="17.100000000000001" customHeight="1"/>
    <row r="949" ht="17.100000000000001" customHeight="1"/>
    <row r="950" ht="17.100000000000001" customHeight="1"/>
    <row r="951" ht="17.100000000000001" customHeight="1"/>
    <row r="952" ht="17.100000000000001" customHeight="1"/>
    <row r="953" ht="17.100000000000001" customHeight="1"/>
    <row r="954" ht="17.100000000000001" customHeight="1"/>
    <row r="955" ht="17.100000000000001" customHeight="1"/>
    <row r="956" ht="17.100000000000001" customHeight="1"/>
    <row r="957" ht="17.100000000000001" customHeight="1"/>
    <row r="958" ht="17.100000000000001" customHeight="1"/>
    <row r="959" ht="17.100000000000001" customHeight="1"/>
    <row r="960" ht="17.100000000000001" customHeight="1"/>
    <row r="961" ht="17.100000000000001" customHeight="1"/>
    <row r="962" ht="17.100000000000001" customHeight="1"/>
    <row r="963" ht="17.100000000000001" customHeight="1"/>
    <row r="964" ht="17.100000000000001" customHeight="1"/>
    <row r="965" ht="17.100000000000001" customHeight="1"/>
    <row r="966" ht="17.100000000000001" customHeight="1"/>
    <row r="967" ht="17.100000000000001" customHeight="1"/>
    <row r="968" ht="17.100000000000001" customHeight="1"/>
    <row r="969" ht="17.100000000000001" customHeight="1"/>
    <row r="970" ht="17.100000000000001" customHeight="1"/>
    <row r="971" ht="17.100000000000001" customHeight="1"/>
    <row r="972" ht="17.100000000000001" customHeight="1"/>
    <row r="973" ht="17.100000000000001" customHeight="1"/>
    <row r="974" ht="17.100000000000001" customHeight="1"/>
    <row r="975" ht="17.100000000000001" customHeight="1"/>
    <row r="976" ht="17.100000000000001" customHeight="1"/>
    <row r="977" ht="17.100000000000001" customHeight="1"/>
    <row r="978" ht="17.100000000000001" customHeight="1"/>
    <row r="979" ht="17.100000000000001" customHeight="1"/>
    <row r="980" ht="17.100000000000001" customHeight="1"/>
    <row r="981" ht="17.100000000000001" customHeight="1"/>
    <row r="982" ht="17.100000000000001" customHeight="1"/>
    <row r="983" ht="17.100000000000001" customHeight="1"/>
    <row r="984" ht="17.100000000000001" customHeight="1"/>
    <row r="985" ht="17.100000000000001" customHeight="1"/>
    <row r="986" ht="17.100000000000001" customHeight="1"/>
    <row r="987" ht="17.100000000000001" customHeight="1"/>
    <row r="988" ht="17.100000000000001" customHeight="1"/>
    <row r="989" ht="17.100000000000001" customHeight="1"/>
    <row r="990" ht="17.100000000000001" customHeight="1"/>
    <row r="991" ht="17.100000000000001" customHeight="1"/>
    <row r="992" ht="17.100000000000001" customHeight="1"/>
    <row r="993" ht="17.100000000000001" customHeight="1"/>
    <row r="994" ht="17.100000000000001" customHeight="1"/>
    <row r="995" ht="17.100000000000001" customHeight="1"/>
    <row r="996" ht="17.100000000000001" customHeight="1"/>
    <row r="997" ht="17.100000000000001" customHeight="1"/>
    <row r="998" ht="17.100000000000001" customHeight="1"/>
    <row r="999" ht="17.100000000000001" customHeight="1"/>
    <row r="1000" ht="17.100000000000001" customHeight="1"/>
    <row r="1001" ht="17.100000000000001" customHeight="1"/>
    <row r="1002" ht="17.100000000000001" customHeight="1"/>
    <row r="1003" ht="17.100000000000001" customHeight="1"/>
    <row r="1004" ht="17.100000000000001" customHeight="1"/>
    <row r="1005" ht="17.100000000000001" customHeight="1"/>
    <row r="1006" ht="17.100000000000001" customHeight="1"/>
    <row r="1007" ht="17.100000000000001" customHeight="1"/>
    <row r="1008" ht="17.100000000000001" customHeight="1"/>
    <row r="1009" ht="17.100000000000001" customHeight="1"/>
    <row r="1010" ht="17.100000000000001" customHeight="1"/>
    <row r="1011" ht="17.100000000000001" customHeight="1"/>
    <row r="1012" ht="17.100000000000001" customHeight="1"/>
    <row r="1013" ht="17.100000000000001" customHeight="1"/>
    <row r="1014" ht="17.100000000000001" customHeight="1"/>
    <row r="1015" ht="17.100000000000001" customHeight="1"/>
    <row r="1016" ht="17.100000000000001" customHeight="1"/>
    <row r="1017" ht="17.100000000000001" customHeight="1"/>
    <row r="1018" ht="17.100000000000001" customHeight="1"/>
    <row r="1019" ht="17.100000000000001" customHeight="1"/>
    <row r="1020" ht="17.100000000000001" customHeight="1"/>
    <row r="1021" ht="17.100000000000001" customHeight="1"/>
    <row r="1022" ht="17.100000000000001" customHeight="1"/>
    <row r="1023" ht="17.100000000000001" customHeight="1"/>
    <row r="1024" ht="17.100000000000001" customHeight="1"/>
    <row r="1025" ht="17.100000000000001" customHeight="1"/>
    <row r="1026" ht="17.100000000000001" customHeight="1"/>
    <row r="1027" ht="17.100000000000001" customHeight="1"/>
    <row r="1028" ht="17.100000000000001" customHeight="1"/>
    <row r="1029" ht="17.100000000000001" customHeight="1"/>
    <row r="1030" ht="17.100000000000001" customHeight="1"/>
    <row r="1031" ht="17.100000000000001" customHeight="1"/>
    <row r="1032" ht="17.100000000000001" customHeight="1"/>
    <row r="1033" ht="17.100000000000001" customHeight="1"/>
    <row r="1034" ht="17.100000000000001" customHeight="1"/>
    <row r="1035" ht="17.100000000000001" customHeight="1"/>
    <row r="1036" ht="17.100000000000001" customHeight="1"/>
    <row r="1037" ht="17.100000000000001" customHeight="1"/>
    <row r="1038" ht="17.100000000000001" customHeight="1"/>
    <row r="1039" ht="17.100000000000001" customHeight="1"/>
    <row r="1040" ht="17.100000000000001" customHeight="1"/>
    <row r="1041" ht="17.100000000000001" customHeight="1"/>
    <row r="1042" ht="17.100000000000001" customHeight="1"/>
    <row r="1043" ht="17.100000000000001" customHeight="1"/>
    <row r="1044" ht="17.100000000000001" customHeight="1"/>
    <row r="1045" ht="17.100000000000001" customHeight="1"/>
    <row r="1046" ht="17.100000000000001" customHeight="1"/>
    <row r="1047" ht="17.100000000000001" customHeight="1"/>
    <row r="1048" ht="17.100000000000001" customHeight="1"/>
    <row r="1049" ht="17.100000000000001" customHeight="1"/>
    <row r="1050" ht="17.100000000000001" customHeight="1"/>
    <row r="1051" ht="17.100000000000001" customHeight="1"/>
    <row r="1052" ht="17.100000000000001" customHeight="1"/>
    <row r="1053" ht="17.100000000000001" customHeight="1"/>
    <row r="1054" ht="17.100000000000001" customHeight="1"/>
    <row r="1055" ht="17.100000000000001" customHeight="1"/>
    <row r="1056" ht="17.100000000000001" customHeight="1"/>
    <row r="1057" ht="17.100000000000001" customHeight="1"/>
    <row r="1058" ht="17.100000000000001" customHeight="1"/>
    <row r="1059" ht="17.100000000000001" customHeight="1"/>
    <row r="1060" ht="17.100000000000001" customHeight="1"/>
    <row r="1061" ht="17.100000000000001" customHeight="1"/>
    <row r="1062" ht="17.100000000000001" customHeight="1"/>
    <row r="1063" ht="17.100000000000001" customHeight="1"/>
    <row r="1064" ht="17.100000000000001" customHeight="1"/>
    <row r="1065" ht="17.100000000000001" customHeight="1"/>
    <row r="1066" ht="17.100000000000001" customHeight="1"/>
    <row r="1067" ht="17.100000000000001" customHeight="1"/>
    <row r="1068" ht="17.100000000000001" customHeight="1"/>
    <row r="1069" ht="17.100000000000001" customHeight="1"/>
    <row r="1070" ht="17.100000000000001" customHeight="1"/>
    <row r="1071" ht="17.100000000000001" customHeight="1"/>
    <row r="1072" ht="17.100000000000001" customHeight="1"/>
    <row r="1073" ht="17.100000000000001" customHeight="1"/>
    <row r="1074" ht="17.100000000000001" customHeight="1"/>
    <row r="1075" ht="17.100000000000001" customHeight="1"/>
    <row r="1076" ht="17.100000000000001" customHeight="1"/>
    <row r="1077" ht="17.100000000000001" customHeight="1"/>
    <row r="1078" ht="17.100000000000001" customHeight="1"/>
    <row r="1079" ht="17.100000000000001" customHeight="1"/>
    <row r="1080" ht="17.100000000000001" customHeight="1"/>
    <row r="1081" ht="17.100000000000001" customHeight="1"/>
    <row r="1082" ht="17.100000000000001" customHeight="1"/>
    <row r="1083" ht="17.100000000000001" customHeight="1"/>
    <row r="1084" ht="17.100000000000001" customHeight="1"/>
    <row r="1085" ht="17.100000000000001" customHeight="1"/>
    <row r="1086" ht="17.100000000000001" customHeight="1"/>
    <row r="1087" ht="17.100000000000001" customHeight="1"/>
    <row r="1088" ht="17.100000000000001" customHeight="1"/>
    <row r="1089" ht="17.100000000000001" customHeight="1"/>
    <row r="1090" ht="17.100000000000001" customHeight="1"/>
    <row r="1091" ht="17.100000000000001" customHeight="1"/>
    <row r="1092" ht="17.100000000000001" customHeight="1"/>
    <row r="1093" ht="17.100000000000001" customHeight="1"/>
    <row r="1094" ht="17.100000000000001" customHeight="1"/>
    <row r="1095" ht="17.100000000000001" customHeight="1"/>
    <row r="1096" ht="17.100000000000001" customHeight="1"/>
    <row r="1097" ht="17.100000000000001" customHeight="1"/>
    <row r="1098" ht="17.100000000000001" customHeight="1"/>
    <row r="1099" ht="17.100000000000001" customHeight="1"/>
    <row r="1100" ht="17.100000000000001" customHeight="1"/>
    <row r="1101" ht="17.100000000000001" customHeight="1"/>
    <row r="1102" ht="17.100000000000001" customHeight="1"/>
    <row r="1103" ht="17.100000000000001" customHeight="1"/>
    <row r="1104" ht="17.100000000000001" customHeight="1"/>
    <row r="1105" ht="17.100000000000001" customHeight="1"/>
    <row r="1106" ht="17.100000000000001" customHeight="1"/>
    <row r="1107" ht="17.100000000000001" customHeight="1"/>
    <row r="1108" ht="17.100000000000001" customHeight="1"/>
    <row r="1109" ht="17.100000000000001" customHeight="1"/>
    <row r="1110" ht="17.100000000000001" customHeight="1"/>
    <row r="1111" ht="17.100000000000001" customHeight="1"/>
    <row r="1112" ht="17.100000000000001" customHeight="1"/>
    <row r="1113" ht="17.100000000000001" customHeight="1"/>
    <row r="1114" ht="17.100000000000001" customHeight="1"/>
    <row r="1115" ht="17.100000000000001" customHeight="1"/>
    <row r="1116" ht="17.100000000000001" customHeight="1"/>
    <row r="1117" ht="17.100000000000001" customHeight="1"/>
    <row r="1118" ht="17.100000000000001" customHeight="1"/>
    <row r="1119" ht="17.100000000000001" customHeight="1"/>
    <row r="1120" ht="17.100000000000001" customHeight="1"/>
    <row r="1121" ht="17.100000000000001" customHeight="1"/>
    <row r="1122" ht="17.100000000000001" customHeight="1"/>
    <row r="1123" ht="17.100000000000001" customHeight="1"/>
    <row r="1124" ht="17.100000000000001" customHeight="1"/>
    <row r="1125" ht="17.100000000000001" customHeight="1"/>
    <row r="1126" ht="17.100000000000001" customHeight="1"/>
    <row r="1127" ht="17.100000000000001" customHeight="1"/>
    <row r="1128" ht="17.100000000000001" customHeight="1"/>
    <row r="1129" ht="17.100000000000001" customHeight="1"/>
    <row r="1130" ht="17.100000000000001" customHeight="1"/>
    <row r="1131" ht="17.100000000000001" customHeight="1"/>
    <row r="1132" ht="17.100000000000001" customHeight="1"/>
    <row r="1133" ht="17.100000000000001" customHeight="1"/>
    <row r="1134" ht="17.100000000000001" customHeight="1"/>
    <row r="1135" ht="17.100000000000001" customHeight="1"/>
    <row r="1136" ht="17.100000000000001" customHeight="1"/>
    <row r="1137" ht="17.100000000000001" customHeight="1"/>
    <row r="1138" ht="17.100000000000001" customHeight="1"/>
    <row r="1139" ht="17.100000000000001" customHeight="1"/>
    <row r="1140" ht="17.100000000000001" customHeight="1"/>
    <row r="1141" ht="17.100000000000001" customHeight="1"/>
    <row r="1142" ht="17.100000000000001" customHeight="1"/>
    <row r="1143" ht="17.100000000000001" customHeight="1"/>
    <row r="1144" ht="17.100000000000001" customHeight="1"/>
    <row r="1145" ht="17.100000000000001" customHeight="1"/>
    <row r="1146" ht="17.100000000000001" customHeight="1"/>
    <row r="1147" ht="17.100000000000001" customHeight="1"/>
    <row r="1148" ht="17.100000000000001" customHeight="1"/>
    <row r="1149" ht="17.100000000000001" customHeight="1"/>
    <row r="1150" ht="17.100000000000001" customHeight="1"/>
    <row r="1151" ht="17.100000000000001" customHeight="1"/>
    <row r="1152" ht="17.100000000000001" customHeight="1"/>
    <row r="1153" ht="17.100000000000001" customHeight="1"/>
    <row r="1154" ht="17.100000000000001" customHeight="1"/>
    <row r="1155" ht="17.100000000000001" customHeight="1"/>
    <row r="1156" ht="17.100000000000001" customHeight="1"/>
    <row r="1157" ht="17.100000000000001" customHeight="1"/>
    <row r="1158" ht="17.100000000000001" customHeight="1"/>
    <row r="1159" ht="17.100000000000001" customHeight="1"/>
    <row r="1160" ht="17.100000000000001" customHeight="1"/>
    <row r="1161" ht="17.100000000000001" customHeight="1"/>
    <row r="1162" ht="17.100000000000001" customHeight="1"/>
    <row r="1163" ht="17.100000000000001" customHeight="1"/>
    <row r="1164" ht="17.100000000000001" customHeight="1"/>
    <row r="1165" ht="17.100000000000001" customHeight="1"/>
    <row r="1166" ht="17.100000000000001" customHeight="1"/>
    <row r="1167" ht="17.100000000000001" customHeight="1"/>
    <row r="1168" ht="17.100000000000001" customHeight="1"/>
    <row r="1169" ht="17.100000000000001" customHeight="1"/>
    <row r="1170" ht="17.100000000000001" customHeight="1"/>
    <row r="1171" ht="17.100000000000001" customHeight="1"/>
    <row r="1172" ht="17.100000000000001" customHeight="1"/>
    <row r="1173" ht="17.100000000000001" customHeight="1"/>
    <row r="1174" ht="17.100000000000001" customHeight="1"/>
    <row r="1175" ht="17.100000000000001" customHeight="1"/>
    <row r="1176" ht="17.100000000000001" customHeight="1"/>
    <row r="1177" ht="17.100000000000001" customHeight="1"/>
    <row r="1178" ht="17.100000000000001" customHeight="1"/>
    <row r="1179" ht="17.100000000000001" customHeight="1"/>
    <row r="1180" ht="17.100000000000001" customHeight="1"/>
    <row r="1181" ht="17.100000000000001" customHeight="1"/>
    <row r="1182" ht="17.100000000000001" customHeight="1"/>
    <row r="1183" ht="17.100000000000001" customHeight="1"/>
    <row r="1184" ht="17.100000000000001" customHeight="1"/>
    <row r="1185" ht="17.100000000000001" customHeight="1"/>
    <row r="1186" ht="17.100000000000001" customHeight="1"/>
    <row r="1187" ht="17.100000000000001" customHeight="1"/>
    <row r="1188" ht="17.100000000000001" customHeight="1"/>
    <row r="1189" ht="17.100000000000001" customHeight="1"/>
    <row r="1190" ht="17.100000000000001" customHeight="1"/>
    <row r="1191" ht="17.100000000000001" customHeight="1"/>
    <row r="1192" ht="17.100000000000001" customHeight="1"/>
    <row r="1193" ht="17.100000000000001" customHeight="1"/>
    <row r="1194" ht="17.100000000000001" customHeight="1"/>
    <row r="1195" ht="17.100000000000001" customHeight="1"/>
    <row r="1196" ht="17.100000000000001" customHeight="1"/>
    <row r="1197" ht="17.100000000000001" customHeight="1"/>
    <row r="1198" ht="17.100000000000001" customHeight="1"/>
    <row r="1199" ht="17.100000000000001" customHeight="1"/>
    <row r="1200" ht="17.100000000000001" customHeight="1"/>
    <row r="1201" ht="17.100000000000001" customHeight="1"/>
    <row r="1202" ht="17.100000000000001" customHeight="1"/>
    <row r="1203" ht="17.100000000000001" customHeight="1"/>
    <row r="1204" ht="17.100000000000001" customHeight="1"/>
    <row r="1205" ht="17.100000000000001" customHeight="1"/>
    <row r="1206" ht="17.100000000000001" customHeight="1"/>
    <row r="1207" ht="17.100000000000001" customHeight="1"/>
    <row r="1208" ht="17.100000000000001" customHeight="1"/>
    <row r="1209" ht="17.100000000000001" customHeight="1"/>
    <row r="1210" ht="17.100000000000001" customHeight="1"/>
    <row r="1211" ht="17.100000000000001" customHeight="1"/>
    <row r="1212" ht="17.100000000000001" customHeight="1"/>
    <row r="1213" ht="17.100000000000001" customHeight="1"/>
    <row r="1214" ht="17.100000000000001" customHeight="1"/>
    <row r="1215" ht="17.100000000000001" customHeight="1"/>
    <row r="1216" ht="17.100000000000001" customHeight="1"/>
    <row r="1217" ht="17.100000000000001" customHeight="1"/>
    <row r="1218" ht="17.100000000000001" customHeight="1"/>
    <row r="1219" ht="17.100000000000001" customHeight="1"/>
    <row r="1220" ht="17.100000000000001" customHeight="1"/>
    <row r="1221" ht="17.100000000000001" customHeight="1"/>
    <row r="1222" ht="17.100000000000001" customHeight="1"/>
    <row r="1223" ht="17.100000000000001" customHeight="1"/>
    <row r="1224" ht="17.100000000000001" customHeight="1"/>
    <row r="1225" ht="17.100000000000001" customHeight="1"/>
    <row r="1226" ht="17.100000000000001" customHeight="1"/>
    <row r="1227" ht="17.100000000000001" customHeight="1"/>
    <row r="1228" ht="17.100000000000001" customHeight="1"/>
    <row r="1229" ht="17.100000000000001" customHeight="1"/>
    <row r="1230" ht="17.100000000000001" customHeight="1"/>
    <row r="1231" ht="17.100000000000001" customHeight="1"/>
    <row r="1232" ht="17.100000000000001" customHeight="1"/>
    <row r="1233" ht="17.100000000000001" customHeight="1"/>
    <row r="1234" ht="17.100000000000001" customHeight="1"/>
    <row r="1235" ht="17.100000000000001" customHeight="1"/>
    <row r="1236" ht="17.100000000000001" customHeight="1"/>
    <row r="1237" ht="17.100000000000001" customHeight="1"/>
    <row r="1238" ht="17.100000000000001" customHeight="1"/>
    <row r="1239" ht="17.100000000000001" customHeight="1"/>
    <row r="1240" ht="17.100000000000001" customHeight="1"/>
    <row r="1241" ht="17.100000000000001" customHeight="1"/>
    <row r="1242" ht="17.100000000000001" customHeight="1"/>
    <row r="1243" ht="17.100000000000001" customHeight="1"/>
    <row r="1244" ht="17.100000000000001" customHeight="1"/>
    <row r="1245" ht="17.100000000000001" customHeight="1"/>
    <row r="1246" ht="17.100000000000001" customHeight="1"/>
    <row r="1247" ht="17.100000000000001" customHeight="1"/>
    <row r="1248" ht="17.100000000000001" customHeight="1"/>
    <row r="1249" ht="17.100000000000001" customHeight="1"/>
    <row r="1250" ht="17.100000000000001" customHeight="1"/>
    <row r="1251" ht="17.100000000000001" customHeight="1"/>
    <row r="1252" ht="17.100000000000001" customHeight="1"/>
    <row r="1253" ht="17.100000000000001" customHeight="1"/>
    <row r="1254" ht="17.100000000000001" customHeight="1"/>
    <row r="1255" ht="17.100000000000001" customHeight="1"/>
    <row r="1256" ht="17.100000000000001" customHeight="1"/>
    <row r="1257" ht="17.100000000000001" customHeight="1"/>
    <row r="1258" ht="17.100000000000001" customHeight="1"/>
    <row r="1259" ht="17.100000000000001" customHeight="1"/>
    <row r="1260" ht="17.100000000000001" customHeight="1"/>
    <row r="1261" ht="17.100000000000001" customHeight="1"/>
    <row r="1262" ht="17.100000000000001" customHeight="1"/>
    <row r="1263" ht="17.100000000000001" customHeight="1"/>
    <row r="1264" ht="17.100000000000001" customHeight="1"/>
    <row r="1265" ht="17.100000000000001" customHeight="1"/>
    <row r="1266" ht="17.100000000000001" customHeight="1"/>
    <row r="1267" ht="17.100000000000001" customHeight="1"/>
    <row r="1268" ht="17.100000000000001" customHeight="1"/>
    <row r="1269" ht="17.100000000000001" customHeight="1"/>
    <row r="1270" ht="17.100000000000001" customHeight="1"/>
    <row r="1271" ht="17.100000000000001" customHeight="1"/>
    <row r="1272" ht="17.100000000000001" customHeight="1"/>
    <row r="1273" ht="17.100000000000001" customHeight="1"/>
    <row r="1274" ht="17.100000000000001" customHeight="1"/>
    <row r="1275" ht="17.100000000000001" customHeight="1"/>
    <row r="1276" ht="17.100000000000001" customHeight="1"/>
    <row r="1277" ht="17.100000000000001" customHeight="1"/>
    <row r="1278" ht="17.100000000000001" customHeight="1"/>
    <row r="1279" ht="17.100000000000001" customHeight="1"/>
    <row r="1280" ht="17.100000000000001" customHeight="1"/>
    <row r="1281" ht="17.100000000000001" customHeight="1"/>
    <row r="1282" ht="17.100000000000001" customHeight="1"/>
    <row r="1283" ht="17.100000000000001" customHeight="1"/>
    <row r="1284" ht="17.100000000000001" customHeight="1"/>
    <row r="1285" ht="17.100000000000001" customHeight="1"/>
    <row r="1286" ht="17.100000000000001" customHeight="1"/>
    <row r="1287" ht="17.100000000000001" customHeight="1"/>
    <row r="1288" ht="17.100000000000001" customHeight="1"/>
    <row r="1289" ht="17.100000000000001" customHeight="1"/>
    <row r="1290" ht="17.100000000000001" customHeight="1"/>
    <row r="1291" ht="17.100000000000001" customHeight="1"/>
    <row r="1292" ht="17.100000000000001" customHeight="1"/>
    <row r="1293" ht="17.100000000000001" customHeight="1"/>
    <row r="1294" ht="17.100000000000001" customHeight="1"/>
    <row r="1295" ht="17.100000000000001" customHeight="1"/>
    <row r="1296" ht="17.100000000000001" customHeight="1"/>
    <row r="1297" ht="17.100000000000001" customHeight="1"/>
    <row r="1298" ht="17.100000000000001" customHeight="1"/>
    <row r="1299" ht="17.100000000000001" customHeight="1"/>
    <row r="1300" ht="17.100000000000001" customHeight="1"/>
    <row r="1301" ht="17.100000000000001" customHeight="1"/>
    <row r="1302" ht="17.100000000000001" customHeight="1"/>
    <row r="1303" ht="17.100000000000001" customHeight="1"/>
    <row r="1304" ht="17.100000000000001" customHeight="1"/>
    <row r="1305" ht="17.100000000000001" customHeight="1"/>
    <row r="1306" ht="17.100000000000001" customHeight="1"/>
    <row r="1307" ht="17.100000000000001" customHeight="1"/>
    <row r="1308" ht="17.100000000000001" customHeight="1"/>
    <row r="1309" ht="17.100000000000001" customHeight="1"/>
    <row r="1310" ht="17.100000000000001" customHeight="1"/>
    <row r="1311" ht="17.100000000000001" customHeight="1"/>
    <row r="1312" ht="17.100000000000001" customHeight="1"/>
    <row r="1313" ht="17.100000000000001" customHeight="1"/>
    <row r="1314" ht="17.100000000000001" customHeight="1"/>
    <row r="1315" ht="17.100000000000001" customHeight="1"/>
    <row r="1316" ht="17.100000000000001" customHeight="1"/>
    <row r="1317" ht="17.100000000000001" customHeight="1"/>
    <row r="1318" ht="17.100000000000001" customHeight="1"/>
    <row r="1319" ht="17.100000000000001" customHeight="1"/>
    <row r="1320" ht="17.100000000000001" customHeight="1"/>
    <row r="1321" ht="17.100000000000001" customHeight="1"/>
    <row r="1322" ht="17.100000000000001" customHeight="1"/>
    <row r="1323" ht="17.100000000000001" customHeight="1"/>
    <row r="1324" ht="17.100000000000001" customHeight="1"/>
    <row r="1325" ht="17.100000000000001" customHeight="1"/>
    <row r="1326" ht="17.100000000000001" customHeight="1"/>
    <row r="1327" ht="17.100000000000001" customHeight="1"/>
    <row r="1328" ht="17.100000000000001" customHeight="1"/>
    <row r="1329" ht="17.100000000000001" customHeight="1"/>
    <row r="1330" ht="17.100000000000001" customHeight="1"/>
    <row r="1331" ht="17.100000000000001" customHeight="1"/>
    <row r="1332" ht="17.100000000000001" customHeight="1"/>
    <row r="1333" ht="17.100000000000001" customHeight="1"/>
    <row r="1334" ht="17.100000000000001" customHeight="1"/>
    <row r="1335" ht="17.100000000000001" customHeight="1"/>
    <row r="1336" ht="17.100000000000001" customHeight="1"/>
    <row r="1337" ht="17.100000000000001" customHeight="1"/>
    <row r="1338" ht="17.100000000000001" customHeight="1"/>
    <row r="1339" ht="17.100000000000001" customHeight="1"/>
    <row r="1340" ht="17.100000000000001" customHeight="1"/>
    <row r="1341" ht="17.100000000000001" customHeight="1"/>
    <row r="1342" ht="17.100000000000001" customHeight="1"/>
    <row r="1343" ht="17.100000000000001" customHeight="1"/>
    <row r="1344" ht="17.100000000000001" customHeight="1"/>
    <row r="1345" ht="17.100000000000001" customHeight="1"/>
    <row r="1346" ht="17.100000000000001" customHeight="1"/>
    <row r="1347" ht="17.100000000000001" customHeight="1"/>
    <row r="1348" ht="17.100000000000001" customHeight="1"/>
    <row r="1349" ht="17.100000000000001" customHeight="1"/>
    <row r="1350" ht="17.100000000000001" customHeight="1"/>
    <row r="1351" ht="17.100000000000001" customHeight="1"/>
    <row r="1352" ht="17.100000000000001" customHeight="1"/>
    <row r="1353" ht="17.100000000000001" customHeight="1"/>
    <row r="1354" ht="17.100000000000001" customHeight="1"/>
    <row r="1355" ht="17.100000000000001" customHeight="1"/>
    <row r="1356" ht="17.100000000000001" customHeight="1"/>
    <row r="1357" ht="17.100000000000001" customHeight="1"/>
    <row r="1358" ht="17.100000000000001" customHeight="1"/>
    <row r="1359" ht="17.100000000000001" customHeight="1"/>
    <row r="1360" ht="17.100000000000001" customHeight="1"/>
    <row r="1361" ht="17.100000000000001" customHeight="1"/>
    <row r="1362" ht="17.100000000000001" customHeight="1"/>
    <row r="1363" ht="17.100000000000001" customHeight="1"/>
    <row r="1364" ht="17.100000000000001" customHeight="1"/>
    <row r="1365" ht="17.100000000000001" customHeight="1"/>
    <row r="1366" ht="17.100000000000001" customHeight="1"/>
    <row r="1367" ht="17.100000000000001" customHeight="1"/>
    <row r="1368" ht="17.100000000000001" customHeight="1"/>
    <row r="1369" ht="17.100000000000001" customHeight="1"/>
    <row r="1370" ht="17.100000000000001" customHeight="1"/>
    <row r="1371" ht="17.100000000000001" customHeight="1"/>
    <row r="1372" ht="17.100000000000001" customHeight="1"/>
    <row r="1373" ht="17.100000000000001" customHeight="1"/>
    <row r="1374" ht="17.100000000000001" customHeight="1"/>
    <row r="1375" ht="17.100000000000001" customHeight="1"/>
    <row r="1376" ht="17.100000000000001" customHeight="1"/>
    <row r="1377" ht="17.100000000000001" customHeight="1"/>
    <row r="1378" ht="17.100000000000001" customHeight="1"/>
    <row r="1379" ht="17.100000000000001" customHeight="1"/>
    <row r="1380" ht="17.100000000000001" customHeight="1"/>
    <row r="1381" ht="17.100000000000001" customHeight="1"/>
    <row r="1382" ht="17.100000000000001" customHeight="1"/>
    <row r="1383" ht="17.100000000000001" customHeight="1"/>
    <row r="1384" ht="17.100000000000001" customHeight="1"/>
    <row r="1385" ht="17.100000000000001" customHeight="1"/>
    <row r="1386" ht="17.100000000000001" customHeight="1"/>
    <row r="1387" ht="17.100000000000001" customHeight="1"/>
    <row r="1388" ht="17.100000000000001" customHeight="1"/>
    <row r="1389" ht="17.100000000000001" customHeight="1"/>
    <row r="1390" ht="17.100000000000001" customHeight="1"/>
    <row r="1391" ht="17.100000000000001" customHeight="1"/>
    <row r="1392" ht="17.100000000000001" customHeight="1"/>
    <row r="1393" ht="17.100000000000001" customHeight="1"/>
    <row r="1394" ht="17.100000000000001" customHeight="1"/>
    <row r="1395" ht="17.100000000000001" customHeight="1"/>
    <row r="1396" ht="17.100000000000001" customHeight="1"/>
    <row r="1397" ht="17.100000000000001" customHeight="1"/>
    <row r="1398" ht="17.100000000000001" customHeight="1"/>
    <row r="1399" ht="17.100000000000001" customHeight="1"/>
    <row r="1400" ht="17.100000000000001" customHeight="1"/>
    <row r="1401" ht="17.100000000000001" customHeight="1"/>
    <row r="1402" ht="17.100000000000001" customHeight="1"/>
    <row r="1403" ht="17.100000000000001" customHeight="1"/>
    <row r="1404" ht="17.100000000000001" customHeight="1"/>
    <row r="1405" ht="17.100000000000001" customHeight="1"/>
    <row r="1406" ht="17.100000000000001" customHeight="1"/>
    <row r="1407" ht="17.100000000000001" customHeight="1"/>
    <row r="1408" ht="17.100000000000001" customHeight="1"/>
    <row r="1409" ht="17.100000000000001" customHeight="1"/>
    <row r="1410" ht="17.100000000000001" customHeight="1"/>
    <row r="1411" ht="17.100000000000001" customHeight="1"/>
    <row r="1412" ht="17.100000000000001" customHeight="1"/>
    <row r="1413" ht="17.100000000000001" customHeight="1"/>
    <row r="1414" ht="17.100000000000001" customHeight="1"/>
    <row r="1415" ht="17.100000000000001" customHeight="1"/>
    <row r="1416" ht="17.100000000000001" customHeight="1"/>
    <row r="1417" ht="17.100000000000001" customHeight="1"/>
    <row r="1418" ht="17.100000000000001" customHeight="1"/>
    <row r="1419" ht="17.100000000000001" customHeight="1"/>
    <row r="1420" ht="17.100000000000001" customHeight="1"/>
    <row r="1421" ht="17.100000000000001" customHeight="1"/>
    <row r="1422" ht="17.100000000000001" customHeight="1"/>
    <row r="1423" ht="17.100000000000001" customHeight="1"/>
    <row r="1424" ht="17.100000000000001" customHeight="1"/>
    <row r="1425" ht="17.100000000000001" customHeight="1"/>
    <row r="1426" ht="17.100000000000001" customHeight="1"/>
    <row r="1427" ht="17.100000000000001" customHeight="1"/>
    <row r="1428" ht="17.100000000000001" customHeight="1"/>
    <row r="1429" ht="17.100000000000001" customHeight="1"/>
    <row r="1430" ht="17.100000000000001" customHeight="1"/>
    <row r="1431" ht="17.100000000000001" customHeight="1"/>
    <row r="1432" ht="17.100000000000001" customHeight="1"/>
    <row r="1433" ht="17.100000000000001" customHeight="1"/>
    <row r="1434" ht="17.100000000000001" customHeight="1"/>
    <row r="1435" ht="17.100000000000001" customHeight="1"/>
    <row r="1436" ht="17.100000000000001" customHeight="1"/>
    <row r="1437" ht="17.100000000000001" customHeight="1"/>
    <row r="1438" ht="17.100000000000001" customHeight="1"/>
    <row r="1439" ht="17.100000000000001" customHeight="1"/>
    <row r="1440" ht="17.100000000000001" customHeight="1"/>
    <row r="1441" ht="17.100000000000001" customHeight="1"/>
    <row r="1442" ht="17.100000000000001" customHeight="1"/>
    <row r="1443" ht="17.100000000000001" customHeight="1"/>
    <row r="1444" ht="17.100000000000001" customHeight="1"/>
    <row r="1445" ht="17.100000000000001" customHeight="1"/>
    <row r="1446" ht="17.100000000000001" customHeight="1"/>
    <row r="1447" ht="17.100000000000001" customHeight="1"/>
    <row r="1448" ht="17.100000000000001" customHeight="1"/>
    <row r="1449" ht="17.100000000000001" customHeight="1"/>
    <row r="1450" ht="17.100000000000001" customHeight="1"/>
    <row r="1451" ht="17.100000000000001" customHeight="1"/>
    <row r="1452" ht="17.100000000000001" customHeight="1"/>
    <row r="1453" ht="17.100000000000001" customHeight="1"/>
    <row r="1454" ht="17.100000000000001" customHeight="1"/>
    <row r="1455" ht="17.100000000000001" customHeight="1"/>
    <row r="1456" ht="17.100000000000001" customHeight="1"/>
    <row r="1457" ht="17.100000000000001" customHeight="1"/>
    <row r="1458" ht="17.100000000000001" customHeight="1"/>
    <row r="1459" ht="17.100000000000001" customHeight="1"/>
    <row r="1460" ht="17.100000000000001" customHeight="1"/>
    <row r="1461" ht="17.100000000000001" customHeight="1"/>
    <row r="1462" ht="17.100000000000001" customHeight="1"/>
    <row r="1463" ht="17.100000000000001" customHeight="1"/>
  </sheetData>
  <mergeCells count="3143">
    <mergeCell ref="A14:A15"/>
    <mergeCell ref="E14:E15"/>
    <mergeCell ref="H14:H15"/>
    <mergeCell ref="N14:N15"/>
    <mergeCell ref="O14:O15"/>
    <mergeCell ref="Y14:Y15"/>
    <mergeCell ref="Z14:Z15"/>
    <mergeCell ref="AA14:AA15"/>
    <mergeCell ref="AB14:AB15"/>
    <mergeCell ref="AC14:AC15"/>
    <mergeCell ref="E9:F9"/>
    <mergeCell ref="A10:A11"/>
    <mergeCell ref="E10:E11"/>
    <mergeCell ref="H10:H11"/>
    <mergeCell ref="N10:N11"/>
    <mergeCell ref="O10:O11"/>
    <mergeCell ref="Y10:Y11"/>
    <mergeCell ref="Z10:Z11"/>
    <mergeCell ref="AA10:AA11"/>
    <mergeCell ref="AB10:AB11"/>
    <mergeCell ref="AC10:AC11"/>
    <mergeCell ref="A12:A13"/>
    <mergeCell ref="E12:E13"/>
    <mergeCell ref="H12:H13"/>
    <mergeCell ref="N12:N13"/>
    <mergeCell ref="O12:O13"/>
    <mergeCell ref="Y12:Y13"/>
    <mergeCell ref="Z12:Z13"/>
    <mergeCell ref="AA12:AA13"/>
    <mergeCell ref="AB12:AB13"/>
    <mergeCell ref="AC12:AC13"/>
    <mergeCell ref="Y18:Y19"/>
    <mergeCell ref="Z18:Z19"/>
    <mergeCell ref="AA18:AA19"/>
    <mergeCell ref="AB18:AB19"/>
    <mergeCell ref="AC18:AC19"/>
    <mergeCell ref="A18:A19"/>
    <mergeCell ref="E18:E19"/>
    <mergeCell ref="H18:H19"/>
    <mergeCell ref="N18:N19"/>
    <mergeCell ref="O18:O19"/>
    <mergeCell ref="A16:A17"/>
    <mergeCell ref="E16:E17"/>
    <mergeCell ref="H16:H17"/>
    <mergeCell ref="N16:N17"/>
    <mergeCell ref="O16:O17"/>
    <mergeCell ref="Y16:Y17"/>
    <mergeCell ref="Z16:Z17"/>
    <mergeCell ref="AA16:AA17"/>
    <mergeCell ref="AB16:AB17"/>
    <mergeCell ref="AC16:AC17"/>
    <mergeCell ref="Y22:Y23"/>
    <mergeCell ref="Z22:Z23"/>
    <mergeCell ref="AA22:AA23"/>
    <mergeCell ref="AB22:AB23"/>
    <mergeCell ref="AC22:AC23"/>
    <mergeCell ref="A22:A23"/>
    <mergeCell ref="E22:E23"/>
    <mergeCell ref="H22:H23"/>
    <mergeCell ref="N22:N23"/>
    <mergeCell ref="O22:O23"/>
    <mergeCell ref="Y20:Y21"/>
    <mergeCell ref="Z20:Z21"/>
    <mergeCell ref="AA20:AA21"/>
    <mergeCell ref="AB20:AB21"/>
    <mergeCell ref="AC20:AC21"/>
    <mergeCell ref="A20:A21"/>
    <mergeCell ref="E20:E21"/>
    <mergeCell ref="H20:H21"/>
    <mergeCell ref="N20:N21"/>
    <mergeCell ref="O20:O21"/>
    <mergeCell ref="L21:M21"/>
    <mergeCell ref="Y26:Y27"/>
    <mergeCell ref="Z26:Z27"/>
    <mergeCell ref="AA26:AA27"/>
    <mergeCell ref="AB26:AB27"/>
    <mergeCell ref="AC26:AC27"/>
    <mergeCell ref="A26:A27"/>
    <mergeCell ref="E26:E27"/>
    <mergeCell ref="H26:H27"/>
    <mergeCell ref="N26:N27"/>
    <mergeCell ref="O26:O27"/>
    <mergeCell ref="Y24:Y25"/>
    <mergeCell ref="Z24:Z25"/>
    <mergeCell ref="AA24:AA25"/>
    <mergeCell ref="AB24:AB25"/>
    <mergeCell ref="AC24:AC25"/>
    <mergeCell ref="A24:A25"/>
    <mergeCell ref="E24:E25"/>
    <mergeCell ref="H24:H25"/>
    <mergeCell ref="N24:N25"/>
    <mergeCell ref="O24:O25"/>
    <mergeCell ref="Y30:Y31"/>
    <mergeCell ref="Z30:Z31"/>
    <mergeCell ref="AA30:AA31"/>
    <mergeCell ref="AB30:AB31"/>
    <mergeCell ref="AC30:AC31"/>
    <mergeCell ref="A30:A31"/>
    <mergeCell ref="E30:E31"/>
    <mergeCell ref="H30:H31"/>
    <mergeCell ref="N30:N31"/>
    <mergeCell ref="O30:O31"/>
    <mergeCell ref="Y28:Y29"/>
    <mergeCell ref="Z28:Z29"/>
    <mergeCell ref="AA28:AA29"/>
    <mergeCell ref="AB28:AB29"/>
    <mergeCell ref="AC28:AC29"/>
    <mergeCell ref="A28:A29"/>
    <mergeCell ref="E28:E29"/>
    <mergeCell ref="H28:H29"/>
    <mergeCell ref="N28:N29"/>
    <mergeCell ref="O28:O29"/>
    <mergeCell ref="Y34:Y35"/>
    <mergeCell ref="Z34:Z35"/>
    <mergeCell ref="AA34:AA35"/>
    <mergeCell ref="AB34:AB35"/>
    <mergeCell ref="AC34:AC35"/>
    <mergeCell ref="A34:A35"/>
    <mergeCell ref="E34:E35"/>
    <mergeCell ref="H34:H35"/>
    <mergeCell ref="N34:N35"/>
    <mergeCell ref="O34:O35"/>
    <mergeCell ref="Y32:Y33"/>
    <mergeCell ref="Z32:Z33"/>
    <mergeCell ref="AA32:AA33"/>
    <mergeCell ref="AB32:AB33"/>
    <mergeCell ref="AC32:AC33"/>
    <mergeCell ref="A32:A33"/>
    <mergeCell ref="E32:E33"/>
    <mergeCell ref="H32:H33"/>
    <mergeCell ref="N32:N33"/>
    <mergeCell ref="O32:O33"/>
    <mergeCell ref="Y38:Y39"/>
    <mergeCell ref="Z38:Z39"/>
    <mergeCell ref="AA38:AA39"/>
    <mergeCell ref="AB38:AB39"/>
    <mergeCell ref="AC38:AC39"/>
    <mergeCell ref="A38:A39"/>
    <mergeCell ref="E38:E39"/>
    <mergeCell ref="H38:H39"/>
    <mergeCell ref="N38:N39"/>
    <mergeCell ref="O38:O39"/>
    <mergeCell ref="I39:J39"/>
    <mergeCell ref="Y36:Y37"/>
    <mergeCell ref="Z36:Z37"/>
    <mergeCell ref="AA36:AA37"/>
    <mergeCell ref="AB36:AB37"/>
    <mergeCell ref="AC36:AC37"/>
    <mergeCell ref="A36:A37"/>
    <mergeCell ref="E36:E37"/>
    <mergeCell ref="H36:H37"/>
    <mergeCell ref="N36:N37"/>
    <mergeCell ref="O36:O37"/>
    <mergeCell ref="Y42:Y43"/>
    <mergeCell ref="Z42:Z43"/>
    <mergeCell ref="AA42:AA43"/>
    <mergeCell ref="AB42:AB43"/>
    <mergeCell ref="AC42:AC43"/>
    <mergeCell ref="A42:A43"/>
    <mergeCell ref="E42:E43"/>
    <mergeCell ref="H42:H43"/>
    <mergeCell ref="N42:N43"/>
    <mergeCell ref="O42:O43"/>
    <mergeCell ref="Y40:Y41"/>
    <mergeCell ref="Z40:Z41"/>
    <mergeCell ref="AA40:AA41"/>
    <mergeCell ref="AB40:AB41"/>
    <mergeCell ref="AC40:AC41"/>
    <mergeCell ref="A40:A41"/>
    <mergeCell ref="E40:E41"/>
    <mergeCell ref="H40:H41"/>
    <mergeCell ref="N40:N41"/>
    <mergeCell ref="O40:O41"/>
    <mergeCell ref="Y46:Y47"/>
    <mergeCell ref="Z46:Z47"/>
    <mergeCell ref="AA46:AA47"/>
    <mergeCell ref="AB46:AB47"/>
    <mergeCell ref="AC46:AC47"/>
    <mergeCell ref="K46:K47"/>
    <mergeCell ref="L46:L47"/>
    <mergeCell ref="M46:M47"/>
    <mergeCell ref="N46:N47"/>
    <mergeCell ref="O46:O47"/>
    <mergeCell ref="A46:A47"/>
    <mergeCell ref="E46:E47"/>
    <mergeCell ref="H46:H47"/>
    <mergeCell ref="I46:I47"/>
    <mergeCell ref="J46:J47"/>
    <mergeCell ref="Y44:Y45"/>
    <mergeCell ref="Z44:Z45"/>
    <mergeCell ref="AA44:AA45"/>
    <mergeCell ref="AB44:AB45"/>
    <mergeCell ref="AC44:AC45"/>
    <mergeCell ref="K44:K45"/>
    <mergeCell ref="L44:L45"/>
    <mergeCell ref="M44:M45"/>
    <mergeCell ref="N44:N45"/>
    <mergeCell ref="O44:O45"/>
    <mergeCell ref="A44:A45"/>
    <mergeCell ref="E44:E45"/>
    <mergeCell ref="H44:H45"/>
    <mergeCell ref="I44:I45"/>
    <mergeCell ref="J44:J45"/>
    <mergeCell ref="Y50:Y51"/>
    <mergeCell ref="Z50:Z51"/>
    <mergeCell ref="AA50:AA51"/>
    <mergeCell ref="AB50:AB51"/>
    <mergeCell ref="AC50:AC51"/>
    <mergeCell ref="K50:K51"/>
    <mergeCell ref="L50:L51"/>
    <mergeCell ref="M50:M51"/>
    <mergeCell ref="N50:N51"/>
    <mergeCell ref="O50:O51"/>
    <mergeCell ref="A50:A51"/>
    <mergeCell ref="E50:E51"/>
    <mergeCell ref="H50:H51"/>
    <mergeCell ref="I50:I51"/>
    <mergeCell ref="J50:J51"/>
    <mergeCell ref="Y48:Y49"/>
    <mergeCell ref="Z48:Z49"/>
    <mergeCell ref="AA48:AA49"/>
    <mergeCell ref="AB48:AB49"/>
    <mergeCell ref="AC48:AC49"/>
    <mergeCell ref="K48:K49"/>
    <mergeCell ref="L48:L49"/>
    <mergeCell ref="M48:M49"/>
    <mergeCell ref="N48:N49"/>
    <mergeCell ref="O48:O49"/>
    <mergeCell ref="A48:A49"/>
    <mergeCell ref="E48:E49"/>
    <mergeCell ref="H48:H49"/>
    <mergeCell ref="I48:I49"/>
    <mergeCell ref="J48:J49"/>
    <mergeCell ref="Y54:Y55"/>
    <mergeCell ref="Z54:Z55"/>
    <mergeCell ref="AA54:AA55"/>
    <mergeCell ref="AB54:AB55"/>
    <mergeCell ref="AC54:AC55"/>
    <mergeCell ref="K54:K55"/>
    <mergeCell ref="L54:L55"/>
    <mergeCell ref="M54:M55"/>
    <mergeCell ref="N54:N55"/>
    <mergeCell ref="O54:O55"/>
    <mergeCell ref="A54:A55"/>
    <mergeCell ref="E54:E55"/>
    <mergeCell ref="H54:H55"/>
    <mergeCell ref="I54:I55"/>
    <mergeCell ref="J54:J55"/>
    <mergeCell ref="Y52:Y53"/>
    <mergeCell ref="Z52:Z53"/>
    <mergeCell ref="AA52:AA53"/>
    <mergeCell ref="AB52:AB53"/>
    <mergeCell ref="AC52:AC53"/>
    <mergeCell ref="K52:K53"/>
    <mergeCell ref="L52:L53"/>
    <mergeCell ref="M52:M53"/>
    <mergeCell ref="N52:N53"/>
    <mergeCell ref="O52:O53"/>
    <mergeCell ref="A52:A53"/>
    <mergeCell ref="E52:E53"/>
    <mergeCell ref="H52:H53"/>
    <mergeCell ref="I52:I53"/>
    <mergeCell ref="J52:J53"/>
    <mergeCell ref="Y58:Y59"/>
    <mergeCell ref="Z58:Z59"/>
    <mergeCell ref="AA58:AA59"/>
    <mergeCell ref="AB58:AB59"/>
    <mergeCell ref="AC58:AC59"/>
    <mergeCell ref="K58:K59"/>
    <mergeCell ref="L58:L59"/>
    <mergeCell ref="M58:M59"/>
    <mergeCell ref="N58:N59"/>
    <mergeCell ref="O58:O59"/>
    <mergeCell ref="A58:A59"/>
    <mergeCell ref="E58:E59"/>
    <mergeCell ref="H58:H59"/>
    <mergeCell ref="I58:I59"/>
    <mergeCell ref="J58:J59"/>
    <mergeCell ref="Y56:Y57"/>
    <mergeCell ref="Z56:Z57"/>
    <mergeCell ref="AA56:AA57"/>
    <mergeCell ref="AB56:AB57"/>
    <mergeCell ref="AC56:AC57"/>
    <mergeCell ref="K56:K57"/>
    <mergeCell ref="L56:L57"/>
    <mergeCell ref="M56:M57"/>
    <mergeCell ref="N56:N57"/>
    <mergeCell ref="O56:O57"/>
    <mergeCell ref="A56:A57"/>
    <mergeCell ref="E56:E57"/>
    <mergeCell ref="H56:H57"/>
    <mergeCell ref="I56:I57"/>
    <mergeCell ref="J56:J57"/>
    <mergeCell ref="Y62:Y63"/>
    <mergeCell ref="Z62:Z63"/>
    <mergeCell ref="AA62:AA63"/>
    <mergeCell ref="AB62:AB63"/>
    <mergeCell ref="AC62:AC63"/>
    <mergeCell ref="K62:K63"/>
    <mergeCell ref="L62:L63"/>
    <mergeCell ref="M62:M63"/>
    <mergeCell ref="N62:N63"/>
    <mergeCell ref="O62:O63"/>
    <mergeCell ref="A62:A63"/>
    <mergeCell ref="E62:E63"/>
    <mergeCell ref="H62:H63"/>
    <mergeCell ref="I62:I63"/>
    <mergeCell ref="J62:J63"/>
    <mergeCell ref="Y60:Y61"/>
    <mergeCell ref="Z60:Z61"/>
    <mergeCell ref="AA60:AA61"/>
    <mergeCell ref="AB60:AB61"/>
    <mergeCell ref="AC60:AC61"/>
    <mergeCell ref="K60:K61"/>
    <mergeCell ref="L60:L61"/>
    <mergeCell ref="M60:M61"/>
    <mergeCell ref="N60:N61"/>
    <mergeCell ref="O60:O61"/>
    <mergeCell ref="A60:A61"/>
    <mergeCell ref="E60:E61"/>
    <mergeCell ref="H60:H61"/>
    <mergeCell ref="I60:I61"/>
    <mergeCell ref="J60:J61"/>
    <mergeCell ref="Y66:Y67"/>
    <mergeCell ref="Z66:Z67"/>
    <mergeCell ref="AA66:AA67"/>
    <mergeCell ref="AB66:AB67"/>
    <mergeCell ref="AC66:AC67"/>
    <mergeCell ref="K66:K67"/>
    <mergeCell ref="L66:L67"/>
    <mergeCell ref="M66:M67"/>
    <mergeCell ref="N66:N67"/>
    <mergeCell ref="O66:O67"/>
    <mergeCell ref="A66:A67"/>
    <mergeCell ref="E66:E67"/>
    <mergeCell ref="H66:H67"/>
    <mergeCell ref="I66:I67"/>
    <mergeCell ref="J66:J67"/>
    <mergeCell ref="Y64:Y65"/>
    <mergeCell ref="Z64:Z65"/>
    <mergeCell ref="AA64:AA65"/>
    <mergeCell ref="AB64:AB65"/>
    <mergeCell ref="AC64:AC65"/>
    <mergeCell ref="K64:K65"/>
    <mergeCell ref="L64:L65"/>
    <mergeCell ref="M64:M65"/>
    <mergeCell ref="N64:N65"/>
    <mergeCell ref="O64:O65"/>
    <mergeCell ref="A64:A65"/>
    <mergeCell ref="E64:E65"/>
    <mergeCell ref="H64:H65"/>
    <mergeCell ref="I64:I65"/>
    <mergeCell ref="J64:J65"/>
    <mergeCell ref="Y70:Y71"/>
    <mergeCell ref="Z70:Z71"/>
    <mergeCell ref="AA70:AA71"/>
    <mergeCell ref="AB70:AB71"/>
    <mergeCell ref="AC70:AC71"/>
    <mergeCell ref="K70:K71"/>
    <mergeCell ref="L70:L71"/>
    <mergeCell ref="M70:M71"/>
    <mergeCell ref="N70:N71"/>
    <mergeCell ref="O70:O71"/>
    <mergeCell ref="A70:A71"/>
    <mergeCell ref="E70:E71"/>
    <mergeCell ref="H70:H71"/>
    <mergeCell ref="I70:I71"/>
    <mergeCell ref="J70:J71"/>
    <mergeCell ref="Y68:Y69"/>
    <mergeCell ref="Z68:Z69"/>
    <mergeCell ref="AA68:AA69"/>
    <mergeCell ref="AB68:AB69"/>
    <mergeCell ref="AC68:AC69"/>
    <mergeCell ref="K68:K69"/>
    <mergeCell ref="L68:L69"/>
    <mergeCell ref="M68:M69"/>
    <mergeCell ref="N68:N69"/>
    <mergeCell ref="O68:O69"/>
    <mergeCell ref="A68:A69"/>
    <mergeCell ref="E68:E69"/>
    <mergeCell ref="H68:H69"/>
    <mergeCell ref="I68:I69"/>
    <mergeCell ref="J68:J69"/>
    <mergeCell ref="Y74:Y75"/>
    <mergeCell ref="Z74:Z75"/>
    <mergeCell ref="AA74:AA75"/>
    <mergeCell ref="AB74:AB75"/>
    <mergeCell ref="AC74:AC75"/>
    <mergeCell ref="K74:K75"/>
    <mergeCell ref="L74:L75"/>
    <mergeCell ref="M74:M75"/>
    <mergeCell ref="N74:N75"/>
    <mergeCell ref="O74:O75"/>
    <mergeCell ref="A74:A75"/>
    <mergeCell ref="E74:E75"/>
    <mergeCell ref="H74:H75"/>
    <mergeCell ref="I74:I75"/>
    <mergeCell ref="J74:J75"/>
    <mergeCell ref="Y72:Y73"/>
    <mergeCell ref="Z72:Z73"/>
    <mergeCell ref="AA72:AA73"/>
    <mergeCell ref="AB72:AB73"/>
    <mergeCell ref="AC72:AC73"/>
    <mergeCell ref="K72:K73"/>
    <mergeCell ref="L72:L73"/>
    <mergeCell ref="M72:M73"/>
    <mergeCell ref="N72:N73"/>
    <mergeCell ref="O72:O73"/>
    <mergeCell ref="A72:A73"/>
    <mergeCell ref="E72:E73"/>
    <mergeCell ref="H72:H73"/>
    <mergeCell ref="I72:I73"/>
    <mergeCell ref="J72:J73"/>
    <mergeCell ref="Y78:Y79"/>
    <mergeCell ref="Z78:Z79"/>
    <mergeCell ref="AA78:AA79"/>
    <mergeCell ref="AB78:AB79"/>
    <mergeCell ref="AC78:AC79"/>
    <mergeCell ref="K78:K79"/>
    <mergeCell ref="L78:L79"/>
    <mergeCell ref="M78:M79"/>
    <mergeCell ref="N78:N79"/>
    <mergeCell ref="O78:O79"/>
    <mergeCell ref="A78:A79"/>
    <mergeCell ref="E78:E79"/>
    <mergeCell ref="H78:H79"/>
    <mergeCell ref="I78:I79"/>
    <mergeCell ref="J78:J79"/>
    <mergeCell ref="Y76:Y77"/>
    <mergeCell ref="Z76:Z77"/>
    <mergeCell ref="AA76:AA77"/>
    <mergeCell ref="AB76:AB77"/>
    <mergeCell ref="AC76:AC77"/>
    <mergeCell ref="K76:K77"/>
    <mergeCell ref="L76:L77"/>
    <mergeCell ref="M76:M77"/>
    <mergeCell ref="N76:N77"/>
    <mergeCell ref="O76:O77"/>
    <mergeCell ref="A76:A77"/>
    <mergeCell ref="E76:E77"/>
    <mergeCell ref="H76:H77"/>
    <mergeCell ref="I76:I77"/>
    <mergeCell ref="J76:J77"/>
    <mergeCell ref="Y82:Y83"/>
    <mergeCell ref="Z82:Z83"/>
    <mergeCell ref="AA82:AA83"/>
    <mergeCell ref="AB82:AB83"/>
    <mergeCell ref="AC82:AC83"/>
    <mergeCell ref="K82:K83"/>
    <mergeCell ref="L82:L83"/>
    <mergeCell ref="M82:M83"/>
    <mergeCell ref="N82:N83"/>
    <mergeCell ref="O82:O83"/>
    <mergeCell ref="A82:A83"/>
    <mergeCell ref="E82:E83"/>
    <mergeCell ref="H82:H83"/>
    <mergeCell ref="I82:I83"/>
    <mergeCell ref="J82:J83"/>
    <mergeCell ref="Y80:Y81"/>
    <mergeCell ref="Z80:Z81"/>
    <mergeCell ref="AA80:AA81"/>
    <mergeCell ref="AB80:AB81"/>
    <mergeCell ref="AC80:AC81"/>
    <mergeCell ref="K80:K81"/>
    <mergeCell ref="L80:L81"/>
    <mergeCell ref="M80:M81"/>
    <mergeCell ref="N80:N81"/>
    <mergeCell ref="O80:O81"/>
    <mergeCell ref="A80:A81"/>
    <mergeCell ref="E80:E81"/>
    <mergeCell ref="H80:H81"/>
    <mergeCell ref="I80:I81"/>
    <mergeCell ref="J80:J81"/>
    <mergeCell ref="Y86:Y87"/>
    <mergeCell ref="Z86:Z87"/>
    <mergeCell ref="AA86:AA87"/>
    <mergeCell ref="AB86:AB87"/>
    <mergeCell ref="AC86:AC87"/>
    <mergeCell ref="K86:K87"/>
    <mergeCell ref="L86:L87"/>
    <mergeCell ref="M86:M87"/>
    <mergeCell ref="N86:N87"/>
    <mergeCell ref="O86:O87"/>
    <mergeCell ref="A86:A87"/>
    <mergeCell ref="E86:E87"/>
    <mergeCell ref="H86:H87"/>
    <mergeCell ref="I86:I87"/>
    <mergeCell ref="J86:J87"/>
    <mergeCell ref="Y84:Y85"/>
    <mergeCell ref="Z84:Z85"/>
    <mergeCell ref="AA84:AA85"/>
    <mergeCell ref="AB84:AB85"/>
    <mergeCell ref="AC84:AC85"/>
    <mergeCell ref="K84:K85"/>
    <mergeCell ref="L84:L85"/>
    <mergeCell ref="M84:M85"/>
    <mergeCell ref="N84:N85"/>
    <mergeCell ref="O84:O85"/>
    <mergeCell ref="A84:A85"/>
    <mergeCell ref="E84:E85"/>
    <mergeCell ref="H84:H85"/>
    <mergeCell ref="I84:I85"/>
    <mergeCell ref="J84:J85"/>
    <mergeCell ref="Y90:Y91"/>
    <mergeCell ref="Z90:Z91"/>
    <mergeCell ref="AA90:AA91"/>
    <mergeCell ref="AB90:AB91"/>
    <mergeCell ref="AC90:AC91"/>
    <mergeCell ref="K90:K91"/>
    <mergeCell ref="L90:L91"/>
    <mergeCell ref="M90:M91"/>
    <mergeCell ref="N90:N91"/>
    <mergeCell ref="O90:O91"/>
    <mergeCell ref="A90:A91"/>
    <mergeCell ref="E90:E91"/>
    <mergeCell ref="H90:H91"/>
    <mergeCell ref="I90:I91"/>
    <mergeCell ref="J90:J91"/>
    <mergeCell ref="Y88:Y89"/>
    <mergeCell ref="Z88:Z89"/>
    <mergeCell ref="AA88:AA89"/>
    <mergeCell ref="AB88:AB89"/>
    <mergeCell ref="AC88:AC89"/>
    <mergeCell ref="K88:K89"/>
    <mergeCell ref="L88:L89"/>
    <mergeCell ref="M88:M89"/>
    <mergeCell ref="N88:N89"/>
    <mergeCell ref="O88:O89"/>
    <mergeCell ref="A88:A89"/>
    <mergeCell ref="E88:E89"/>
    <mergeCell ref="H88:H89"/>
    <mergeCell ref="I88:I89"/>
    <mergeCell ref="J88:J89"/>
    <mergeCell ref="Y94:Y95"/>
    <mergeCell ref="Z94:Z95"/>
    <mergeCell ref="AA94:AA95"/>
    <mergeCell ref="AB94:AB95"/>
    <mergeCell ref="AC94:AC95"/>
    <mergeCell ref="K94:K95"/>
    <mergeCell ref="L94:L95"/>
    <mergeCell ref="M94:M95"/>
    <mergeCell ref="N94:N95"/>
    <mergeCell ref="O94:O95"/>
    <mergeCell ref="A94:A95"/>
    <mergeCell ref="E94:E95"/>
    <mergeCell ref="H94:H95"/>
    <mergeCell ref="I94:I95"/>
    <mergeCell ref="J94:J95"/>
    <mergeCell ref="Y92:Y93"/>
    <mergeCell ref="Z92:Z93"/>
    <mergeCell ref="AA92:AA93"/>
    <mergeCell ref="AB92:AB93"/>
    <mergeCell ref="AC92:AC93"/>
    <mergeCell ref="K92:K93"/>
    <mergeCell ref="L92:L93"/>
    <mergeCell ref="M92:M93"/>
    <mergeCell ref="N92:N93"/>
    <mergeCell ref="O92:O93"/>
    <mergeCell ref="A92:A93"/>
    <mergeCell ref="E92:E93"/>
    <mergeCell ref="H92:H93"/>
    <mergeCell ref="I92:I93"/>
    <mergeCell ref="J92:J93"/>
    <mergeCell ref="Y98:Y99"/>
    <mergeCell ref="Z98:Z99"/>
    <mergeCell ref="AA98:AA99"/>
    <mergeCell ref="AB98:AB99"/>
    <mergeCell ref="AC98:AC99"/>
    <mergeCell ref="K98:K99"/>
    <mergeCell ref="L98:L99"/>
    <mergeCell ref="M98:M99"/>
    <mergeCell ref="N98:N99"/>
    <mergeCell ref="O98:O99"/>
    <mergeCell ref="A98:A99"/>
    <mergeCell ref="E98:E99"/>
    <mergeCell ref="H98:H99"/>
    <mergeCell ref="I98:I99"/>
    <mergeCell ref="J98:J99"/>
    <mergeCell ref="Y96:Y97"/>
    <mergeCell ref="Z96:Z97"/>
    <mergeCell ref="AA96:AA97"/>
    <mergeCell ref="AB96:AB97"/>
    <mergeCell ref="AC96:AC97"/>
    <mergeCell ref="K96:K97"/>
    <mergeCell ref="L96:L97"/>
    <mergeCell ref="M96:M97"/>
    <mergeCell ref="N96:N97"/>
    <mergeCell ref="O96:O97"/>
    <mergeCell ref="A96:A97"/>
    <mergeCell ref="E96:E97"/>
    <mergeCell ref="H96:H97"/>
    <mergeCell ref="I96:I97"/>
    <mergeCell ref="J96:J97"/>
    <mergeCell ref="Y102:Y103"/>
    <mergeCell ref="Z102:Z103"/>
    <mergeCell ref="AA102:AA103"/>
    <mergeCell ref="AB102:AB103"/>
    <mergeCell ref="AC102:AC103"/>
    <mergeCell ref="K102:K103"/>
    <mergeCell ref="L102:L103"/>
    <mergeCell ref="M102:M103"/>
    <mergeCell ref="N102:N103"/>
    <mergeCell ref="O102:O103"/>
    <mergeCell ref="A102:A103"/>
    <mergeCell ref="E102:E103"/>
    <mergeCell ref="H102:H103"/>
    <mergeCell ref="I102:I103"/>
    <mergeCell ref="J102:J103"/>
    <mergeCell ref="Y100:Y101"/>
    <mergeCell ref="Z100:Z101"/>
    <mergeCell ref="AA100:AA101"/>
    <mergeCell ref="AB100:AB101"/>
    <mergeCell ref="AC100:AC101"/>
    <mergeCell ref="K100:K101"/>
    <mergeCell ref="L100:L101"/>
    <mergeCell ref="M100:M101"/>
    <mergeCell ref="N100:N101"/>
    <mergeCell ref="O100:O101"/>
    <mergeCell ref="A100:A101"/>
    <mergeCell ref="E100:E101"/>
    <mergeCell ref="H100:H101"/>
    <mergeCell ref="I100:I101"/>
    <mergeCell ref="J100:J101"/>
    <mergeCell ref="Y106:Y107"/>
    <mergeCell ref="Z106:Z107"/>
    <mergeCell ref="AA106:AA107"/>
    <mergeCell ref="AB106:AB107"/>
    <mergeCell ref="AC106:AC107"/>
    <mergeCell ref="K106:K107"/>
    <mergeCell ref="L106:L107"/>
    <mergeCell ref="M106:M107"/>
    <mergeCell ref="N106:N107"/>
    <mergeCell ref="O106:O107"/>
    <mergeCell ref="A106:A107"/>
    <mergeCell ref="E106:E107"/>
    <mergeCell ref="H106:H107"/>
    <mergeCell ref="I106:I107"/>
    <mergeCell ref="J106:J107"/>
    <mergeCell ref="Y104:Y105"/>
    <mergeCell ref="Z104:Z105"/>
    <mergeCell ref="AA104:AA105"/>
    <mergeCell ref="AB104:AB105"/>
    <mergeCell ref="AC104:AC105"/>
    <mergeCell ref="K104:K105"/>
    <mergeCell ref="L104:L105"/>
    <mergeCell ref="M104:M105"/>
    <mergeCell ref="N104:N105"/>
    <mergeCell ref="O104:O105"/>
    <mergeCell ref="A104:A105"/>
    <mergeCell ref="E104:E105"/>
    <mergeCell ref="H104:H105"/>
    <mergeCell ref="I104:I105"/>
    <mergeCell ref="J104:J105"/>
    <mergeCell ref="Y110:Y111"/>
    <mergeCell ref="Z110:Z111"/>
    <mergeCell ref="AA110:AA111"/>
    <mergeCell ref="AB110:AB111"/>
    <mergeCell ref="AC110:AC111"/>
    <mergeCell ref="K110:K111"/>
    <mergeCell ref="L110:L111"/>
    <mergeCell ref="M110:M111"/>
    <mergeCell ref="N110:N111"/>
    <mergeCell ref="O110:O111"/>
    <mergeCell ref="A110:A111"/>
    <mergeCell ref="E110:E111"/>
    <mergeCell ref="H110:H111"/>
    <mergeCell ref="I110:I111"/>
    <mergeCell ref="J110:J111"/>
    <mergeCell ref="Y108:Y109"/>
    <mergeCell ref="Z108:Z109"/>
    <mergeCell ref="AA108:AA109"/>
    <mergeCell ref="AB108:AB109"/>
    <mergeCell ref="AC108:AC109"/>
    <mergeCell ref="K108:K109"/>
    <mergeCell ref="L108:L109"/>
    <mergeCell ref="M108:M109"/>
    <mergeCell ref="N108:N109"/>
    <mergeCell ref="O108:O109"/>
    <mergeCell ref="A108:A109"/>
    <mergeCell ref="E108:E109"/>
    <mergeCell ref="H108:H109"/>
    <mergeCell ref="I108:I109"/>
    <mergeCell ref="J108:J109"/>
    <mergeCell ref="Y114:Y115"/>
    <mergeCell ref="Z114:Z115"/>
    <mergeCell ref="AA114:AA115"/>
    <mergeCell ref="AB114:AB115"/>
    <mergeCell ref="AC114:AC115"/>
    <mergeCell ref="K114:K115"/>
    <mergeCell ref="L114:L115"/>
    <mergeCell ref="M114:M115"/>
    <mergeCell ref="N114:N115"/>
    <mergeCell ref="O114:O115"/>
    <mergeCell ref="A114:A115"/>
    <mergeCell ref="E114:E115"/>
    <mergeCell ref="H114:H115"/>
    <mergeCell ref="I114:I115"/>
    <mergeCell ref="J114:J115"/>
    <mergeCell ref="Y112:Y113"/>
    <mergeCell ref="Z112:Z113"/>
    <mergeCell ref="AA112:AA113"/>
    <mergeCell ref="AB112:AB113"/>
    <mergeCell ref="AC112:AC113"/>
    <mergeCell ref="K112:K113"/>
    <mergeCell ref="L112:L113"/>
    <mergeCell ref="M112:M113"/>
    <mergeCell ref="N112:N113"/>
    <mergeCell ref="O112:O113"/>
    <mergeCell ref="A112:A113"/>
    <mergeCell ref="E112:E113"/>
    <mergeCell ref="H112:H113"/>
    <mergeCell ref="I112:I113"/>
    <mergeCell ref="J112:J113"/>
    <mergeCell ref="Y118:Y119"/>
    <mergeCell ref="Z118:Z119"/>
    <mergeCell ref="AA118:AA119"/>
    <mergeCell ref="AB118:AB119"/>
    <mergeCell ref="AC118:AC119"/>
    <mergeCell ref="K118:K119"/>
    <mergeCell ref="L118:L119"/>
    <mergeCell ref="M118:M119"/>
    <mergeCell ref="N118:N119"/>
    <mergeCell ref="O118:O119"/>
    <mergeCell ref="A118:A119"/>
    <mergeCell ref="E118:E119"/>
    <mergeCell ref="H118:H119"/>
    <mergeCell ref="I118:I119"/>
    <mergeCell ref="J118:J119"/>
    <mergeCell ref="Y116:Y117"/>
    <mergeCell ref="Z116:Z117"/>
    <mergeCell ref="AA116:AA117"/>
    <mergeCell ref="AB116:AB117"/>
    <mergeCell ref="AC116:AC117"/>
    <mergeCell ref="K116:K117"/>
    <mergeCell ref="L116:L117"/>
    <mergeCell ref="M116:M117"/>
    <mergeCell ref="N116:N117"/>
    <mergeCell ref="O116:O117"/>
    <mergeCell ref="A116:A117"/>
    <mergeCell ref="E116:E117"/>
    <mergeCell ref="H116:H117"/>
    <mergeCell ref="I116:I117"/>
    <mergeCell ref="J116:J117"/>
    <mergeCell ref="Y122:Y123"/>
    <mergeCell ref="Z122:Z123"/>
    <mergeCell ref="AA122:AA123"/>
    <mergeCell ref="AB122:AB123"/>
    <mergeCell ref="AC122:AC123"/>
    <mergeCell ref="K122:K123"/>
    <mergeCell ref="L122:L123"/>
    <mergeCell ref="M122:M123"/>
    <mergeCell ref="N122:N123"/>
    <mergeCell ref="O122:O123"/>
    <mergeCell ref="A122:A123"/>
    <mergeCell ref="E122:E123"/>
    <mergeCell ref="H122:H123"/>
    <mergeCell ref="I122:I123"/>
    <mergeCell ref="J122:J123"/>
    <mergeCell ref="Y120:Y121"/>
    <mergeCell ref="Z120:Z121"/>
    <mergeCell ref="AA120:AA121"/>
    <mergeCell ref="AB120:AB121"/>
    <mergeCell ref="AC120:AC121"/>
    <mergeCell ref="K120:K121"/>
    <mergeCell ref="L120:L121"/>
    <mergeCell ref="M120:M121"/>
    <mergeCell ref="N120:N121"/>
    <mergeCell ref="O120:O121"/>
    <mergeCell ref="A120:A121"/>
    <mergeCell ref="E120:E121"/>
    <mergeCell ref="H120:H121"/>
    <mergeCell ref="I120:I121"/>
    <mergeCell ref="J120:J121"/>
    <mergeCell ref="Y126:Y127"/>
    <mergeCell ref="Z126:Z127"/>
    <mergeCell ref="AA126:AA127"/>
    <mergeCell ref="AB126:AB127"/>
    <mergeCell ref="AC126:AC127"/>
    <mergeCell ref="K126:K127"/>
    <mergeCell ref="L126:L127"/>
    <mergeCell ref="M126:M127"/>
    <mergeCell ref="N126:N127"/>
    <mergeCell ref="O126:O127"/>
    <mergeCell ref="A126:A127"/>
    <mergeCell ref="E126:E127"/>
    <mergeCell ref="H126:H127"/>
    <mergeCell ref="I126:I127"/>
    <mergeCell ref="J126:J127"/>
    <mergeCell ref="Y124:Y125"/>
    <mergeCell ref="Z124:Z125"/>
    <mergeCell ref="AA124:AA125"/>
    <mergeCell ref="AB124:AB125"/>
    <mergeCell ref="AC124:AC125"/>
    <mergeCell ref="K124:K125"/>
    <mergeCell ref="L124:L125"/>
    <mergeCell ref="M124:M125"/>
    <mergeCell ref="N124:N125"/>
    <mergeCell ref="O124:O125"/>
    <mergeCell ref="A124:A125"/>
    <mergeCell ref="E124:E125"/>
    <mergeCell ref="H124:H125"/>
    <mergeCell ref="I124:I125"/>
    <mergeCell ref="J124:J125"/>
    <mergeCell ref="Y130:Y131"/>
    <mergeCell ref="Z130:Z131"/>
    <mergeCell ref="AA130:AA131"/>
    <mergeCell ref="AB130:AB131"/>
    <mergeCell ref="AC130:AC131"/>
    <mergeCell ref="K130:K131"/>
    <mergeCell ref="L130:L131"/>
    <mergeCell ref="M130:M131"/>
    <mergeCell ref="N130:N131"/>
    <mergeCell ref="O130:O131"/>
    <mergeCell ref="A130:A131"/>
    <mergeCell ref="E130:E131"/>
    <mergeCell ref="H130:H131"/>
    <mergeCell ref="I130:I131"/>
    <mergeCell ref="J130:J131"/>
    <mergeCell ref="Y128:Y129"/>
    <mergeCell ref="Z128:Z129"/>
    <mergeCell ref="AA128:AA129"/>
    <mergeCell ref="AB128:AB129"/>
    <mergeCell ref="AC128:AC129"/>
    <mergeCell ref="K128:K129"/>
    <mergeCell ref="L128:L129"/>
    <mergeCell ref="M128:M129"/>
    <mergeCell ref="N128:N129"/>
    <mergeCell ref="O128:O129"/>
    <mergeCell ref="A128:A129"/>
    <mergeCell ref="E128:E129"/>
    <mergeCell ref="H128:H129"/>
    <mergeCell ref="I128:I129"/>
    <mergeCell ref="J128:J129"/>
    <mergeCell ref="Y134:Y135"/>
    <mergeCell ref="Z134:Z135"/>
    <mergeCell ref="AA134:AA135"/>
    <mergeCell ref="AB134:AB135"/>
    <mergeCell ref="AC134:AC135"/>
    <mergeCell ref="K134:K135"/>
    <mergeCell ref="L134:L135"/>
    <mergeCell ref="M134:M135"/>
    <mergeCell ref="N134:N135"/>
    <mergeCell ref="O134:O135"/>
    <mergeCell ref="A134:A135"/>
    <mergeCell ref="E134:E135"/>
    <mergeCell ref="H134:H135"/>
    <mergeCell ref="I134:I135"/>
    <mergeCell ref="J134:J135"/>
    <mergeCell ref="Y132:Y133"/>
    <mergeCell ref="Z132:Z133"/>
    <mergeCell ref="AA132:AA133"/>
    <mergeCell ref="AB132:AB133"/>
    <mergeCell ref="AC132:AC133"/>
    <mergeCell ref="K132:K133"/>
    <mergeCell ref="L132:L133"/>
    <mergeCell ref="M132:M133"/>
    <mergeCell ref="N132:N133"/>
    <mergeCell ref="O132:O133"/>
    <mergeCell ref="A132:A133"/>
    <mergeCell ref="E132:E133"/>
    <mergeCell ref="H132:H133"/>
    <mergeCell ref="I132:I133"/>
    <mergeCell ref="J132:J133"/>
    <mergeCell ref="Y138:Y139"/>
    <mergeCell ref="Z138:Z139"/>
    <mergeCell ref="AA138:AA139"/>
    <mergeCell ref="AB138:AB139"/>
    <mergeCell ref="AC138:AC139"/>
    <mergeCell ref="K138:K139"/>
    <mergeCell ref="L138:L139"/>
    <mergeCell ref="M138:M139"/>
    <mergeCell ref="N138:N139"/>
    <mergeCell ref="O138:O139"/>
    <mergeCell ref="A138:A139"/>
    <mergeCell ref="E138:E139"/>
    <mergeCell ref="H138:H139"/>
    <mergeCell ref="I138:I139"/>
    <mergeCell ref="J138:J139"/>
    <mergeCell ref="Y136:Y137"/>
    <mergeCell ref="Z136:Z137"/>
    <mergeCell ref="AA136:AA137"/>
    <mergeCell ref="AB136:AB137"/>
    <mergeCell ref="AC136:AC137"/>
    <mergeCell ref="K136:K137"/>
    <mergeCell ref="L136:L137"/>
    <mergeCell ref="M136:M137"/>
    <mergeCell ref="N136:N137"/>
    <mergeCell ref="O136:O137"/>
    <mergeCell ref="A136:A137"/>
    <mergeCell ref="E136:E137"/>
    <mergeCell ref="H136:H137"/>
    <mergeCell ref="I136:I137"/>
    <mergeCell ref="J136:J137"/>
    <mergeCell ref="Y142:Y143"/>
    <mergeCell ref="Z142:Z143"/>
    <mergeCell ref="AA142:AA143"/>
    <mergeCell ref="AB142:AB143"/>
    <mergeCell ref="AC142:AC143"/>
    <mergeCell ref="K142:K143"/>
    <mergeCell ref="L142:L143"/>
    <mergeCell ref="M142:M143"/>
    <mergeCell ref="N142:N143"/>
    <mergeCell ref="O142:O143"/>
    <mergeCell ref="A142:A143"/>
    <mergeCell ref="E142:E143"/>
    <mergeCell ref="H142:H143"/>
    <mergeCell ref="I142:I143"/>
    <mergeCell ref="J142:J143"/>
    <mergeCell ref="Y140:Y141"/>
    <mergeCell ref="Z140:Z141"/>
    <mergeCell ref="AA140:AA141"/>
    <mergeCell ref="AB140:AB141"/>
    <mergeCell ref="AC140:AC141"/>
    <mergeCell ref="K140:K141"/>
    <mergeCell ref="L140:L141"/>
    <mergeCell ref="M140:M141"/>
    <mergeCell ref="N140:N141"/>
    <mergeCell ref="O140:O141"/>
    <mergeCell ref="A140:A141"/>
    <mergeCell ref="E140:E141"/>
    <mergeCell ref="H140:H141"/>
    <mergeCell ref="I140:I141"/>
    <mergeCell ref="J140:J141"/>
    <mergeCell ref="Y146:Y147"/>
    <mergeCell ref="Z146:Z147"/>
    <mergeCell ref="AA146:AA147"/>
    <mergeCell ref="AB146:AB147"/>
    <mergeCell ref="AC146:AC147"/>
    <mergeCell ref="K146:K147"/>
    <mergeCell ref="L146:L147"/>
    <mergeCell ref="M146:M147"/>
    <mergeCell ref="N146:N147"/>
    <mergeCell ref="O146:O147"/>
    <mergeCell ref="A146:A147"/>
    <mergeCell ref="E146:E147"/>
    <mergeCell ref="H146:H147"/>
    <mergeCell ref="I146:I147"/>
    <mergeCell ref="J146:J147"/>
    <mergeCell ref="Y144:Y145"/>
    <mergeCell ref="Z144:Z145"/>
    <mergeCell ref="AA144:AA145"/>
    <mergeCell ref="AB144:AB145"/>
    <mergeCell ref="AC144:AC145"/>
    <mergeCell ref="K144:K145"/>
    <mergeCell ref="L144:L145"/>
    <mergeCell ref="M144:M145"/>
    <mergeCell ref="N144:N145"/>
    <mergeCell ref="O144:O145"/>
    <mergeCell ref="A144:A145"/>
    <mergeCell ref="E144:E145"/>
    <mergeCell ref="H144:H145"/>
    <mergeCell ref="I144:I145"/>
    <mergeCell ref="J144:J145"/>
    <mergeCell ref="Y150:Y151"/>
    <mergeCell ref="Z150:Z151"/>
    <mergeCell ref="AA150:AA151"/>
    <mergeCell ref="AB150:AB151"/>
    <mergeCell ref="AC150:AC151"/>
    <mergeCell ref="K150:K151"/>
    <mergeCell ref="L150:L151"/>
    <mergeCell ref="M150:M151"/>
    <mergeCell ref="N150:N151"/>
    <mergeCell ref="O150:O151"/>
    <mergeCell ref="A150:A151"/>
    <mergeCell ref="E150:E151"/>
    <mergeCell ref="H150:H151"/>
    <mergeCell ref="I150:I151"/>
    <mergeCell ref="J150:J151"/>
    <mergeCell ref="Y148:Y149"/>
    <mergeCell ref="Z148:Z149"/>
    <mergeCell ref="AA148:AA149"/>
    <mergeCell ref="AB148:AB149"/>
    <mergeCell ref="AC148:AC149"/>
    <mergeCell ref="K148:K149"/>
    <mergeCell ref="L148:L149"/>
    <mergeCell ref="M148:M149"/>
    <mergeCell ref="N148:N149"/>
    <mergeCell ref="O148:O149"/>
    <mergeCell ref="A148:A149"/>
    <mergeCell ref="E148:E149"/>
    <mergeCell ref="H148:H149"/>
    <mergeCell ref="I148:I149"/>
    <mergeCell ref="J148:J149"/>
    <mergeCell ref="Y154:Y155"/>
    <mergeCell ref="Z154:Z155"/>
    <mergeCell ref="AA154:AA155"/>
    <mergeCell ref="AB154:AB155"/>
    <mergeCell ref="AC154:AC155"/>
    <mergeCell ref="K154:K155"/>
    <mergeCell ref="L154:L155"/>
    <mergeCell ref="M154:M155"/>
    <mergeCell ref="N154:N155"/>
    <mergeCell ref="O154:O155"/>
    <mergeCell ref="A154:A155"/>
    <mergeCell ref="E154:E155"/>
    <mergeCell ref="H154:H155"/>
    <mergeCell ref="I154:I155"/>
    <mergeCell ref="J154:J155"/>
    <mergeCell ref="Y152:Y153"/>
    <mergeCell ref="Z152:Z153"/>
    <mergeCell ref="AA152:AA153"/>
    <mergeCell ref="AB152:AB153"/>
    <mergeCell ref="AC152:AC153"/>
    <mergeCell ref="K152:K153"/>
    <mergeCell ref="L152:L153"/>
    <mergeCell ref="M152:M153"/>
    <mergeCell ref="N152:N153"/>
    <mergeCell ref="O152:O153"/>
    <mergeCell ref="A152:A153"/>
    <mergeCell ref="E152:E153"/>
    <mergeCell ref="H152:H153"/>
    <mergeCell ref="I152:I153"/>
    <mergeCell ref="J152:J153"/>
    <mergeCell ref="Y158:Y159"/>
    <mergeCell ref="Z158:Z159"/>
    <mergeCell ref="AA158:AA159"/>
    <mergeCell ref="AB158:AB159"/>
    <mergeCell ref="AC158:AC159"/>
    <mergeCell ref="K158:K159"/>
    <mergeCell ref="L158:L159"/>
    <mergeCell ref="M158:M159"/>
    <mergeCell ref="N158:N159"/>
    <mergeCell ref="O158:O159"/>
    <mergeCell ref="A158:A159"/>
    <mergeCell ref="E158:E159"/>
    <mergeCell ref="H158:H159"/>
    <mergeCell ref="I158:I159"/>
    <mergeCell ref="J158:J159"/>
    <mergeCell ref="Y156:Y157"/>
    <mergeCell ref="Z156:Z157"/>
    <mergeCell ref="AA156:AA157"/>
    <mergeCell ref="AB156:AB157"/>
    <mergeCell ref="AC156:AC157"/>
    <mergeCell ref="K156:K157"/>
    <mergeCell ref="L156:L157"/>
    <mergeCell ref="M156:M157"/>
    <mergeCell ref="N156:N157"/>
    <mergeCell ref="O156:O157"/>
    <mergeCell ref="A156:A157"/>
    <mergeCell ref="E156:E157"/>
    <mergeCell ref="H156:H157"/>
    <mergeCell ref="I156:I157"/>
    <mergeCell ref="J156:J157"/>
    <mergeCell ref="Y162:Y163"/>
    <mergeCell ref="Z162:Z163"/>
    <mergeCell ref="AA162:AA163"/>
    <mergeCell ref="AB162:AB163"/>
    <mergeCell ref="AC162:AC163"/>
    <mergeCell ref="K162:K163"/>
    <mergeCell ref="L162:L163"/>
    <mergeCell ref="M162:M163"/>
    <mergeCell ref="N162:N163"/>
    <mergeCell ref="O162:O163"/>
    <mergeCell ref="A162:A163"/>
    <mergeCell ref="E162:E163"/>
    <mergeCell ref="H162:H163"/>
    <mergeCell ref="I162:I163"/>
    <mergeCell ref="J162:J163"/>
    <mergeCell ref="Y160:Y161"/>
    <mergeCell ref="Z160:Z161"/>
    <mergeCell ref="AA160:AA161"/>
    <mergeCell ref="AB160:AB161"/>
    <mergeCell ref="AC160:AC161"/>
    <mergeCell ref="K160:K161"/>
    <mergeCell ref="L160:L161"/>
    <mergeCell ref="M160:M161"/>
    <mergeCell ref="N160:N161"/>
    <mergeCell ref="O160:O161"/>
    <mergeCell ref="A160:A161"/>
    <mergeCell ref="E160:E161"/>
    <mergeCell ref="H160:H161"/>
    <mergeCell ref="I160:I161"/>
    <mergeCell ref="J160:J161"/>
    <mergeCell ref="Y166:Y167"/>
    <mergeCell ref="Z166:Z167"/>
    <mergeCell ref="AA166:AA167"/>
    <mergeCell ref="AB166:AB167"/>
    <mergeCell ref="AC166:AC167"/>
    <mergeCell ref="K166:K167"/>
    <mergeCell ref="L166:L167"/>
    <mergeCell ref="M166:M167"/>
    <mergeCell ref="N166:N167"/>
    <mergeCell ref="O166:O167"/>
    <mergeCell ref="A166:A167"/>
    <mergeCell ref="E166:E167"/>
    <mergeCell ref="H166:H167"/>
    <mergeCell ref="I166:I167"/>
    <mergeCell ref="J166:J167"/>
    <mergeCell ref="Y164:Y165"/>
    <mergeCell ref="Z164:Z165"/>
    <mergeCell ref="AA164:AA165"/>
    <mergeCell ref="AB164:AB165"/>
    <mergeCell ref="AC164:AC165"/>
    <mergeCell ref="K164:K165"/>
    <mergeCell ref="L164:L165"/>
    <mergeCell ref="M164:M165"/>
    <mergeCell ref="N164:N165"/>
    <mergeCell ref="O164:O165"/>
    <mergeCell ref="A164:A165"/>
    <mergeCell ref="E164:E165"/>
    <mergeCell ref="H164:H165"/>
    <mergeCell ref="I164:I165"/>
    <mergeCell ref="J164:J165"/>
    <mergeCell ref="Y170:Y171"/>
    <mergeCell ref="Z170:Z171"/>
    <mergeCell ref="AA170:AA171"/>
    <mergeCell ref="AB170:AB171"/>
    <mergeCell ref="AC170:AC171"/>
    <mergeCell ref="K170:K171"/>
    <mergeCell ref="L170:L171"/>
    <mergeCell ref="M170:M171"/>
    <mergeCell ref="N170:N171"/>
    <mergeCell ref="O170:O171"/>
    <mergeCell ref="A170:A171"/>
    <mergeCell ref="E170:E171"/>
    <mergeCell ref="H170:H171"/>
    <mergeCell ref="I170:I171"/>
    <mergeCell ref="J170:J171"/>
    <mergeCell ref="Y168:Y169"/>
    <mergeCell ref="Z168:Z169"/>
    <mergeCell ref="AA168:AA169"/>
    <mergeCell ref="AB168:AB169"/>
    <mergeCell ref="AC168:AC169"/>
    <mergeCell ref="K168:K169"/>
    <mergeCell ref="L168:L169"/>
    <mergeCell ref="M168:M169"/>
    <mergeCell ref="N168:N169"/>
    <mergeCell ref="O168:O169"/>
    <mergeCell ref="A168:A169"/>
    <mergeCell ref="E168:E169"/>
    <mergeCell ref="H168:H169"/>
    <mergeCell ref="I168:I169"/>
    <mergeCell ref="J168:J169"/>
    <mergeCell ref="Y174:Y175"/>
    <mergeCell ref="Z174:Z175"/>
    <mergeCell ref="AA174:AA175"/>
    <mergeCell ref="AB174:AB175"/>
    <mergeCell ref="AC174:AC175"/>
    <mergeCell ref="K174:K175"/>
    <mergeCell ref="L174:L175"/>
    <mergeCell ref="M174:M175"/>
    <mergeCell ref="N174:N175"/>
    <mergeCell ref="O174:O175"/>
    <mergeCell ref="A174:A175"/>
    <mergeCell ref="E174:E175"/>
    <mergeCell ref="H174:H175"/>
    <mergeCell ref="I174:I175"/>
    <mergeCell ref="J174:J175"/>
    <mergeCell ref="Y172:Y173"/>
    <mergeCell ref="Z172:Z173"/>
    <mergeCell ref="AA172:AA173"/>
    <mergeCell ref="AB172:AB173"/>
    <mergeCell ref="AC172:AC173"/>
    <mergeCell ref="K172:K173"/>
    <mergeCell ref="L172:L173"/>
    <mergeCell ref="M172:M173"/>
    <mergeCell ref="N172:N173"/>
    <mergeCell ref="O172:O173"/>
    <mergeCell ref="A172:A173"/>
    <mergeCell ref="E172:E173"/>
    <mergeCell ref="H172:H173"/>
    <mergeCell ref="I172:I173"/>
    <mergeCell ref="J172:J173"/>
    <mergeCell ref="Y178:Y179"/>
    <mergeCell ref="Z178:Z179"/>
    <mergeCell ref="AA178:AA179"/>
    <mergeCell ref="AB178:AB179"/>
    <mergeCell ref="AC178:AC179"/>
    <mergeCell ref="K178:K179"/>
    <mergeCell ref="L178:L179"/>
    <mergeCell ref="M178:M179"/>
    <mergeCell ref="N178:N179"/>
    <mergeCell ref="O178:O179"/>
    <mergeCell ref="A178:A179"/>
    <mergeCell ref="E178:E179"/>
    <mergeCell ref="H178:H179"/>
    <mergeCell ref="I178:I179"/>
    <mergeCell ref="J178:J179"/>
    <mergeCell ref="Y176:Y177"/>
    <mergeCell ref="Z176:Z177"/>
    <mergeCell ref="AA176:AA177"/>
    <mergeCell ref="AB176:AB177"/>
    <mergeCell ref="AC176:AC177"/>
    <mergeCell ref="K176:K177"/>
    <mergeCell ref="L176:L177"/>
    <mergeCell ref="M176:M177"/>
    <mergeCell ref="N176:N177"/>
    <mergeCell ref="O176:O177"/>
    <mergeCell ref="A176:A177"/>
    <mergeCell ref="E176:E177"/>
    <mergeCell ref="H176:H177"/>
    <mergeCell ref="I176:I177"/>
    <mergeCell ref="J176:J177"/>
    <mergeCell ref="Y182:Y183"/>
    <mergeCell ref="Z182:Z183"/>
    <mergeCell ref="AA182:AA183"/>
    <mergeCell ref="AB182:AB183"/>
    <mergeCell ref="AC182:AC183"/>
    <mergeCell ref="K182:K183"/>
    <mergeCell ref="L182:L183"/>
    <mergeCell ref="M182:M183"/>
    <mergeCell ref="N182:N183"/>
    <mergeCell ref="O182:O183"/>
    <mergeCell ref="A182:A183"/>
    <mergeCell ref="E182:E183"/>
    <mergeCell ref="H182:H183"/>
    <mergeCell ref="I182:I183"/>
    <mergeCell ref="J182:J183"/>
    <mergeCell ref="Y180:Y181"/>
    <mergeCell ref="Z180:Z181"/>
    <mergeCell ref="AA180:AA181"/>
    <mergeCell ref="AB180:AB181"/>
    <mergeCell ref="AC180:AC181"/>
    <mergeCell ref="K180:K181"/>
    <mergeCell ref="L180:L181"/>
    <mergeCell ref="M180:M181"/>
    <mergeCell ref="N180:N181"/>
    <mergeCell ref="O180:O181"/>
    <mergeCell ref="A180:A181"/>
    <mergeCell ref="E180:E181"/>
    <mergeCell ref="H180:H181"/>
    <mergeCell ref="I180:I181"/>
    <mergeCell ref="J180:J181"/>
    <mergeCell ref="Y186:Y187"/>
    <mergeCell ref="Z186:Z187"/>
    <mergeCell ref="AA186:AA187"/>
    <mergeCell ref="AB186:AB187"/>
    <mergeCell ref="AC186:AC187"/>
    <mergeCell ref="K186:K187"/>
    <mergeCell ref="L186:L187"/>
    <mergeCell ref="M186:M187"/>
    <mergeCell ref="N186:N187"/>
    <mergeCell ref="O186:O187"/>
    <mergeCell ref="A186:A187"/>
    <mergeCell ref="E186:E187"/>
    <mergeCell ref="H186:H187"/>
    <mergeCell ref="I186:I187"/>
    <mergeCell ref="J186:J187"/>
    <mergeCell ref="Y184:Y185"/>
    <mergeCell ref="Z184:Z185"/>
    <mergeCell ref="AA184:AA185"/>
    <mergeCell ref="AB184:AB185"/>
    <mergeCell ref="AC184:AC185"/>
    <mergeCell ref="K184:K185"/>
    <mergeCell ref="L184:L185"/>
    <mergeCell ref="M184:M185"/>
    <mergeCell ref="N184:N185"/>
    <mergeCell ref="O184:O185"/>
    <mergeCell ref="A184:A185"/>
    <mergeCell ref="E184:E185"/>
    <mergeCell ref="H184:H185"/>
    <mergeCell ref="I184:I185"/>
    <mergeCell ref="J184:J185"/>
    <mergeCell ref="Y190:Y191"/>
    <mergeCell ref="Z190:Z191"/>
    <mergeCell ref="AA190:AA191"/>
    <mergeCell ref="AB190:AB191"/>
    <mergeCell ref="AC190:AC191"/>
    <mergeCell ref="K190:K191"/>
    <mergeCell ref="L190:L191"/>
    <mergeCell ref="M190:M191"/>
    <mergeCell ref="N190:N191"/>
    <mergeCell ref="O190:O191"/>
    <mergeCell ref="A190:A191"/>
    <mergeCell ref="E190:E191"/>
    <mergeCell ref="H190:H191"/>
    <mergeCell ref="I190:I191"/>
    <mergeCell ref="J190:J191"/>
    <mergeCell ref="Y188:Y189"/>
    <mergeCell ref="Z188:Z189"/>
    <mergeCell ref="AA188:AA189"/>
    <mergeCell ref="AB188:AB189"/>
    <mergeCell ref="AC188:AC189"/>
    <mergeCell ref="K188:K189"/>
    <mergeCell ref="L188:L189"/>
    <mergeCell ref="M188:M189"/>
    <mergeCell ref="N188:N189"/>
    <mergeCell ref="O188:O189"/>
    <mergeCell ref="A188:A189"/>
    <mergeCell ref="E188:E189"/>
    <mergeCell ref="H188:H189"/>
    <mergeCell ref="I188:I189"/>
    <mergeCell ref="J188:J189"/>
    <mergeCell ref="Y194:Y195"/>
    <mergeCell ref="Z194:Z195"/>
    <mergeCell ref="AA194:AA195"/>
    <mergeCell ref="AB194:AB195"/>
    <mergeCell ref="AC194:AC195"/>
    <mergeCell ref="K194:K195"/>
    <mergeCell ref="L194:L195"/>
    <mergeCell ref="M194:M195"/>
    <mergeCell ref="N194:N195"/>
    <mergeCell ref="O194:O195"/>
    <mergeCell ref="A194:A195"/>
    <mergeCell ref="E194:E195"/>
    <mergeCell ref="H194:H195"/>
    <mergeCell ref="I194:I195"/>
    <mergeCell ref="J194:J195"/>
    <mergeCell ref="Y192:Y193"/>
    <mergeCell ref="Z192:Z193"/>
    <mergeCell ref="AA192:AA193"/>
    <mergeCell ref="AB192:AB193"/>
    <mergeCell ref="AC192:AC193"/>
    <mergeCell ref="K192:K193"/>
    <mergeCell ref="L192:L193"/>
    <mergeCell ref="M192:M193"/>
    <mergeCell ref="N192:N193"/>
    <mergeCell ref="O192:O193"/>
    <mergeCell ref="A192:A193"/>
    <mergeCell ref="E192:E193"/>
    <mergeCell ref="H192:H193"/>
    <mergeCell ref="I192:I193"/>
    <mergeCell ref="J192:J193"/>
    <mergeCell ref="Y198:Y199"/>
    <mergeCell ref="Z198:Z199"/>
    <mergeCell ref="AA198:AA199"/>
    <mergeCell ref="AB198:AB199"/>
    <mergeCell ref="AC198:AC199"/>
    <mergeCell ref="K198:K199"/>
    <mergeCell ref="L198:L199"/>
    <mergeCell ref="M198:M199"/>
    <mergeCell ref="N198:N199"/>
    <mergeCell ref="O198:O199"/>
    <mergeCell ref="A198:A199"/>
    <mergeCell ref="E198:E199"/>
    <mergeCell ref="H198:H199"/>
    <mergeCell ref="I198:I199"/>
    <mergeCell ref="J198:J199"/>
    <mergeCell ref="Y196:Y197"/>
    <mergeCell ref="Z196:Z197"/>
    <mergeCell ref="AA196:AA197"/>
    <mergeCell ref="AB196:AB197"/>
    <mergeCell ref="AC196:AC197"/>
    <mergeCell ref="K196:K197"/>
    <mergeCell ref="L196:L197"/>
    <mergeCell ref="M196:M197"/>
    <mergeCell ref="N196:N197"/>
    <mergeCell ref="O196:O197"/>
    <mergeCell ref="A196:A197"/>
    <mergeCell ref="E196:E197"/>
    <mergeCell ref="H196:H197"/>
    <mergeCell ref="I196:I197"/>
    <mergeCell ref="J196:J197"/>
    <mergeCell ref="Y202:Y203"/>
    <mergeCell ref="Z202:Z203"/>
    <mergeCell ref="AA202:AA203"/>
    <mergeCell ref="AB202:AB203"/>
    <mergeCell ref="AC202:AC203"/>
    <mergeCell ref="K202:K203"/>
    <mergeCell ref="L202:L203"/>
    <mergeCell ref="M202:M203"/>
    <mergeCell ref="N202:N203"/>
    <mergeCell ref="O202:O203"/>
    <mergeCell ref="A202:A203"/>
    <mergeCell ref="E202:E203"/>
    <mergeCell ref="H202:H203"/>
    <mergeCell ref="I202:I203"/>
    <mergeCell ref="J202:J203"/>
    <mergeCell ref="Y200:Y201"/>
    <mergeCell ref="Z200:Z201"/>
    <mergeCell ref="AA200:AA201"/>
    <mergeCell ref="AB200:AB201"/>
    <mergeCell ref="AC200:AC201"/>
    <mergeCell ref="K200:K201"/>
    <mergeCell ref="L200:L201"/>
    <mergeCell ref="M200:M201"/>
    <mergeCell ref="N200:N201"/>
    <mergeCell ref="O200:O201"/>
    <mergeCell ref="A200:A201"/>
    <mergeCell ref="E200:E201"/>
    <mergeCell ref="H200:H201"/>
    <mergeCell ref="I200:I201"/>
    <mergeCell ref="J200:J201"/>
    <mergeCell ref="Y206:Y207"/>
    <mergeCell ref="Z206:Z207"/>
    <mergeCell ref="AA206:AA207"/>
    <mergeCell ref="AB206:AB207"/>
    <mergeCell ref="AC206:AC207"/>
    <mergeCell ref="K206:K207"/>
    <mergeCell ref="L206:L207"/>
    <mergeCell ref="M206:M207"/>
    <mergeCell ref="N206:N207"/>
    <mergeCell ref="O206:O207"/>
    <mergeCell ref="A206:A207"/>
    <mergeCell ref="E206:E207"/>
    <mergeCell ref="H206:H207"/>
    <mergeCell ref="I206:I207"/>
    <mergeCell ref="J206:J207"/>
    <mergeCell ref="Y204:Y205"/>
    <mergeCell ref="Z204:Z205"/>
    <mergeCell ref="AA204:AA205"/>
    <mergeCell ref="AB204:AB205"/>
    <mergeCell ref="AC204:AC205"/>
    <mergeCell ref="K204:K205"/>
    <mergeCell ref="L204:L205"/>
    <mergeCell ref="M204:M205"/>
    <mergeCell ref="N204:N205"/>
    <mergeCell ref="O204:O205"/>
    <mergeCell ref="A204:A205"/>
    <mergeCell ref="E204:E205"/>
    <mergeCell ref="H204:H205"/>
    <mergeCell ref="I204:I205"/>
    <mergeCell ref="J204:J205"/>
    <mergeCell ref="Y210:Y211"/>
    <mergeCell ref="Z210:Z211"/>
    <mergeCell ref="AA210:AA211"/>
    <mergeCell ref="AB210:AB211"/>
    <mergeCell ref="AC210:AC211"/>
    <mergeCell ref="K210:K211"/>
    <mergeCell ref="L210:L211"/>
    <mergeCell ref="M210:M211"/>
    <mergeCell ref="N210:N211"/>
    <mergeCell ref="O210:O211"/>
    <mergeCell ref="A210:A211"/>
    <mergeCell ref="E210:E211"/>
    <mergeCell ref="H210:H211"/>
    <mergeCell ref="I210:I211"/>
    <mergeCell ref="J210:J211"/>
    <mergeCell ref="Y208:Y209"/>
    <mergeCell ref="Z208:Z209"/>
    <mergeCell ref="AA208:AA209"/>
    <mergeCell ref="AB208:AB209"/>
    <mergeCell ref="AC208:AC209"/>
    <mergeCell ref="K208:K209"/>
    <mergeCell ref="L208:L209"/>
    <mergeCell ref="M208:M209"/>
    <mergeCell ref="N208:N209"/>
    <mergeCell ref="O208:O209"/>
    <mergeCell ref="A208:A209"/>
    <mergeCell ref="E208:E209"/>
    <mergeCell ref="H208:H209"/>
    <mergeCell ref="I208:I209"/>
    <mergeCell ref="J208:J209"/>
    <mergeCell ref="Y214:Y215"/>
    <mergeCell ref="Z214:Z215"/>
    <mergeCell ref="AA214:AA215"/>
    <mergeCell ref="AB214:AB215"/>
    <mergeCell ref="AC214:AC215"/>
    <mergeCell ref="K214:K215"/>
    <mergeCell ref="L214:L215"/>
    <mergeCell ref="M214:M215"/>
    <mergeCell ref="N214:N215"/>
    <mergeCell ref="O214:O215"/>
    <mergeCell ref="A214:A215"/>
    <mergeCell ref="E214:E215"/>
    <mergeCell ref="H214:H215"/>
    <mergeCell ref="I214:I215"/>
    <mergeCell ref="J214:J215"/>
    <mergeCell ref="Y212:Y213"/>
    <mergeCell ref="Z212:Z213"/>
    <mergeCell ref="AA212:AA213"/>
    <mergeCell ref="AB212:AB213"/>
    <mergeCell ref="AC212:AC213"/>
    <mergeCell ref="K212:K213"/>
    <mergeCell ref="L212:L213"/>
    <mergeCell ref="M212:M213"/>
    <mergeCell ref="N212:N213"/>
    <mergeCell ref="O212:O213"/>
    <mergeCell ref="A212:A213"/>
    <mergeCell ref="E212:E213"/>
    <mergeCell ref="H212:H213"/>
    <mergeCell ref="I212:I213"/>
    <mergeCell ref="J212:J213"/>
    <mergeCell ref="Y218:Y219"/>
    <mergeCell ref="Z218:Z219"/>
    <mergeCell ref="AA218:AA219"/>
    <mergeCell ref="AB218:AB219"/>
    <mergeCell ref="AC218:AC219"/>
    <mergeCell ref="K218:K219"/>
    <mergeCell ref="L218:L219"/>
    <mergeCell ref="M218:M219"/>
    <mergeCell ref="N218:N219"/>
    <mergeCell ref="O218:O219"/>
    <mergeCell ref="A218:A219"/>
    <mergeCell ref="E218:E219"/>
    <mergeCell ref="H218:H219"/>
    <mergeCell ref="I218:I219"/>
    <mergeCell ref="J218:J219"/>
    <mergeCell ref="Y216:Y217"/>
    <mergeCell ref="Z216:Z217"/>
    <mergeCell ref="AA216:AA217"/>
    <mergeCell ref="AB216:AB217"/>
    <mergeCell ref="AC216:AC217"/>
    <mergeCell ref="K216:K217"/>
    <mergeCell ref="L216:L217"/>
    <mergeCell ref="M216:M217"/>
    <mergeCell ref="N216:N217"/>
    <mergeCell ref="O216:O217"/>
    <mergeCell ref="A216:A217"/>
    <mergeCell ref="E216:E217"/>
    <mergeCell ref="H216:H217"/>
    <mergeCell ref="I216:I217"/>
    <mergeCell ref="J216:J217"/>
    <mergeCell ref="Y222:Y223"/>
    <mergeCell ref="Z222:Z223"/>
    <mergeCell ref="AA222:AA223"/>
    <mergeCell ref="AB222:AB223"/>
    <mergeCell ref="AC222:AC223"/>
    <mergeCell ref="K222:K223"/>
    <mergeCell ref="L222:L223"/>
    <mergeCell ref="M222:M223"/>
    <mergeCell ref="N222:N223"/>
    <mergeCell ref="O222:O223"/>
    <mergeCell ref="A222:A223"/>
    <mergeCell ref="E222:E223"/>
    <mergeCell ref="H222:H223"/>
    <mergeCell ref="I222:I223"/>
    <mergeCell ref="J222:J223"/>
    <mergeCell ref="Y220:Y221"/>
    <mergeCell ref="Z220:Z221"/>
    <mergeCell ref="AA220:AA221"/>
    <mergeCell ref="AB220:AB221"/>
    <mergeCell ref="AC220:AC221"/>
    <mergeCell ref="K220:K221"/>
    <mergeCell ref="L220:L221"/>
    <mergeCell ref="M220:M221"/>
    <mergeCell ref="N220:N221"/>
    <mergeCell ref="O220:O221"/>
    <mergeCell ref="A220:A221"/>
    <mergeCell ref="E220:E221"/>
    <mergeCell ref="H220:H221"/>
    <mergeCell ref="I220:I221"/>
    <mergeCell ref="J220:J221"/>
    <mergeCell ref="Y226:Y227"/>
    <mergeCell ref="Z226:Z227"/>
    <mergeCell ref="AA226:AA227"/>
    <mergeCell ref="AB226:AB227"/>
    <mergeCell ref="AC226:AC227"/>
    <mergeCell ref="K226:K227"/>
    <mergeCell ref="L226:L227"/>
    <mergeCell ref="M226:M227"/>
    <mergeCell ref="N226:N227"/>
    <mergeCell ref="O226:O227"/>
    <mergeCell ref="A226:A227"/>
    <mergeCell ref="E226:E227"/>
    <mergeCell ref="H226:H227"/>
    <mergeCell ref="I226:I227"/>
    <mergeCell ref="J226:J227"/>
    <mergeCell ref="Y224:Y225"/>
    <mergeCell ref="Z224:Z225"/>
    <mergeCell ref="AA224:AA225"/>
    <mergeCell ref="AB224:AB225"/>
    <mergeCell ref="AC224:AC225"/>
    <mergeCell ref="K224:K225"/>
    <mergeCell ref="L224:L225"/>
    <mergeCell ref="M224:M225"/>
    <mergeCell ref="N224:N225"/>
    <mergeCell ref="O224:O225"/>
    <mergeCell ref="A224:A225"/>
    <mergeCell ref="E224:E225"/>
    <mergeCell ref="H224:H225"/>
    <mergeCell ref="I224:I225"/>
    <mergeCell ref="J224:J225"/>
    <mergeCell ref="Y230:Y231"/>
    <mergeCell ref="Z230:Z231"/>
    <mergeCell ref="AA230:AA231"/>
    <mergeCell ref="AB230:AB231"/>
    <mergeCell ref="AC230:AC231"/>
    <mergeCell ref="K230:K231"/>
    <mergeCell ref="L230:L231"/>
    <mergeCell ref="M230:M231"/>
    <mergeCell ref="N230:N231"/>
    <mergeCell ref="O230:O231"/>
    <mergeCell ref="A230:A231"/>
    <mergeCell ref="E230:E231"/>
    <mergeCell ref="H230:H231"/>
    <mergeCell ref="I230:I231"/>
    <mergeCell ref="J230:J231"/>
    <mergeCell ref="Y228:Y229"/>
    <mergeCell ref="Z228:Z229"/>
    <mergeCell ref="AA228:AA229"/>
    <mergeCell ref="AB228:AB229"/>
    <mergeCell ref="AC228:AC229"/>
    <mergeCell ref="K228:K229"/>
    <mergeCell ref="L228:L229"/>
    <mergeCell ref="M228:M229"/>
    <mergeCell ref="N228:N229"/>
    <mergeCell ref="O228:O229"/>
    <mergeCell ref="A228:A229"/>
    <mergeCell ref="E228:E229"/>
    <mergeCell ref="H228:H229"/>
    <mergeCell ref="I228:I229"/>
    <mergeCell ref="J228:J229"/>
    <mergeCell ref="Y234:Y235"/>
    <mergeCell ref="Z234:Z235"/>
    <mergeCell ref="AA234:AA235"/>
    <mergeCell ref="AB234:AB235"/>
    <mergeCell ref="AC234:AC235"/>
    <mergeCell ref="K234:K235"/>
    <mergeCell ref="L234:L235"/>
    <mergeCell ref="M234:M235"/>
    <mergeCell ref="N234:N235"/>
    <mergeCell ref="O234:O235"/>
    <mergeCell ref="A234:A235"/>
    <mergeCell ref="E234:E235"/>
    <mergeCell ref="H234:H235"/>
    <mergeCell ref="I234:I235"/>
    <mergeCell ref="J234:J235"/>
    <mergeCell ref="Y232:Y233"/>
    <mergeCell ref="Z232:Z233"/>
    <mergeCell ref="AA232:AA233"/>
    <mergeCell ref="AB232:AB233"/>
    <mergeCell ref="AC232:AC233"/>
    <mergeCell ref="K232:K233"/>
    <mergeCell ref="L232:L233"/>
    <mergeCell ref="M232:M233"/>
    <mergeCell ref="N232:N233"/>
    <mergeCell ref="O232:O233"/>
    <mergeCell ref="A232:A233"/>
    <mergeCell ref="E232:E233"/>
    <mergeCell ref="H232:H233"/>
    <mergeCell ref="I232:I233"/>
    <mergeCell ref="J232:J233"/>
    <mergeCell ref="Y238:Y239"/>
    <mergeCell ref="Z238:Z239"/>
    <mergeCell ref="AA238:AA239"/>
    <mergeCell ref="AB238:AB239"/>
    <mergeCell ref="AC238:AC239"/>
    <mergeCell ref="K238:K239"/>
    <mergeCell ref="L238:L239"/>
    <mergeCell ref="M238:M239"/>
    <mergeCell ref="N238:N239"/>
    <mergeCell ref="O238:O239"/>
    <mergeCell ref="A238:A239"/>
    <mergeCell ref="E238:E239"/>
    <mergeCell ref="H238:H239"/>
    <mergeCell ref="I238:I239"/>
    <mergeCell ref="J238:J239"/>
    <mergeCell ref="Y236:Y237"/>
    <mergeCell ref="Z236:Z237"/>
    <mergeCell ref="AA236:AA237"/>
    <mergeCell ref="AB236:AB237"/>
    <mergeCell ref="AC236:AC237"/>
    <mergeCell ref="K236:K237"/>
    <mergeCell ref="L236:L237"/>
    <mergeCell ref="M236:M237"/>
    <mergeCell ref="N236:N237"/>
    <mergeCell ref="O236:O237"/>
    <mergeCell ref="A236:A237"/>
    <mergeCell ref="E236:E237"/>
    <mergeCell ref="H236:H237"/>
    <mergeCell ref="I236:I237"/>
    <mergeCell ref="J236:J237"/>
    <mergeCell ref="Y242:Y243"/>
    <mergeCell ref="Z242:Z243"/>
    <mergeCell ref="AA242:AA243"/>
    <mergeCell ref="AB242:AB243"/>
    <mergeCell ref="AC242:AC243"/>
    <mergeCell ref="K242:K243"/>
    <mergeCell ref="L242:L243"/>
    <mergeCell ref="M242:M243"/>
    <mergeCell ref="N242:N243"/>
    <mergeCell ref="O242:O243"/>
    <mergeCell ref="A242:A243"/>
    <mergeCell ref="E242:E243"/>
    <mergeCell ref="H242:H243"/>
    <mergeCell ref="I242:I243"/>
    <mergeCell ref="J242:J243"/>
    <mergeCell ref="Y240:Y241"/>
    <mergeCell ref="Z240:Z241"/>
    <mergeCell ref="AA240:AA241"/>
    <mergeCell ref="AB240:AB241"/>
    <mergeCell ref="AC240:AC241"/>
    <mergeCell ref="K240:K241"/>
    <mergeCell ref="L240:L241"/>
    <mergeCell ref="M240:M241"/>
    <mergeCell ref="N240:N241"/>
    <mergeCell ref="O240:O241"/>
    <mergeCell ref="A240:A241"/>
    <mergeCell ref="E240:E241"/>
    <mergeCell ref="H240:H241"/>
    <mergeCell ref="I240:I241"/>
    <mergeCell ref="J240:J241"/>
    <mergeCell ref="Y246:Y247"/>
    <mergeCell ref="Z246:Z247"/>
    <mergeCell ref="AA246:AA247"/>
    <mergeCell ref="AB246:AB247"/>
    <mergeCell ref="AC246:AC247"/>
    <mergeCell ref="K246:K247"/>
    <mergeCell ref="L246:L247"/>
    <mergeCell ref="M246:M247"/>
    <mergeCell ref="N246:N247"/>
    <mergeCell ref="O246:O247"/>
    <mergeCell ref="A246:A247"/>
    <mergeCell ref="E246:E247"/>
    <mergeCell ref="H246:H247"/>
    <mergeCell ref="I246:I247"/>
    <mergeCell ref="J246:J247"/>
    <mergeCell ref="Y244:Y245"/>
    <mergeCell ref="Z244:Z245"/>
    <mergeCell ref="AA244:AA245"/>
    <mergeCell ref="AB244:AB245"/>
    <mergeCell ref="AC244:AC245"/>
    <mergeCell ref="K244:K245"/>
    <mergeCell ref="L244:L245"/>
    <mergeCell ref="M244:M245"/>
    <mergeCell ref="N244:N245"/>
    <mergeCell ref="O244:O245"/>
    <mergeCell ref="A244:A245"/>
    <mergeCell ref="E244:E245"/>
    <mergeCell ref="H244:H245"/>
    <mergeCell ref="I244:I245"/>
    <mergeCell ref="J244:J245"/>
    <mergeCell ref="Y250:Y251"/>
    <mergeCell ref="Z250:Z251"/>
    <mergeCell ref="AA250:AA251"/>
    <mergeCell ref="AB250:AB251"/>
    <mergeCell ref="AC250:AC251"/>
    <mergeCell ref="K250:K251"/>
    <mergeCell ref="L250:L251"/>
    <mergeCell ref="M250:M251"/>
    <mergeCell ref="N250:N251"/>
    <mergeCell ref="O250:O251"/>
    <mergeCell ref="A250:A251"/>
    <mergeCell ref="E250:E251"/>
    <mergeCell ref="H250:H251"/>
    <mergeCell ref="I250:I251"/>
    <mergeCell ref="J250:J251"/>
    <mergeCell ref="Y248:Y249"/>
    <mergeCell ref="Z248:Z249"/>
    <mergeCell ref="AA248:AA249"/>
    <mergeCell ref="AB248:AB249"/>
    <mergeCell ref="AC248:AC249"/>
    <mergeCell ref="K248:K249"/>
    <mergeCell ref="L248:L249"/>
    <mergeCell ref="M248:M249"/>
    <mergeCell ref="N248:N249"/>
    <mergeCell ref="O248:O249"/>
    <mergeCell ref="A248:A249"/>
    <mergeCell ref="E248:E249"/>
    <mergeCell ref="H248:H249"/>
    <mergeCell ref="I248:I249"/>
    <mergeCell ref="J248:J249"/>
    <mergeCell ref="Y254:Y255"/>
    <mergeCell ref="Z254:Z255"/>
    <mergeCell ref="AA254:AA255"/>
    <mergeCell ref="AB254:AB255"/>
    <mergeCell ref="AC254:AC255"/>
    <mergeCell ref="K254:K255"/>
    <mergeCell ref="L254:L255"/>
    <mergeCell ref="M254:M255"/>
    <mergeCell ref="N254:N255"/>
    <mergeCell ref="O254:O255"/>
    <mergeCell ref="A254:A255"/>
    <mergeCell ref="E254:E255"/>
    <mergeCell ref="H254:H255"/>
    <mergeCell ref="I254:I255"/>
    <mergeCell ref="J254:J255"/>
    <mergeCell ref="Y252:Y253"/>
    <mergeCell ref="Z252:Z253"/>
    <mergeCell ref="AA252:AA253"/>
    <mergeCell ref="AB252:AB253"/>
    <mergeCell ref="AC252:AC253"/>
    <mergeCell ref="K252:K253"/>
    <mergeCell ref="L252:L253"/>
    <mergeCell ref="M252:M253"/>
    <mergeCell ref="N252:N253"/>
    <mergeCell ref="O252:O253"/>
    <mergeCell ref="A252:A253"/>
    <mergeCell ref="E252:E253"/>
    <mergeCell ref="H252:H253"/>
    <mergeCell ref="I252:I253"/>
    <mergeCell ref="J252:J253"/>
    <mergeCell ref="Y258:Y259"/>
    <mergeCell ref="Z258:Z259"/>
    <mergeCell ref="AA258:AA259"/>
    <mergeCell ref="AB258:AB259"/>
    <mergeCell ref="AC258:AC259"/>
    <mergeCell ref="K258:K259"/>
    <mergeCell ref="L258:L259"/>
    <mergeCell ref="M258:M259"/>
    <mergeCell ref="N258:N259"/>
    <mergeCell ref="O258:O259"/>
    <mergeCell ref="A258:A259"/>
    <mergeCell ref="E258:E259"/>
    <mergeCell ref="H258:H259"/>
    <mergeCell ref="I258:I259"/>
    <mergeCell ref="J258:J259"/>
    <mergeCell ref="Y256:Y257"/>
    <mergeCell ref="Z256:Z257"/>
    <mergeCell ref="AA256:AA257"/>
    <mergeCell ref="AB256:AB257"/>
    <mergeCell ref="AC256:AC257"/>
    <mergeCell ref="K256:K257"/>
    <mergeCell ref="L256:L257"/>
    <mergeCell ref="M256:M257"/>
    <mergeCell ref="N256:N257"/>
    <mergeCell ref="O256:O257"/>
    <mergeCell ref="A256:A257"/>
    <mergeCell ref="E256:E257"/>
    <mergeCell ref="H256:H257"/>
    <mergeCell ref="I256:I257"/>
    <mergeCell ref="J256:J257"/>
    <mergeCell ref="Y262:Y263"/>
    <mergeCell ref="Z262:Z263"/>
    <mergeCell ref="AA262:AA263"/>
    <mergeCell ref="AB262:AB263"/>
    <mergeCell ref="AC262:AC263"/>
    <mergeCell ref="K262:K263"/>
    <mergeCell ref="L262:L263"/>
    <mergeCell ref="M262:M263"/>
    <mergeCell ref="N262:N263"/>
    <mergeCell ref="O262:O263"/>
    <mergeCell ref="A262:A263"/>
    <mergeCell ref="E262:E263"/>
    <mergeCell ref="H262:H263"/>
    <mergeCell ref="I262:I263"/>
    <mergeCell ref="J262:J263"/>
    <mergeCell ref="Y260:Y261"/>
    <mergeCell ref="Z260:Z261"/>
    <mergeCell ref="AA260:AA261"/>
    <mergeCell ref="AB260:AB261"/>
    <mergeCell ref="AC260:AC261"/>
    <mergeCell ref="K260:K261"/>
    <mergeCell ref="L260:L261"/>
    <mergeCell ref="M260:M261"/>
    <mergeCell ref="N260:N261"/>
    <mergeCell ref="O260:O261"/>
    <mergeCell ref="A260:A261"/>
    <mergeCell ref="E260:E261"/>
    <mergeCell ref="H260:H261"/>
    <mergeCell ref="I260:I261"/>
    <mergeCell ref="J260:J261"/>
    <mergeCell ref="Y266:Y267"/>
    <mergeCell ref="Z266:Z267"/>
    <mergeCell ref="AA266:AA267"/>
    <mergeCell ref="AB266:AB267"/>
    <mergeCell ref="AC266:AC267"/>
    <mergeCell ref="K266:K267"/>
    <mergeCell ref="L266:L267"/>
    <mergeCell ref="M266:M267"/>
    <mergeCell ref="N266:N267"/>
    <mergeCell ref="O266:O267"/>
    <mergeCell ref="A266:A267"/>
    <mergeCell ref="E266:E267"/>
    <mergeCell ref="H266:H267"/>
    <mergeCell ref="I266:I267"/>
    <mergeCell ref="J266:J267"/>
    <mergeCell ref="Y264:Y265"/>
    <mergeCell ref="Z264:Z265"/>
    <mergeCell ref="AA264:AA265"/>
    <mergeCell ref="AB264:AB265"/>
    <mergeCell ref="AC264:AC265"/>
    <mergeCell ref="K264:K265"/>
    <mergeCell ref="L264:L265"/>
    <mergeCell ref="M264:M265"/>
    <mergeCell ref="N264:N265"/>
    <mergeCell ref="O264:O265"/>
    <mergeCell ref="A264:A265"/>
    <mergeCell ref="E264:E265"/>
    <mergeCell ref="H264:H265"/>
    <mergeCell ref="I264:I265"/>
    <mergeCell ref="J264:J265"/>
    <mergeCell ref="Y270:Y271"/>
    <mergeCell ref="Z270:Z271"/>
    <mergeCell ref="AA270:AA271"/>
    <mergeCell ref="AB270:AB271"/>
    <mergeCell ref="AC270:AC271"/>
    <mergeCell ref="K270:K271"/>
    <mergeCell ref="L270:L271"/>
    <mergeCell ref="M270:M271"/>
    <mergeCell ref="N270:N271"/>
    <mergeCell ref="O270:O271"/>
    <mergeCell ref="A270:A271"/>
    <mergeCell ref="E270:E271"/>
    <mergeCell ref="H270:H271"/>
    <mergeCell ref="I270:I271"/>
    <mergeCell ref="J270:J271"/>
    <mergeCell ref="Y268:Y269"/>
    <mergeCell ref="Z268:Z269"/>
    <mergeCell ref="AA268:AA269"/>
    <mergeCell ref="AB268:AB269"/>
    <mergeCell ref="AC268:AC269"/>
    <mergeCell ref="K268:K269"/>
    <mergeCell ref="L268:L269"/>
    <mergeCell ref="M268:M269"/>
    <mergeCell ref="N268:N269"/>
    <mergeCell ref="O268:O269"/>
    <mergeCell ref="A268:A269"/>
    <mergeCell ref="E268:E269"/>
    <mergeCell ref="H268:H269"/>
    <mergeCell ref="I268:I269"/>
    <mergeCell ref="J268:J269"/>
    <mergeCell ref="Y274:Y275"/>
    <mergeCell ref="Z274:Z275"/>
    <mergeCell ref="AA274:AA275"/>
    <mergeCell ref="AB274:AB275"/>
    <mergeCell ref="AC274:AC275"/>
    <mergeCell ref="K274:K275"/>
    <mergeCell ref="L274:L275"/>
    <mergeCell ref="M274:M275"/>
    <mergeCell ref="N274:N275"/>
    <mergeCell ref="O274:O275"/>
    <mergeCell ref="A274:A275"/>
    <mergeCell ref="E274:E275"/>
    <mergeCell ref="H274:H275"/>
    <mergeCell ref="I274:I275"/>
    <mergeCell ref="J274:J275"/>
    <mergeCell ref="Y272:Y273"/>
    <mergeCell ref="Z272:Z273"/>
    <mergeCell ref="AA272:AA273"/>
    <mergeCell ref="AB272:AB273"/>
    <mergeCell ref="AC272:AC273"/>
    <mergeCell ref="K272:K273"/>
    <mergeCell ref="L272:L273"/>
    <mergeCell ref="M272:M273"/>
    <mergeCell ref="N272:N273"/>
    <mergeCell ref="O272:O273"/>
    <mergeCell ref="A272:A273"/>
    <mergeCell ref="E272:E273"/>
    <mergeCell ref="H272:H273"/>
    <mergeCell ref="I272:I273"/>
    <mergeCell ref="J272:J273"/>
    <mergeCell ref="Y278:Y279"/>
    <mergeCell ref="Z278:Z279"/>
    <mergeCell ref="AA278:AA279"/>
    <mergeCell ref="AB278:AB279"/>
    <mergeCell ref="AC278:AC279"/>
    <mergeCell ref="K278:K279"/>
    <mergeCell ref="L278:L279"/>
    <mergeCell ref="M278:M279"/>
    <mergeCell ref="N278:N279"/>
    <mergeCell ref="O278:O279"/>
    <mergeCell ref="A278:A279"/>
    <mergeCell ref="E278:E279"/>
    <mergeCell ref="H278:H279"/>
    <mergeCell ref="I278:I279"/>
    <mergeCell ref="J278:J279"/>
    <mergeCell ref="Y276:Y277"/>
    <mergeCell ref="Z276:Z277"/>
    <mergeCell ref="AA276:AA277"/>
    <mergeCell ref="AB276:AB277"/>
    <mergeCell ref="AC276:AC277"/>
    <mergeCell ref="K276:K277"/>
    <mergeCell ref="L276:L277"/>
    <mergeCell ref="M276:M277"/>
    <mergeCell ref="N276:N277"/>
    <mergeCell ref="O276:O277"/>
    <mergeCell ref="A276:A277"/>
    <mergeCell ref="E276:E277"/>
    <mergeCell ref="H276:H277"/>
    <mergeCell ref="I276:I277"/>
    <mergeCell ref="J276:J277"/>
    <mergeCell ref="Y282:Y283"/>
    <mergeCell ref="Z282:Z283"/>
    <mergeCell ref="AA282:AA283"/>
    <mergeCell ref="AB282:AB283"/>
    <mergeCell ref="AC282:AC283"/>
    <mergeCell ref="K282:K283"/>
    <mergeCell ref="L282:L283"/>
    <mergeCell ref="M282:M283"/>
    <mergeCell ref="N282:N283"/>
    <mergeCell ref="O282:O283"/>
    <mergeCell ref="A282:A283"/>
    <mergeCell ref="E282:E283"/>
    <mergeCell ref="H282:H283"/>
    <mergeCell ref="I282:I283"/>
    <mergeCell ref="J282:J283"/>
    <mergeCell ref="Y280:Y281"/>
    <mergeCell ref="Z280:Z281"/>
    <mergeCell ref="AA280:AA281"/>
    <mergeCell ref="AB280:AB281"/>
    <mergeCell ref="AC280:AC281"/>
    <mergeCell ref="K280:K281"/>
    <mergeCell ref="L280:L281"/>
    <mergeCell ref="M280:M281"/>
    <mergeCell ref="N280:N281"/>
    <mergeCell ref="O280:O281"/>
    <mergeCell ref="A280:A281"/>
    <mergeCell ref="E280:E281"/>
    <mergeCell ref="H280:H281"/>
    <mergeCell ref="I280:I281"/>
    <mergeCell ref="J280:J281"/>
    <mergeCell ref="Y286:Y287"/>
    <mergeCell ref="Z286:Z287"/>
    <mergeCell ref="AA286:AA287"/>
    <mergeCell ref="AB286:AB287"/>
    <mergeCell ref="AC286:AC287"/>
    <mergeCell ref="K286:K287"/>
    <mergeCell ref="L286:L287"/>
    <mergeCell ref="M286:M287"/>
    <mergeCell ref="N286:N287"/>
    <mergeCell ref="O286:O287"/>
    <mergeCell ref="A286:A287"/>
    <mergeCell ref="E286:E287"/>
    <mergeCell ref="H286:H287"/>
    <mergeCell ref="I286:I287"/>
    <mergeCell ref="J286:J287"/>
    <mergeCell ref="Y284:Y285"/>
    <mergeCell ref="Z284:Z285"/>
    <mergeCell ref="AA284:AA285"/>
    <mergeCell ref="AB284:AB285"/>
    <mergeCell ref="AC284:AC285"/>
    <mergeCell ref="K284:K285"/>
    <mergeCell ref="L284:L285"/>
    <mergeCell ref="M284:M285"/>
    <mergeCell ref="N284:N285"/>
    <mergeCell ref="O284:O285"/>
    <mergeCell ref="A284:A285"/>
    <mergeCell ref="E284:E285"/>
    <mergeCell ref="H284:H285"/>
    <mergeCell ref="I284:I285"/>
    <mergeCell ref="J284:J285"/>
    <mergeCell ref="Y290:Y291"/>
    <mergeCell ref="Z290:Z291"/>
    <mergeCell ref="AA290:AA291"/>
    <mergeCell ref="AB290:AB291"/>
    <mergeCell ref="AC290:AC291"/>
    <mergeCell ref="K290:K291"/>
    <mergeCell ref="L290:L291"/>
    <mergeCell ref="M290:M291"/>
    <mergeCell ref="N290:N291"/>
    <mergeCell ref="O290:O291"/>
    <mergeCell ref="A290:A291"/>
    <mergeCell ref="E290:E291"/>
    <mergeCell ref="H290:H291"/>
    <mergeCell ref="I290:I291"/>
    <mergeCell ref="J290:J291"/>
    <mergeCell ref="Y288:Y289"/>
    <mergeCell ref="Z288:Z289"/>
    <mergeCell ref="AA288:AA289"/>
    <mergeCell ref="AB288:AB289"/>
    <mergeCell ref="AC288:AC289"/>
    <mergeCell ref="K288:K289"/>
    <mergeCell ref="L288:L289"/>
    <mergeCell ref="M288:M289"/>
    <mergeCell ref="N288:N289"/>
    <mergeCell ref="O288:O289"/>
    <mergeCell ref="A288:A289"/>
    <mergeCell ref="E288:E289"/>
    <mergeCell ref="H288:H289"/>
    <mergeCell ref="I288:I289"/>
    <mergeCell ref="J288:J289"/>
    <mergeCell ref="Y294:Y295"/>
    <mergeCell ref="Z294:Z295"/>
    <mergeCell ref="AA294:AA295"/>
    <mergeCell ref="AB294:AB295"/>
    <mergeCell ref="AC294:AC295"/>
    <mergeCell ref="K294:K295"/>
    <mergeCell ref="L294:L295"/>
    <mergeCell ref="M294:M295"/>
    <mergeCell ref="N294:N295"/>
    <mergeCell ref="O294:O295"/>
    <mergeCell ref="A294:A295"/>
    <mergeCell ref="E294:E295"/>
    <mergeCell ref="H294:H295"/>
    <mergeCell ref="I294:I295"/>
    <mergeCell ref="J294:J295"/>
    <mergeCell ref="Y292:Y293"/>
    <mergeCell ref="Z292:Z293"/>
    <mergeCell ref="AA292:AA293"/>
    <mergeCell ref="AB292:AB293"/>
    <mergeCell ref="AC292:AC293"/>
    <mergeCell ref="K292:K293"/>
    <mergeCell ref="L292:L293"/>
    <mergeCell ref="M292:M293"/>
    <mergeCell ref="N292:N293"/>
    <mergeCell ref="O292:O293"/>
    <mergeCell ref="A292:A293"/>
    <mergeCell ref="E292:E293"/>
    <mergeCell ref="H292:H293"/>
    <mergeCell ref="I292:I293"/>
    <mergeCell ref="J292:J293"/>
    <mergeCell ref="Y298:Y299"/>
    <mergeCell ref="Z298:Z299"/>
    <mergeCell ref="AA298:AA299"/>
    <mergeCell ref="AB298:AB299"/>
    <mergeCell ref="AC298:AC299"/>
    <mergeCell ref="K298:K299"/>
    <mergeCell ref="L298:L299"/>
    <mergeCell ref="M298:M299"/>
    <mergeCell ref="N298:N299"/>
    <mergeCell ref="O298:O299"/>
    <mergeCell ref="A298:A299"/>
    <mergeCell ref="E298:E299"/>
    <mergeCell ref="H298:H299"/>
    <mergeCell ref="I298:I299"/>
    <mergeCell ref="J298:J299"/>
    <mergeCell ref="Y296:Y297"/>
    <mergeCell ref="Z296:Z297"/>
    <mergeCell ref="AA296:AA297"/>
    <mergeCell ref="AB296:AB297"/>
    <mergeCell ref="AC296:AC297"/>
    <mergeCell ref="K296:K297"/>
    <mergeCell ref="L296:L297"/>
    <mergeCell ref="M296:M297"/>
    <mergeCell ref="N296:N297"/>
    <mergeCell ref="O296:O297"/>
    <mergeCell ref="A296:A297"/>
    <mergeCell ref="E296:E297"/>
    <mergeCell ref="H296:H297"/>
    <mergeCell ref="I296:I297"/>
    <mergeCell ref="J296:J297"/>
    <mergeCell ref="Y302:Y303"/>
    <mergeCell ref="Z302:Z303"/>
    <mergeCell ref="AA302:AA303"/>
    <mergeCell ref="AB302:AB303"/>
    <mergeCell ref="AC302:AC303"/>
    <mergeCell ref="K302:K303"/>
    <mergeCell ref="L302:L303"/>
    <mergeCell ref="M302:M303"/>
    <mergeCell ref="N302:N303"/>
    <mergeCell ref="O302:O303"/>
    <mergeCell ref="A302:A303"/>
    <mergeCell ref="E302:E303"/>
    <mergeCell ref="H302:H303"/>
    <mergeCell ref="I302:I303"/>
    <mergeCell ref="J302:J303"/>
    <mergeCell ref="Y300:Y301"/>
    <mergeCell ref="Z300:Z301"/>
    <mergeCell ref="AA300:AA301"/>
    <mergeCell ref="AB300:AB301"/>
    <mergeCell ref="AC300:AC301"/>
    <mergeCell ref="K300:K301"/>
    <mergeCell ref="L300:L301"/>
    <mergeCell ref="M300:M301"/>
    <mergeCell ref="N300:N301"/>
    <mergeCell ref="O300:O301"/>
    <mergeCell ref="A300:A301"/>
    <mergeCell ref="E300:E301"/>
    <mergeCell ref="H300:H301"/>
    <mergeCell ref="I300:I301"/>
    <mergeCell ref="J300:J301"/>
    <mergeCell ref="Y306:Y307"/>
    <mergeCell ref="Z306:Z307"/>
    <mergeCell ref="AA306:AA307"/>
    <mergeCell ref="AB306:AB307"/>
    <mergeCell ref="AC306:AC307"/>
    <mergeCell ref="K306:K307"/>
    <mergeCell ref="L306:L307"/>
    <mergeCell ref="M306:M307"/>
    <mergeCell ref="N306:N307"/>
    <mergeCell ref="O306:O307"/>
    <mergeCell ref="A306:A307"/>
    <mergeCell ref="E306:E307"/>
    <mergeCell ref="H306:H307"/>
    <mergeCell ref="I306:I307"/>
    <mergeCell ref="J306:J307"/>
    <mergeCell ref="Y304:Y305"/>
    <mergeCell ref="Z304:Z305"/>
    <mergeCell ref="AA304:AA305"/>
    <mergeCell ref="AB304:AB305"/>
    <mergeCell ref="AC304:AC305"/>
    <mergeCell ref="K304:K305"/>
    <mergeCell ref="L304:L305"/>
    <mergeCell ref="M304:M305"/>
    <mergeCell ref="N304:N305"/>
    <mergeCell ref="O304:O305"/>
    <mergeCell ref="A304:A305"/>
    <mergeCell ref="E304:E305"/>
    <mergeCell ref="H304:H305"/>
    <mergeCell ref="I304:I305"/>
    <mergeCell ref="J304:J305"/>
    <mergeCell ref="Y310:Y311"/>
    <mergeCell ref="Z310:Z311"/>
    <mergeCell ref="AA310:AA311"/>
    <mergeCell ref="AB310:AB311"/>
    <mergeCell ref="AC310:AC311"/>
    <mergeCell ref="K310:K311"/>
    <mergeCell ref="L310:L311"/>
    <mergeCell ref="M310:M311"/>
    <mergeCell ref="N310:N311"/>
    <mergeCell ref="O310:O311"/>
    <mergeCell ref="A310:A311"/>
    <mergeCell ref="E310:E311"/>
    <mergeCell ref="H310:H311"/>
    <mergeCell ref="I310:I311"/>
    <mergeCell ref="J310:J311"/>
    <mergeCell ref="Y308:Y309"/>
    <mergeCell ref="Z308:Z309"/>
    <mergeCell ref="AA308:AA309"/>
    <mergeCell ref="AB308:AB309"/>
    <mergeCell ref="AC308:AC309"/>
    <mergeCell ref="K308:K309"/>
    <mergeCell ref="L308:L309"/>
    <mergeCell ref="M308:M309"/>
    <mergeCell ref="N308:N309"/>
    <mergeCell ref="O308:O309"/>
    <mergeCell ref="A308:A309"/>
    <mergeCell ref="E308:E309"/>
    <mergeCell ref="H308:H309"/>
    <mergeCell ref="I308:I309"/>
    <mergeCell ref="J308:J309"/>
    <mergeCell ref="Y314:Y315"/>
    <mergeCell ref="Z314:Z315"/>
    <mergeCell ref="AA314:AA315"/>
    <mergeCell ref="AB314:AB315"/>
    <mergeCell ref="AC314:AC315"/>
    <mergeCell ref="K314:K315"/>
    <mergeCell ref="L314:L315"/>
    <mergeCell ref="M314:M315"/>
    <mergeCell ref="N314:N315"/>
    <mergeCell ref="O314:O315"/>
    <mergeCell ref="A314:A315"/>
    <mergeCell ref="E314:E315"/>
    <mergeCell ref="H314:H315"/>
    <mergeCell ref="I314:I315"/>
    <mergeCell ref="J314:J315"/>
    <mergeCell ref="Y312:Y313"/>
    <mergeCell ref="Z312:Z313"/>
    <mergeCell ref="AA312:AA313"/>
    <mergeCell ref="AB312:AB313"/>
    <mergeCell ref="AC312:AC313"/>
    <mergeCell ref="K312:K313"/>
    <mergeCell ref="L312:L313"/>
    <mergeCell ref="M312:M313"/>
    <mergeCell ref="N312:N313"/>
    <mergeCell ref="O312:O313"/>
    <mergeCell ref="A312:A313"/>
    <mergeCell ref="E312:E313"/>
    <mergeCell ref="H312:H313"/>
    <mergeCell ref="I312:I313"/>
    <mergeCell ref="J312:J313"/>
    <mergeCell ref="Y318:Y319"/>
    <mergeCell ref="Z318:Z319"/>
    <mergeCell ref="AA318:AA319"/>
    <mergeCell ref="AB318:AB319"/>
    <mergeCell ref="AC318:AC319"/>
    <mergeCell ref="K318:K319"/>
    <mergeCell ref="L318:L319"/>
    <mergeCell ref="M318:M319"/>
    <mergeCell ref="N318:N319"/>
    <mergeCell ref="O318:O319"/>
    <mergeCell ref="A318:A319"/>
    <mergeCell ref="E318:E319"/>
    <mergeCell ref="H318:H319"/>
    <mergeCell ref="I318:I319"/>
    <mergeCell ref="J318:J319"/>
    <mergeCell ref="Y316:Y317"/>
    <mergeCell ref="Z316:Z317"/>
    <mergeCell ref="AA316:AA317"/>
    <mergeCell ref="AB316:AB317"/>
    <mergeCell ref="AC316:AC317"/>
    <mergeCell ref="K316:K317"/>
    <mergeCell ref="L316:L317"/>
    <mergeCell ref="M316:M317"/>
    <mergeCell ref="N316:N317"/>
    <mergeCell ref="O316:O317"/>
    <mergeCell ref="A316:A317"/>
    <mergeCell ref="E316:E317"/>
    <mergeCell ref="H316:H317"/>
    <mergeCell ref="I316:I317"/>
    <mergeCell ref="J316:J317"/>
    <mergeCell ref="Y322:Y323"/>
    <mergeCell ref="Z322:Z323"/>
    <mergeCell ref="AA322:AA323"/>
    <mergeCell ref="AB322:AB323"/>
    <mergeCell ref="AC322:AC323"/>
    <mergeCell ref="K322:K323"/>
    <mergeCell ref="L322:L323"/>
    <mergeCell ref="M322:M323"/>
    <mergeCell ref="N322:N323"/>
    <mergeCell ref="O322:O323"/>
    <mergeCell ref="A322:A323"/>
    <mergeCell ref="E322:E323"/>
    <mergeCell ref="H322:H323"/>
    <mergeCell ref="I322:I323"/>
    <mergeCell ref="J322:J323"/>
    <mergeCell ref="Y320:Y321"/>
    <mergeCell ref="Z320:Z321"/>
    <mergeCell ref="AA320:AA321"/>
    <mergeCell ref="AB320:AB321"/>
    <mergeCell ref="AC320:AC321"/>
    <mergeCell ref="K320:K321"/>
    <mergeCell ref="L320:L321"/>
    <mergeCell ref="M320:M321"/>
    <mergeCell ref="N320:N321"/>
    <mergeCell ref="O320:O321"/>
    <mergeCell ref="A320:A321"/>
    <mergeCell ref="E320:E321"/>
    <mergeCell ref="H320:H321"/>
    <mergeCell ref="I320:I321"/>
    <mergeCell ref="J320:J321"/>
    <mergeCell ref="Y326:Y327"/>
    <mergeCell ref="Z326:Z327"/>
    <mergeCell ref="AA326:AA327"/>
    <mergeCell ref="AB326:AB327"/>
    <mergeCell ref="AC326:AC327"/>
    <mergeCell ref="K326:K327"/>
    <mergeCell ref="L326:L327"/>
    <mergeCell ref="M326:M327"/>
    <mergeCell ref="N326:N327"/>
    <mergeCell ref="O326:O327"/>
    <mergeCell ref="A326:A327"/>
    <mergeCell ref="E326:E327"/>
    <mergeCell ref="H326:H327"/>
    <mergeCell ref="I326:I327"/>
    <mergeCell ref="J326:J327"/>
    <mergeCell ref="Y324:Y325"/>
    <mergeCell ref="Z324:Z325"/>
    <mergeCell ref="AA324:AA325"/>
    <mergeCell ref="AB324:AB325"/>
    <mergeCell ref="AC324:AC325"/>
    <mergeCell ref="K324:K325"/>
    <mergeCell ref="L324:L325"/>
    <mergeCell ref="M324:M325"/>
    <mergeCell ref="N324:N325"/>
    <mergeCell ref="O324:O325"/>
    <mergeCell ref="A324:A325"/>
    <mergeCell ref="E324:E325"/>
    <mergeCell ref="H324:H325"/>
    <mergeCell ref="I324:I325"/>
    <mergeCell ref="J324:J325"/>
    <mergeCell ref="Y330:Y331"/>
    <mergeCell ref="Z330:Z331"/>
    <mergeCell ref="AA330:AA331"/>
    <mergeCell ref="AB330:AB331"/>
    <mergeCell ref="AC330:AC331"/>
    <mergeCell ref="K330:K331"/>
    <mergeCell ref="L330:L331"/>
    <mergeCell ref="M330:M331"/>
    <mergeCell ref="N330:N331"/>
    <mergeCell ref="O330:O331"/>
    <mergeCell ref="A330:A331"/>
    <mergeCell ref="E330:E331"/>
    <mergeCell ref="H330:H331"/>
    <mergeCell ref="I330:I331"/>
    <mergeCell ref="J330:J331"/>
    <mergeCell ref="Y328:Y329"/>
    <mergeCell ref="Z328:Z329"/>
    <mergeCell ref="AA328:AA329"/>
    <mergeCell ref="AB328:AB329"/>
    <mergeCell ref="AC328:AC329"/>
    <mergeCell ref="K328:K329"/>
    <mergeCell ref="L328:L329"/>
    <mergeCell ref="M328:M329"/>
    <mergeCell ref="N328:N329"/>
    <mergeCell ref="O328:O329"/>
    <mergeCell ref="A328:A329"/>
    <mergeCell ref="E328:E329"/>
    <mergeCell ref="H328:H329"/>
    <mergeCell ref="I328:I329"/>
    <mergeCell ref="J328:J329"/>
    <mergeCell ref="Y334:Y335"/>
    <mergeCell ref="Z334:Z335"/>
    <mergeCell ref="AA334:AA335"/>
    <mergeCell ref="AB334:AB335"/>
    <mergeCell ref="AC334:AC335"/>
    <mergeCell ref="K334:K335"/>
    <mergeCell ref="L334:L335"/>
    <mergeCell ref="M334:M335"/>
    <mergeCell ref="N334:N335"/>
    <mergeCell ref="O334:O335"/>
    <mergeCell ref="A334:A335"/>
    <mergeCell ref="E334:E335"/>
    <mergeCell ref="H334:H335"/>
    <mergeCell ref="I334:I335"/>
    <mergeCell ref="J334:J335"/>
    <mergeCell ref="Y332:Y333"/>
    <mergeCell ref="Z332:Z333"/>
    <mergeCell ref="AA332:AA333"/>
    <mergeCell ref="AB332:AB333"/>
    <mergeCell ref="AC332:AC333"/>
    <mergeCell ref="K332:K333"/>
    <mergeCell ref="L332:L333"/>
    <mergeCell ref="M332:M333"/>
    <mergeCell ref="N332:N333"/>
    <mergeCell ref="O332:O333"/>
    <mergeCell ref="A332:A333"/>
    <mergeCell ref="E332:E333"/>
    <mergeCell ref="H332:H333"/>
    <mergeCell ref="I332:I333"/>
    <mergeCell ref="J332:J333"/>
    <mergeCell ref="Y338:Y339"/>
    <mergeCell ref="Z338:Z339"/>
    <mergeCell ref="AA338:AA339"/>
    <mergeCell ref="AB338:AB339"/>
    <mergeCell ref="AC338:AC339"/>
    <mergeCell ref="K338:K339"/>
    <mergeCell ref="L338:L339"/>
    <mergeCell ref="M338:M339"/>
    <mergeCell ref="N338:N339"/>
    <mergeCell ref="O338:O339"/>
    <mergeCell ref="A338:A339"/>
    <mergeCell ref="E338:E339"/>
    <mergeCell ref="H338:H339"/>
    <mergeCell ref="I338:I339"/>
    <mergeCell ref="J338:J339"/>
    <mergeCell ref="Y336:Y337"/>
    <mergeCell ref="Z336:Z337"/>
    <mergeCell ref="AA336:AA337"/>
    <mergeCell ref="AB336:AB337"/>
    <mergeCell ref="AC336:AC337"/>
    <mergeCell ref="K336:K337"/>
    <mergeCell ref="L336:L337"/>
    <mergeCell ref="M336:M337"/>
    <mergeCell ref="N336:N337"/>
    <mergeCell ref="O336:O337"/>
    <mergeCell ref="A336:A337"/>
    <mergeCell ref="E336:E337"/>
    <mergeCell ref="H336:H337"/>
    <mergeCell ref="I336:I337"/>
    <mergeCell ref="J336:J337"/>
    <mergeCell ref="Y342:Y343"/>
    <mergeCell ref="Z342:Z343"/>
    <mergeCell ref="AA342:AA343"/>
    <mergeCell ref="AB342:AB343"/>
    <mergeCell ref="AC342:AC343"/>
    <mergeCell ref="K342:K343"/>
    <mergeCell ref="L342:L343"/>
    <mergeCell ref="M342:M343"/>
    <mergeCell ref="N342:N343"/>
    <mergeCell ref="O342:O343"/>
    <mergeCell ref="A342:A343"/>
    <mergeCell ref="E342:E343"/>
    <mergeCell ref="H342:H343"/>
    <mergeCell ref="I342:I343"/>
    <mergeCell ref="J342:J343"/>
    <mergeCell ref="Y340:Y341"/>
    <mergeCell ref="Z340:Z341"/>
    <mergeCell ref="AA340:AA341"/>
    <mergeCell ref="AB340:AB341"/>
    <mergeCell ref="AC340:AC341"/>
    <mergeCell ref="K340:K341"/>
    <mergeCell ref="L340:L341"/>
    <mergeCell ref="M340:M341"/>
    <mergeCell ref="N340:N341"/>
    <mergeCell ref="O340:O341"/>
    <mergeCell ref="A340:A341"/>
    <mergeCell ref="E340:E341"/>
    <mergeCell ref="H340:H341"/>
    <mergeCell ref="I340:I341"/>
    <mergeCell ref="J340:J341"/>
    <mergeCell ref="Y346:Y347"/>
    <mergeCell ref="Z346:Z347"/>
    <mergeCell ref="AA346:AA347"/>
    <mergeCell ref="AB346:AB347"/>
    <mergeCell ref="AC346:AC347"/>
    <mergeCell ref="K346:K347"/>
    <mergeCell ref="L346:L347"/>
    <mergeCell ref="M346:M347"/>
    <mergeCell ref="N346:N347"/>
    <mergeCell ref="O346:O347"/>
    <mergeCell ref="A346:A347"/>
    <mergeCell ref="E346:E347"/>
    <mergeCell ref="H346:H347"/>
    <mergeCell ref="I346:I347"/>
    <mergeCell ref="J346:J347"/>
    <mergeCell ref="Y344:Y345"/>
    <mergeCell ref="Z344:Z345"/>
    <mergeCell ref="AA344:AA345"/>
    <mergeCell ref="AB344:AB345"/>
    <mergeCell ref="AC344:AC345"/>
    <mergeCell ref="K344:K345"/>
    <mergeCell ref="L344:L345"/>
    <mergeCell ref="M344:M345"/>
    <mergeCell ref="N344:N345"/>
    <mergeCell ref="O344:O345"/>
    <mergeCell ref="A344:A345"/>
    <mergeCell ref="E344:E345"/>
    <mergeCell ref="H344:H345"/>
    <mergeCell ref="I344:I345"/>
    <mergeCell ref="J344:J345"/>
    <mergeCell ref="Y350:Y351"/>
    <mergeCell ref="Z350:Z351"/>
    <mergeCell ref="AA350:AA351"/>
    <mergeCell ref="AB350:AB351"/>
    <mergeCell ref="AC350:AC351"/>
    <mergeCell ref="K350:K351"/>
    <mergeCell ref="L350:L351"/>
    <mergeCell ref="M350:M351"/>
    <mergeCell ref="N350:N351"/>
    <mergeCell ref="O350:O351"/>
    <mergeCell ref="A350:A351"/>
    <mergeCell ref="E350:E351"/>
    <mergeCell ref="H350:H351"/>
    <mergeCell ref="I350:I351"/>
    <mergeCell ref="J350:J351"/>
    <mergeCell ref="Y348:Y349"/>
    <mergeCell ref="Z348:Z349"/>
    <mergeCell ref="AA348:AA349"/>
    <mergeCell ref="AB348:AB349"/>
    <mergeCell ref="AC348:AC349"/>
    <mergeCell ref="K348:K349"/>
    <mergeCell ref="L348:L349"/>
    <mergeCell ref="M348:M349"/>
    <mergeCell ref="N348:N349"/>
    <mergeCell ref="O348:O349"/>
    <mergeCell ref="A348:A349"/>
    <mergeCell ref="E348:E349"/>
    <mergeCell ref="H348:H349"/>
    <mergeCell ref="I348:I349"/>
    <mergeCell ref="J348:J349"/>
    <mergeCell ref="Y354:Y355"/>
    <mergeCell ref="Z354:Z355"/>
    <mergeCell ref="AA354:AA355"/>
    <mergeCell ref="AB354:AB355"/>
    <mergeCell ref="AC354:AC355"/>
    <mergeCell ref="K354:K355"/>
    <mergeCell ref="L354:L355"/>
    <mergeCell ref="M354:M355"/>
    <mergeCell ref="N354:N355"/>
    <mergeCell ref="O354:O355"/>
    <mergeCell ref="A354:A355"/>
    <mergeCell ref="E354:E355"/>
    <mergeCell ref="H354:H355"/>
    <mergeCell ref="I354:I355"/>
    <mergeCell ref="J354:J355"/>
    <mergeCell ref="Y352:Y353"/>
    <mergeCell ref="Z352:Z353"/>
    <mergeCell ref="AA352:AA353"/>
    <mergeCell ref="AB352:AB353"/>
    <mergeCell ref="AC352:AC353"/>
    <mergeCell ref="K352:K353"/>
    <mergeCell ref="L352:L353"/>
    <mergeCell ref="M352:M353"/>
    <mergeCell ref="N352:N353"/>
    <mergeCell ref="O352:O353"/>
    <mergeCell ref="A352:A353"/>
    <mergeCell ref="E352:E353"/>
    <mergeCell ref="H352:H353"/>
    <mergeCell ref="I352:I353"/>
    <mergeCell ref="J352:J353"/>
    <mergeCell ref="Y358:Y359"/>
    <mergeCell ref="Z358:Z359"/>
    <mergeCell ref="AA358:AA359"/>
    <mergeCell ref="AB358:AB359"/>
    <mergeCell ref="AC358:AC359"/>
    <mergeCell ref="K358:K359"/>
    <mergeCell ref="L358:L359"/>
    <mergeCell ref="M358:M359"/>
    <mergeCell ref="N358:N359"/>
    <mergeCell ref="O358:O359"/>
    <mergeCell ref="A358:A359"/>
    <mergeCell ref="E358:E359"/>
    <mergeCell ref="H358:H359"/>
    <mergeCell ref="I358:I359"/>
    <mergeCell ref="J358:J359"/>
    <mergeCell ref="Y356:Y357"/>
    <mergeCell ref="Z356:Z357"/>
    <mergeCell ref="AA356:AA357"/>
    <mergeCell ref="AB356:AB357"/>
    <mergeCell ref="AC356:AC357"/>
    <mergeCell ref="K356:K357"/>
    <mergeCell ref="L356:L357"/>
    <mergeCell ref="M356:M357"/>
    <mergeCell ref="N356:N357"/>
    <mergeCell ref="O356:O357"/>
    <mergeCell ref="A356:A357"/>
    <mergeCell ref="E356:E357"/>
    <mergeCell ref="H356:H357"/>
    <mergeCell ref="I356:I357"/>
    <mergeCell ref="J356:J357"/>
    <mergeCell ref="Y362:Y363"/>
    <mergeCell ref="Z362:Z363"/>
    <mergeCell ref="AA362:AA363"/>
    <mergeCell ref="AB362:AB363"/>
    <mergeCell ref="AC362:AC363"/>
    <mergeCell ref="K362:K363"/>
    <mergeCell ref="L362:L363"/>
    <mergeCell ref="M362:M363"/>
    <mergeCell ref="N362:N363"/>
    <mergeCell ref="O362:O363"/>
    <mergeCell ref="A362:A363"/>
    <mergeCell ref="E362:E363"/>
    <mergeCell ref="H362:H363"/>
    <mergeCell ref="I362:I363"/>
    <mergeCell ref="J362:J363"/>
    <mergeCell ref="Y360:Y361"/>
    <mergeCell ref="Z360:Z361"/>
    <mergeCell ref="AA360:AA361"/>
    <mergeCell ref="AB360:AB361"/>
    <mergeCell ref="AC360:AC361"/>
    <mergeCell ref="K360:K361"/>
    <mergeCell ref="L360:L361"/>
    <mergeCell ref="M360:M361"/>
    <mergeCell ref="N360:N361"/>
    <mergeCell ref="O360:O361"/>
    <mergeCell ref="A360:A361"/>
    <mergeCell ref="E360:E361"/>
    <mergeCell ref="H360:H361"/>
    <mergeCell ref="I360:I361"/>
    <mergeCell ref="J360:J361"/>
    <mergeCell ref="Y366:Y367"/>
    <mergeCell ref="Z366:Z367"/>
    <mergeCell ref="AA366:AA367"/>
    <mergeCell ref="AB366:AB367"/>
    <mergeCell ref="AC366:AC367"/>
    <mergeCell ref="K366:K367"/>
    <mergeCell ref="L366:L367"/>
    <mergeCell ref="M366:M367"/>
    <mergeCell ref="N366:N367"/>
    <mergeCell ref="O366:O367"/>
    <mergeCell ref="A366:A367"/>
    <mergeCell ref="E366:E367"/>
    <mergeCell ref="H366:H367"/>
    <mergeCell ref="I366:I367"/>
    <mergeCell ref="J366:J367"/>
    <mergeCell ref="Y364:Y365"/>
    <mergeCell ref="Z364:Z365"/>
    <mergeCell ref="AA364:AA365"/>
    <mergeCell ref="AB364:AB365"/>
    <mergeCell ref="AC364:AC365"/>
    <mergeCell ref="K364:K365"/>
    <mergeCell ref="L364:L365"/>
    <mergeCell ref="M364:M365"/>
    <mergeCell ref="N364:N365"/>
    <mergeCell ref="O364:O365"/>
    <mergeCell ref="A364:A365"/>
    <mergeCell ref="E364:E365"/>
    <mergeCell ref="H364:H365"/>
    <mergeCell ref="I364:I365"/>
    <mergeCell ref="J364:J365"/>
    <mergeCell ref="Y370:Y371"/>
    <mergeCell ref="Z370:Z371"/>
    <mergeCell ref="AA370:AA371"/>
    <mergeCell ref="AB370:AB371"/>
    <mergeCell ref="AC370:AC371"/>
    <mergeCell ref="K370:K371"/>
    <mergeCell ref="L370:L371"/>
    <mergeCell ref="M370:M371"/>
    <mergeCell ref="N370:N371"/>
    <mergeCell ref="O370:O371"/>
    <mergeCell ref="A370:A371"/>
    <mergeCell ref="E370:E371"/>
    <mergeCell ref="H370:H371"/>
    <mergeCell ref="I370:I371"/>
    <mergeCell ref="J370:J371"/>
    <mergeCell ref="Y368:Y369"/>
    <mergeCell ref="Z368:Z369"/>
    <mergeCell ref="AA368:AA369"/>
    <mergeCell ref="AB368:AB369"/>
    <mergeCell ref="AC368:AC369"/>
    <mergeCell ref="K368:K369"/>
    <mergeCell ref="L368:L369"/>
    <mergeCell ref="M368:M369"/>
    <mergeCell ref="N368:N369"/>
    <mergeCell ref="O368:O369"/>
    <mergeCell ref="A368:A369"/>
    <mergeCell ref="E368:E369"/>
    <mergeCell ref="H368:H369"/>
    <mergeCell ref="I368:I369"/>
    <mergeCell ref="J368:J369"/>
    <mergeCell ref="Y374:Y375"/>
    <mergeCell ref="Z374:Z375"/>
    <mergeCell ref="AA374:AA375"/>
    <mergeCell ref="AB374:AB375"/>
    <mergeCell ref="AC374:AC375"/>
    <mergeCell ref="K374:K375"/>
    <mergeCell ref="L374:L375"/>
    <mergeCell ref="M374:M375"/>
    <mergeCell ref="N374:N375"/>
    <mergeCell ref="O374:O375"/>
    <mergeCell ref="A374:A375"/>
    <mergeCell ref="E374:E375"/>
    <mergeCell ref="H374:H375"/>
    <mergeCell ref="I374:I375"/>
    <mergeCell ref="J374:J375"/>
    <mergeCell ref="Y372:Y373"/>
    <mergeCell ref="Z372:Z373"/>
    <mergeCell ref="AA372:AA373"/>
    <mergeCell ref="AB372:AB373"/>
    <mergeCell ref="AC372:AC373"/>
    <mergeCell ref="K372:K373"/>
    <mergeCell ref="L372:L373"/>
    <mergeCell ref="M372:M373"/>
    <mergeCell ref="N372:N373"/>
    <mergeCell ref="O372:O373"/>
    <mergeCell ref="A372:A373"/>
    <mergeCell ref="E372:E373"/>
    <mergeCell ref="H372:H373"/>
    <mergeCell ref="I372:I373"/>
    <mergeCell ref="J372:J373"/>
    <mergeCell ref="Y378:Y379"/>
    <mergeCell ref="Z378:Z379"/>
    <mergeCell ref="AA378:AA379"/>
    <mergeCell ref="AB378:AB379"/>
    <mergeCell ref="AC378:AC379"/>
    <mergeCell ref="K378:K379"/>
    <mergeCell ref="L378:L379"/>
    <mergeCell ref="M378:M379"/>
    <mergeCell ref="N378:N379"/>
    <mergeCell ref="O378:O379"/>
    <mergeCell ref="A378:A379"/>
    <mergeCell ref="E378:E379"/>
    <mergeCell ref="H378:H379"/>
    <mergeCell ref="I378:I379"/>
    <mergeCell ref="J378:J379"/>
    <mergeCell ref="Y376:Y377"/>
    <mergeCell ref="Z376:Z377"/>
    <mergeCell ref="AA376:AA377"/>
    <mergeCell ref="AB376:AB377"/>
    <mergeCell ref="AC376:AC377"/>
    <mergeCell ref="K376:K377"/>
    <mergeCell ref="L376:L377"/>
    <mergeCell ref="M376:M377"/>
    <mergeCell ref="N376:N377"/>
    <mergeCell ref="O376:O377"/>
    <mergeCell ref="A376:A377"/>
    <mergeCell ref="E376:E377"/>
    <mergeCell ref="H376:H377"/>
    <mergeCell ref="I376:I377"/>
    <mergeCell ref="J376:J377"/>
    <mergeCell ref="Y382:Y383"/>
    <mergeCell ref="Z382:Z383"/>
    <mergeCell ref="AA382:AA383"/>
    <mergeCell ref="AB382:AB383"/>
    <mergeCell ref="AC382:AC383"/>
    <mergeCell ref="K382:K383"/>
    <mergeCell ref="L382:L383"/>
    <mergeCell ref="M382:M383"/>
    <mergeCell ref="N382:N383"/>
    <mergeCell ref="O382:O383"/>
    <mergeCell ref="A382:A383"/>
    <mergeCell ref="E382:E383"/>
    <mergeCell ref="H382:H383"/>
    <mergeCell ref="I382:I383"/>
    <mergeCell ref="J382:J383"/>
    <mergeCell ref="Y380:Y381"/>
    <mergeCell ref="Z380:Z381"/>
    <mergeCell ref="AA380:AA381"/>
    <mergeCell ref="AB380:AB381"/>
    <mergeCell ref="AC380:AC381"/>
    <mergeCell ref="K380:K381"/>
    <mergeCell ref="L380:L381"/>
    <mergeCell ref="M380:M381"/>
    <mergeCell ref="N380:N381"/>
    <mergeCell ref="O380:O381"/>
    <mergeCell ref="A380:A381"/>
    <mergeCell ref="E380:E381"/>
    <mergeCell ref="H380:H381"/>
    <mergeCell ref="I380:I381"/>
    <mergeCell ref="J380:J381"/>
    <mergeCell ref="Y386:Y387"/>
    <mergeCell ref="Z386:Z387"/>
    <mergeCell ref="AA386:AA387"/>
    <mergeCell ref="AB386:AB387"/>
    <mergeCell ref="AC386:AC387"/>
    <mergeCell ref="K386:K387"/>
    <mergeCell ref="L386:L387"/>
    <mergeCell ref="M386:M387"/>
    <mergeCell ref="N386:N387"/>
    <mergeCell ref="O386:O387"/>
    <mergeCell ref="A386:A387"/>
    <mergeCell ref="E386:E387"/>
    <mergeCell ref="H386:H387"/>
    <mergeCell ref="I386:I387"/>
    <mergeCell ref="J386:J387"/>
    <mergeCell ref="Y384:Y385"/>
    <mergeCell ref="Z384:Z385"/>
    <mergeCell ref="AA384:AA385"/>
    <mergeCell ref="AB384:AB385"/>
    <mergeCell ref="AC384:AC385"/>
    <mergeCell ref="K384:K385"/>
    <mergeCell ref="L384:L385"/>
    <mergeCell ref="M384:M385"/>
    <mergeCell ref="N384:N385"/>
    <mergeCell ref="O384:O385"/>
    <mergeCell ref="A384:A385"/>
    <mergeCell ref="E384:E385"/>
    <mergeCell ref="H384:H385"/>
    <mergeCell ref="I384:I385"/>
    <mergeCell ref="J384:J385"/>
    <mergeCell ref="Y390:Y391"/>
    <mergeCell ref="Z390:Z391"/>
    <mergeCell ref="AA390:AA391"/>
    <mergeCell ref="AB390:AB391"/>
    <mergeCell ref="AC390:AC391"/>
    <mergeCell ref="K390:K391"/>
    <mergeCell ref="L390:L391"/>
    <mergeCell ref="M390:M391"/>
    <mergeCell ref="N390:N391"/>
    <mergeCell ref="O390:O391"/>
    <mergeCell ref="A390:A391"/>
    <mergeCell ref="E390:E391"/>
    <mergeCell ref="H390:H391"/>
    <mergeCell ref="I390:I391"/>
    <mergeCell ref="J390:J391"/>
    <mergeCell ref="Y388:Y389"/>
    <mergeCell ref="Z388:Z389"/>
    <mergeCell ref="AA388:AA389"/>
    <mergeCell ref="AB388:AB389"/>
    <mergeCell ref="AC388:AC389"/>
    <mergeCell ref="K388:K389"/>
    <mergeCell ref="L388:L389"/>
    <mergeCell ref="M388:M389"/>
    <mergeCell ref="N388:N389"/>
    <mergeCell ref="O388:O389"/>
    <mergeCell ref="A388:A389"/>
    <mergeCell ref="E388:E389"/>
    <mergeCell ref="H388:H389"/>
    <mergeCell ref="I388:I389"/>
    <mergeCell ref="J388:J389"/>
    <mergeCell ref="Y394:Y395"/>
    <mergeCell ref="Z394:Z395"/>
    <mergeCell ref="AA394:AA395"/>
    <mergeCell ref="AB394:AB395"/>
    <mergeCell ref="AC394:AC395"/>
    <mergeCell ref="K394:K395"/>
    <mergeCell ref="L394:L395"/>
    <mergeCell ref="M394:M395"/>
    <mergeCell ref="N394:N395"/>
    <mergeCell ref="O394:O395"/>
    <mergeCell ref="A394:A395"/>
    <mergeCell ref="E394:E395"/>
    <mergeCell ref="H394:H395"/>
    <mergeCell ref="I394:I395"/>
    <mergeCell ref="J394:J395"/>
    <mergeCell ref="Y392:Y393"/>
    <mergeCell ref="Z392:Z393"/>
    <mergeCell ref="AA392:AA393"/>
    <mergeCell ref="AB392:AB393"/>
    <mergeCell ref="AC392:AC393"/>
    <mergeCell ref="K392:K393"/>
    <mergeCell ref="L392:L393"/>
    <mergeCell ref="M392:M393"/>
    <mergeCell ref="N392:N393"/>
    <mergeCell ref="O392:O393"/>
    <mergeCell ref="A392:A393"/>
    <mergeCell ref="E392:E393"/>
    <mergeCell ref="H392:H393"/>
    <mergeCell ref="I392:I393"/>
    <mergeCell ref="J392:J393"/>
    <mergeCell ref="Y398:Y399"/>
    <mergeCell ref="Z398:Z399"/>
    <mergeCell ref="AA398:AA399"/>
    <mergeCell ref="AB398:AB399"/>
    <mergeCell ref="AC398:AC399"/>
    <mergeCell ref="K398:K399"/>
    <mergeCell ref="L398:L399"/>
    <mergeCell ref="M398:M399"/>
    <mergeCell ref="N398:N399"/>
    <mergeCell ref="O398:O399"/>
    <mergeCell ref="A398:A399"/>
    <mergeCell ref="E398:E399"/>
    <mergeCell ref="H398:H399"/>
    <mergeCell ref="I398:I399"/>
    <mergeCell ref="J398:J399"/>
    <mergeCell ref="Y396:Y397"/>
    <mergeCell ref="Z396:Z397"/>
    <mergeCell ref="AA396:AA397"/>
    <mergeCell ref="AB396:AB397"/>
    <mergeCell ref="AC396:AC397"/>
    <mergeCell ref="K396:K397"/>
    <mergeCell ref="L396:L397"/>
    <mergeCell ref="M396:M397"/>
    <mergeCell ref="N396:N397"/>
    <mergeCell ref="O396:O397"/>
    <mergeCell ref="A396:A397"/>
    <mergeCell ref="E396:E397"/>
    <mergeCell ref="H396:H397"/>
    <mergeCell ref="I396:I397"/>
    <mergeCell ref="J396:J397"/>
    <mergeCell ref="Y402:Y403"/>
    <mergeCell ref="Z402:Z403"/>
    <mergeCell ref="AA402:AA403"/>
    <mergeCell ref="AB402:AB403"/>
    <mergeCell ref="AC402:AC403"/>
    <mergeCell ref="K402:K403"/>
    <mergeCell ref="L402:L403"/>
    <mergeCell ref="M402:M403"/>
    <mergeCell ref="N402:N403"/>
    <mergeCell ref="O402:O403"/>
    <mergeCell ref="A402:A403"/>
    <mergeCell ref="E402:E403"/>
    <mergeCell ref="H402:H403"/>
    <mergeCell ref="I402:I403"/>
    <mergeCell ref="J402:J403"/>
    <mergeCell ref="Y400:Y401"/>
    <mergeCell ref="Z400:Z401"/>
    <mergeCell ref="AA400:AA401"/>
    <mergeCell ref="AB400:AB401"/>
    <mergeCell ref="AC400:AC401"/>
    <mergeCell ref="K400:K401"/>
    <mergeCell ref="L400:L401"/>
    <mergeCell ref="M400:M401"/>
    <mergeCell ref="N400:N401"/>
    <mergeCell ref="O400:O401"/>
    <mergeCell ref="A400:A401"/>
    <mergeCell ref="E400:E401"/>
    <mergeCell ref="H400:H401"/>
    <mergeCell ref="I400:I401"/>
    <mergeCell ref="J400:J401"/>
    <mergeCell ref="Y406:Y407"/>
    <mergeCell ref="Z406:Z407"/>
    <mergeCell ref="AA406:AA407"/>
    <mergeCell ref="AB406:AB407"/>
    <mergeCell ref="AC406:AC407"/>
    <mergeCell ref="K406:K407"/>
    <mergeCell ref="L406:L407"/>
    <mergeCell ref="M406:M407"/>
    <mergeCell ref="N406:N407"/>
    <mergeCell ref="O406:O407"/>
    <mergeCell ref="A406:A407"/>
    <mergeCell ref="E406:E407"/>
    <mergeCell ref="H406:H407"/>
    <mergeCell ref="I406:I407"/>
    <mergeCell ref="J406:J407"/>
    <mergeCell ref="Y404:Y405"/>
    <mergeCell ref="Z404:Z405"/>
    <mergeCell ref="AA404:AA405"/>
    <mergeCell ref="AB404:AB405"/>
    <mergeCell ref="AC404:AC405"/>
    <mergeCell ref="K404:K405"/>
    <mergeCell ref="L404:L405"/>
    <mergeCell ref="M404:M405"/>
    <mergeCell ref="N404:N405"/>
    <mergeCell ref="O404:O405"/>
    <mergeCell ref="A404:A405"/>
    <mergeCell ref="E404:E405"/>
    <mergeCell ref="H404:H405"/>
    <mergeCell ref="I404:I405"/>
    <mergeCell ref="J404:J405"/>
    <mergeCell ref="Y410:Y411"/>
    <mergeCell ref="Z410:Z411"/>
    <mergeCell ref="AA410:AA411"/>
    <mergeCell ref="AB410:AB411"/>
    <mergeCell ref="AC410:AC411"/>
    <mergeCell ref="K410:K411"/>
    <mergeCell ref="L410:L411"/>
    <mergeCell ref="M410:M411"/>
    <mergeCell ref="N410:N411"/>
    <mergeCell ref="O410:O411"/>
    <mergeCell ref="A410:A411"/>
    <mergeCell ref="E410:E411"/>
    <mergeCell ref="H410:H411"/>
    <mergeCell ref="I410:I411"/>
    <mergeCell ref="J410:J411"/>
    <mergeCell ref="Y408:Y409"/>
    <mergeCell ref="Z408:Z409"/>
    <mergeCell ref="AA408:AA409"/>
    <mergeCell ref="AB408:AB409"/>
    <mergeCell ref="AC408:AC409"/>
    <mergeCell ref="K408:K409"/>
    <mergeCell ref="L408:L409"/>
    <mergeCell ref="M408:M409"/>
    <mergeCell ref="N408:N409"/>
    <mergeCell ref="O408:O409"/>
    <mergeCell ref="A408:A409"/>
    <mergeCell ref="E408:E409"/>
    <mergeCell ref="H408:H409"/>
    <mergeCell ref="I408:I409"/>
    <mergeCell ref="J408:J409"/>
    <mergeCell ref="Y414:Y415"/>
    <mergeCell ref="Z414:Z415"/>
    <mergeCell ref="AA414:AA415"/>
    <mergeCell ref="AB414:AB415"/>
    <mergeCell ref="AC414:AC415"/>
    <mergeCell ref="K414:K415"/>
    <mergeCell ref="L414:L415"/>
    <mergeCell ref="M414:M415"/>
    <mergeCell ref="N414:N415"/>
    <mergeCell ref="O414:O415"/>
    <mergeCell ref="A414:A415"/>
    <mergeCell ref="E414:E415"/>
    <mergeCell ref="H414:H415"/>
    <mergeCell ref="I414:I415"/>
    <mergeCell ref="J414:J415"/>
    <mergeCell ref="Y412:Y413"/>
    <mergeCell ref="Z412:Z413"/>
    <mergeCell ref="AA412:AA413"/>
    <mergeCell ref="AB412:AB413"/>
    <mergeCell ref="AC412:AC413"/>
    <mergeCell ref="K412:K413"/>
    <mergeCell ref="L412:L413"/>
    <mergeCell ref="M412:M413"/>
    <mergeCell ref="N412:N413"/>
    <mergeCell ref="O412:O413"/>
    <mergeCell ref="A412:A413"/>
    <mergeCell ref="E412:E413"/>
    <mergeCell ref="H412:H413"/>
    <mergeCell ref="I412:I413"/>
    <mergeCell ref="J412:J413"/>
    <mergeCell ref="Y418:Y419"/>
    <mergeCell ref="Z418:Z419"/>
    <mergeCell ref="AA418:AA419"/>
    <mergeCell ref="AB418:AB419"/>
    <mergeCell ref="AC418:AC419"/>
    <mergeCell ref="K418:K419"/>
    <mergeCell ref="L418:L419"/>
    <mergeCell ref="M418:M419"/>
    <mergeCell ref="N418:N419"/>
    <mergeCell ref="O418:O419"/>
    <mergeCell ref="A418:A419"/>
    <mergeCell ref="E418:E419"/>
    <mergeCell ref="H418:H419"/>
    <mergeCell ref="I418:I419"/>
    <mergeCell ref="J418:J419"/>
    <mergeCell ref="Y416:Y417"/>
    <mergeCell ref="Z416:Z417"/>
    <mergeCell ref="AA416:AA417"/>
    <mergeCell ref="AB416:AB417"/>
    <mergeCell ref="AC416:AC417"/>
    <mergeCell ref="K416:K417"/>
    <mergeCell ref="L416:L417"/>
    <mergeCell ref="M416:M417"/>
    <mergeCell ref="N416:N417"/>
    <mergeCell ref="O416:O417"/>
    <mergeCell ref="A416:A417"/>
    <mergeCell ref="E416:E417"/>
    <mergeCell ref="H416:H417"/>
    <mergeCell ref="I416:I417"/>
    <mergeCell ref="J416:J417"/>
    <mergeCell ref="Y422:Y423"/>
    <mergeCell ref="Z422:Z423"/>
    <mergeCell ref="AA422:AA423"/>
    <mergeCell ref="AB422:AB423"/>
    <mergeCell ref="AC422:AC423"/>
    <mergeCell ref="K422:K423"/>
    <mergeCell ref="L422:L423"/>
    <mergeCell ref="M422:M423"/>
    <mergeCell ref="N422:N423"/>
    <mergeCell ref="O422:O423"/>
    <mergeCell ref="A422:A423"/>
    <mergeCell ref="E422:E423"/>
    <mergeCell ref="H422:H423"/>
    <mergeCell ref="I422:I423"/>
    <mergeCell ref="J422:J423"/>
    <mergeCell ref="Y420:Y421"/>
    <mergeCell ref="Z420:Z421"/>
    <mergeCell ref="AA420:AA421"/>
    <mergeCell ref="AB420:AB421"/>
    <mergeCell ref="AC420:AC421"/>
    <mergeCell ref="K420:K421"/>
    <mergeCell ref="L420:L421"/>
    <mergeCell ref="M420:M421"/>
    <mergeCell ref="N420:N421"/>
    <mergeCell ref="O420:O421"/>
    <mergeCell ref="A420:A421"/>
    <mergeCell ref="E420:E421"/>
    <mergeCell ref="H420:H421"/>
    <mergeCell ref="I420:I421"/>
    <mergeCell ref="J420:J421"/>
    <mergeCell ref="Y426:Y427"/>
    <mergeCell ref="Z426:Z427"/>
    <mergeCell ref="AA426:AA427"/>
    <mergeCell ref="AB426:AB427"/>
    <mergeCell ref="AC426:AC427"/>
    <mergeCell ref="K426:K427"/>
    <mergeCell ref="L426:L427"/>
    <mergeCell ref="M426:M427"/>
    <mergeCell ref="N426:N427"/>
    <mergeCell ref="O426:O427"/>
    <mergeCell ref="A426:A427"/>
    <mergeCell ref="E426:E427"/>
    <mergeCell ref="H426:H427"/>
    <mergeCell ref="I426:I427"/>
    <mergeCell ref="J426:J427"/>
    <mergeCell ref="Y424:Y425"/>
    <mergeCell ref="Z424:Z425"/>
    <mergeCell ref="AA424:AA425"/>
    <mergeCell ref="AB424:AB425"/>
    <mergeCell ref="AC424:AC425"/>
    <mergeCell ref="K424:K425"/>
    <mergeCell ref="L424:L425"/>
    <mergeCell ref="M424:M425"/>
    <mergeCell ref="N424:N425"/>
    <mergeCell ref="O424:O425"/>
    <mergeCell ref="A424:A425"/>
    <mergeCell ref="E424:E425"/>
    <mergeCell ref="H424:H425"/>
    <mergeCell ref="I424:I425"/>
    <mergeCell ref="J424:J425"/>
    <mergeCell ref="Y430:Y431"/>
    <mergeCell ref="Z430:Z431"/>
    <mergeCell ref="AA430:AA431"/>
    <mergeCell ref="AB430:AB431"/>
    <mergeCell ref="AC430:AC431"/>
    <mergeCell ref="K430:K431"/>
    <mergeCell ref="L430:L431"/>
    <mergeCell ref="M430:M431"/>
    <mergeCell ref="N430:N431"/>
    <mergeCell ref="O430:O431"/>
    <mergeCell ref="A430:A431"/>
    <mergeCell ref="E430:E431"/>
    <mergeCell ref="H430:H431"/>
    <mergeCell ref="I430:I431"/>
    <mergeCell ref="J430:J431"/>
    <mergeCell ref="Y428:Y429"/>
    <mergeCell ref="Z428:Z429"/>
    <mergeCell ref="AA428:AA429"/>
    <mergeCell ref="AB428:AB429"/>
    <mergeCell ref="AC428:AC429"/>
    <mergeCell ref="K428:K429"/>
    <mergeCell ref="L428:L429"/>
    <mergeCell ref="M428:M429"/>
    <mergeCell ref="N428:N429"/>
    <mergeCell ref="O428:O429"/>
    <mergeCell ref="A428:A429"/>
    <mergeCell ref="E428:E429"/>
    <mergeCell ref="H428:H429"/>
    <mergeCell ref="I428:I429"/>
    <mergeCell ref="J428:J429"/>
    <mergeCell ref="Y434:Y435"/>
    <mergeCell ref="Z434:Z435"/>
    <mergeCell ref="AA434:AA435"/>
    <mergeCell ref="AB434:AB435"/>
    <mergeCell ref="AC434:AC435"/>
    <mergeCell ref="K434:K435"/>
    <mergeCell ref="L434:L435"/>
    <mergeCell ref="M434:M435"/>
    <mergeCell ref="N434:N435"/>
    <mergeCell ref="O434:O435"/>
    <mergeCell ref="A434:A435"/>
    <mergeCell ref="E434:E435"/>
    <mergeCell ref="H434:H435"/>
    <mergeCell ref="I434:I435"/>
    <mergeCell ref="J434:J435"/>
    <mergeCell ref="Y432:Y433"/>
    <mergeCell ref="Z432:Z433"/>
    <mergeCell ref="AA432:AA433"/>
    <mergeCell ref="AB432:AB433"/>
    <mergeCell ref="AC432:AC433"/>
    <mergeCell ref="K432:K433"/>
    <mergeCell ref="L432:L433"/>
    <mergeCell ref="M432:M433"/>
    <mergeCell ref="N432:N433"/>
    <mergeCell ref="O432:O433"/>
    <mergeCell ref="A432:A433"/>
    <mergeCell ref="E432:E433"/>
    <mergeCell ref="H432:H433"/>
    <mergeCell ref="I432:I433"/>
    <mergeCell ref="J432:J433"/>
    <mergeCell ref="Y438:Y439"/>
    <mergeCell ref="Z438:Z439"/>
    <mergeCell ref="AA438:AA439"/>
    <mergeCell ref="AB438:AB439"/>
    <mergeCell ref="AC438:AC439"/>
    <mergeCell ref="K438:K439"/>
    <mergeCell ref="L438:L439"/>
    <mergeCell ref="M438:M439"/>
    <mergeCell ref="N438:N439"/>
    <mergeCell ref="O438:O439"/>
    <mergeCell ref="A438:A439"/>
    <mergeCell ref="E438:E439"/>
    <mergeCell ref="H438:H439"/>
    <mergeCell ref="I438:I439"/>
    <mergeCell ref="J438:J439"/>
    <mergeCell ref="Y436:Y437"/>
    <mergeCell ref="Z436:Z437"/>
    <mergeCell ref="AA436:AA437"/>
    <mergeCell ref="AB436:AB437"/>
    <mergeCell ref="AC436:AC437"/>
    <mergeCell ref="K436:K437"/>
    <mergeCell ref="L436:L437"/>
    <mergeCell ref="M436:M437"/>
    <mergeCell ref="N436:N437"/>
    <mergeCell ref="O436:O437"/>
    <mergeCell ref="A436:A437"/>
    <mergeCell ref="E436:E437"/>
    <mergeCell ref="H436:H437"/>
    <mergeCell ref="I436:I437"/>
    <mergeCell ref="J436:J437"/>
  </mergeCells>
  <phoneticPr fontId="1"/>
  <conditionalFormatting sqref="B10:AC439">
    <cfRule type="expression" dxfId="3" priority="2" stopIfTrue="1">
      <formula>ROW()-MOD(ROW(),2)=CELL("row")-MOD(CELL("row"),2)</formula>
    </cfRule>
  </conditionalFormatting>
  <conditionalFormatting sqref="A10:A439">
    <cfRule type="expression" dxfId="2" priority="1">
      <formula>Y10&lt;&gt;""</formula>
    </cfRule>
    <cfRule type="expression" dxfId="1" priority="3">
      <formula>COUNTIF(OFFSET($T10,-MOD(ROW(),2),0,2,1),"買いｷｬﾝｾﾙ")&gt;0</formula>
    </cfRule>
    <cfRule type="expression" dxfId="0" priority="4">
      <formula>AND(COUNTIF(OFFSET($T10,-MOD(ROW(),2),0,2,1),"買いｷｬﾝｾﾙ")=0,  COUNTIF(OFFSET($T10,-MOD(ROW(),2),0,2,1),"売りｷｬﾝｾﾙ")&gt;0 )</formula>
    </cfRule>
  </conditionalFormatting>
  <dataValidations count="1">
    <dataValidation type="list" allowBlank="1" showInputMessage="1" sqref="T10:T439" xr:uid="{21A8917B-1D8A-4DF9-9D80-3ECA38AF7530}">
      <formula1>"買いｷｬﾝｾﾙ,売りｷｬﾝｾﾙ"</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売約済"/>
  <dimension ref="A1:AD10"/>
  <sheetViews>
    <sheetView zoomScale="80" zoomScaleNormal="80" workbookViewId="0">
      <pane xSplit="7" ySplit="9" topLeftCell="H10" activePane="bottomRight" state="frozen"/>
      <selection pane="topRight" activeCell="J1" sqref="J1"/>
      <selection pane="bottomLeft" activeCell="A10" sqref="A10"/>
      <selection pane="bottomRight" activeCell="F31" sqref="F31"/>
    </sheetView>
  </sheetViews>
  <sheetFormatPr defaultColWidth="9" defaultRowHeight="17.100000000000001" customHeight="1"/>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18" customHeight="1">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18" customHeight="1">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ht="18"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ht="18"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ht="18" customHeight="1">
      <c r="A5" s="2"/>
      <c r="B5" s="2"/>
      <c r="C5" s="2"/>
      <c r="D5" s="2"/>
      <c r="E5" s="2"/>
      <c r="F5" s="2"/>
      <c r="G5" s="2"/>
      <c r="H5" s="2"/>
      <c r="I5" s="2"/>
      <c r="J5" s="2"/>
      <c r="K5" s="2"/>
      <c r="L5" s="2"/>
      <c r="M5" s="2"/>
      <c r="N5" s="2"/>
      <c r="O5" s="2"/>
      <c r="P5" s="2"/>
      <c r="Q5" s="2"/>
      <c r="R5" s="2"/>
      <c r="S5" s="2"/>
      <c r="T5" s="2"/>
      <c r="U5" s="2"/>
      <c r="V5" s="2"/>
      <c r="W5" s="2"/>
      <c r="X5" s="2"/>
      <c r="Y5" s="2"/>
      <c r="Z5" s="2"/>
      <c r="AA5" s="2"/>
      <c r="AB5" s="2"/>
      <c r="AC5" s="2"/>
      <c r="AD5" s="2"/>
    </row>
    <row r="6" spans="1:30" s="16" customFormat="1" ht="18.75" customHeight="1">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s="16" customFormat="1" ht="18" customHeight="1">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c r="E8" s="10"/>
    </row>
    <row r="9" spans="1:30" s="9" customFormat="1" ht="17.100000000000001" customHeight="1" thickBot="1">
      <c r="A9" s="4" t="s">
        <v>0</v>
      </c>
      <c r="B9" s="5" t="s">
        <v>1</v>
      </c>
      <c r="C9" s="6" t="s">
        <v>2</v>
      </c>
      <c r="D9" s="5" t="s">
        <v>3</v>
      </c>
      <c r="E9" s="4"/>
      <c r="F9" s="26" t="s">
        <v>4</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7.100000000000001" customHeight="1" thickTop="1"/>
  </sheetData>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5213" r:id="rId3"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4"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5"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6"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不明"/>
  <dimension ref="A1:AD30"/>
  <sheetViews>
    <sheetView zoomScale="80" zoomScaleNormal="80" workbookViewId="0">
      <pane xSplit="7" ySplit="9" topLeftCell="S10" activePane="bottomRight" state="frozen"/>
      <selection pane="topRight" activeCell="J1" sqref="J1"/>
      <selection pane="bottomLeft" activeCell="A10" sqref="A10"/>
      <selection pane="bottomRight" activeCell="B10" sqref="A10:XFD13"/>
    </sheetView>
  </sheetViews>
  <sheetFormatPr defaultColWidth="9" defaultRowHeight="18"/>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c r="F8"/>
    </row>
    <row r="9" spans="1:30" ht="18.600000000000001" customHeight="1" thickBot="1">
      <c r="A9" s="4" t="s">
        <v>0</v>
      </c>
      <c r="B9" s="5" t="s">
        <v>1</v>
      </c>
      <c r="C9" s="6" t="s">
        <v>2</v>
      </c>
      <c r="D9" s="5" t="s">
        <v>3</v>
      </c>
      <c r="E9" s="4"/>
      <c r="F9" s="26" t="s">
        <v>87</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customHeight="1" thickTop="1">
      <c r="F10"/>
    </row>
    <row r="11" spans="1:30">
      <c r="F11"/>
    </row>
    <row r="12" spans="1:30">
      <c r="F12"/>
    </row>
    <row r="13" spans="1:30">
      <c r="F13"/>
    </row>
    <row r="14" spans="1:30">
      <c r="F14"/>
    </row>
    <row r="15" spans="1:30">
      <c r="F15"/>
    </row>
    <row r="16" spans="1:30">
      <c r="F16"/>
    </row>
    <row r="17" spans="6:6">
      <c r="F17"/>
    </row>
    <row r="18" spans="6:6">
      <c r="F18"/>
    </row>
    <row r="19" spans="6:6">
      <c r="F19"/>
    </row>
    <row r="20" spans="6:6">
      <c r="F20"/>
    </row>
    <row r="21" spans="6:6">
      <c r="F21"/>
    </row>
    <row r="22" spans="6:6">
      <c r="F22"/>
    </row>
    <row r="23" spans="6:6">
      <c r="F23"/>
    </row>
    <row r="24" spans="6:6">
      <c r="F24"/>
    </row>
    <row r="25" spans="6:6">
      <c r="F25"/>
    </row>
    <row r="26" spans="6:6">
      <c r="F26"/>
    </row>
    <row r="27" spans="6:6">
      <c r="F27"/>
    </row>
    <row r="28" spans="6:6">
      <c r="F28"/>
    </row>
    <row r="29" spans="6:6">
      <c r="F29"/>
    </row>
    <row r="30" spans="6:6">
      <c r="F30"/>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在庫有"/>
  <dimension ref="A1:AD10"/>
  <sheetViews>
    <sheetView zoomScale="80" zoomScaleNormal="80" workbookViewId="0">
      <pane xSplit="7" ySplit="9" topLeftCell="H10" activePane="bottomRight" state="frozen"/>
      <selection pane="topRight" activeCell="J1" sqref="J1"/>
      <selection pane="bottomLeft" activeCell="A10" sqref="A10"/>
      <selection pane="bottomRight" activeCell="F26" sqref="F26"/>
    </sheetView>
  </sheetViews>
  <sheetFormatPr defaultColWidth="9" defaultRowHeight="18"/>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row r="9" spans="1:30" s="9" customFormat="1" ht="17.100000000000001" customHeight="1" thickBot="1">
      <c r="A9" s="4" t="s">
        <v>0</v>
      </c>
      <c r="B9" s="5" t="s">
        <v>1</v>
      </c>
      <c r="C9" s="6" t="s">
        <v>2</v>
      </c>
      <c r="D9" s="5" t="s">
        <v>3</v>
      </c>
      <c r="E9" s="4"/>
      <c r="F9" s="26" t="s">
        <v>87</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customHeight="1" thickTop="1"/>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在庫有確定"/>
  <dimension ref="A1:AD10"/>
  <sheetViews>
    <sheetView zoomScale="80" zoomScaleNormal="80" workbookViewId="0">
      <selection activeCell="F25" sqref="F25"/>
    </sheetView>
  </sheetViews>
  <sheetFormatPr defaultColWidth="9" defaultRowHeight="18"/>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row r="9" spans="1:30" ht="18.600000000000001" customHeight="1" thickBot="1">
      <c r="A9" s="4" t="s">
        <v>0</v>
      </c>
      <c r="B9" s="5" t="s">
        <v>1</v>
      </c>
      <c r="C9" s="6" t="s">
        <v>2</v>
      </c>
      <c r="D9" s="5" t="s">
        <v>3</v>
      </c>
      <c r="E9" s="4"/>
      <c r="F9" s="26" t="s">
        <v>87</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customHeight="1" thickTop="1"/>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5</xdr:col>
                    <xdr:colOff>1104900</xdr:colOff>
                    <xdr:row>3</xdr:row>
                    <xdr:rowOff>220980</xdr:rowOff>
                  </from>
                  <to>
                    <xdr:col>6</xdr:col>
                    <xdr:colOff>259080</xdr:colOff>
                    <xdr:row>6</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2026-09-02T17:15:20Z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